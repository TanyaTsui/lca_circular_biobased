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2" activeTab="9" autoFilterDateGrouping="1"/>
  </bookViews>
  <sheets>
    <sheet xmlns:r="http://schemas.openxmlformats.org/officeDocument/2006/relationships" name="README" sheetId="1" state="visible" r:id="rId1"/>
    <sheet xmlns:r="http://schemas.openxmlformats.org/officeDocument/2006/relationships" name="fu_comparison" sheetId="2" state="visible" r:id="rId2"/>
    <sheet xmlns:r="http://schemas.openxmlformats.org/officeDocument/2006/relationships" name="study_setup" sheetId="3" state="visible" r:id="rId3"/>
    <sheet xmlns:r="http://schemas.openxmlformats.org/officeDocument/2006/relationships" name="impact_categories" sheetId="4" state="visible" r:id="rId4"/>
    <sheet xmlns:r="http://schemas.openxmlformats.org/officeDocument/2006/relationships" name="scenarios" sheetId="5" state="visible" r:id="rId5"/>
    <sheet xmlns:r="http://schemas.openxmlformats.org/officeDocument/2006/relationships" name="lci_raw_biopol" sheetId="6" state="visible" r:id="rId6"/>
    <sheet xmlns:r="http://schemas.openxmlformats.org/officeDocument/2006/relationships" name="lci_raw_knit" sheetId="7" state="visible" r:id="rId7"/>
    <sheet xmlns:r="http://schemas.openxmlformats.org/officeDocument/2006/relationships" name="lci_raw_timber" sheetId="8" state="visible" r:id="rId8"/>
    <sheet xmlns:r="http://schemas.openxmlformats.org/officeDocument/2006/relationships" name="lci_raw_cfw" sheetId="9" state="visible" r:id="rId9"/>
    <sheet xmlns:r="http://schemas.openxmlformats.org/officeDocument/2006/relationships" name="lci_baseline_cfw_flax" sheetId="10" state="visible" r:id="rId10"/>
    <sheet xmlns:r="http://schemas.openxmlformats.org/officeDocument/2006/relationships" name="lci_baseline_cfw_glass" sheetId="11" state="visible" r:id="rId11"/>
    <sheet xmlns:r="http://schemas.openxmlformats.org/officeDocument/2006/relationships" name="lci_baseline_glulam_beam" sheetId="12" state="visible" r:id="rId12"/>
    <sheet xmlns:r="http://schemas.openxmlformats.org/officeDocument/2006/relationships" name="lci_baseline_rc_beam" sheetId="13" state="visible" r:id="rId13"/>
    <sheet xmlns:r="http://schemas.openxmlformats.org/officeDocument/2006/relationships" name="lci_baseline_adobe_wall" sheetId="14" state="visible" r:id="rId14"/>
    <sheet xmlns:r="http://schemas.openxmlformats.org/officeDocument/2006/relationships" name="lci_baseline_clay_brick_wall" sheetId="15" state="visible" r:id="rId15"/>
    <sheet xmlns:r="http://schemas.openxmlformats.org/officeDocument/2006/relationships" name="lci_baseline_polymer_membrane" sheetId="16" state="visible" r:id="rId16"/>
    <sheet xmlns:r="http://schemas.openxmlformats.org/officeDocument/2006/relationships" name="product_size_formulas" sheetId="17" state="visible" r:id="rId17"/>
    <sheet xmlns:r="http://schemas.openxmlformats.org/officeDocument/2006/relationships" name="unit_burdens_dataSources" sheetId="18" state="visible" r:id="rId18"/>
    <sheet xmlns:r="http://schemas.openxmlformats.org/officeDocument/2006/relationships" name="benefits_constants_dataSources" sheetId="19" state="visible" r:id="rId19"/>
    <sheet xmlns:r="http://schemas.openxmlformats.org/officeDocument/2006/relationships" name="EoL_constants" sheetId="20" state="visible" r:id="rId20"/>
    <sheet xmlns:r="http://schemas.openxmlformats.org/officeDocument/2006/relationships" name="eol_routes" sheetId="21" state="visible" r:id="rId21"/>
    <sheet xmlns:r="http://schemas.openxmlformats.org/officeDocument/2006/relationships" name="constants" sheetId="22" state="visible" r:id="rId22"/>
    <sheet xmlns:r="http://schemas.openxmlformats.org/officeDocument/2006/relationships" name="gwpbio_table" sheetId="23" state="visible" r:id="rId23"/>
    <sheet xmlns:r="http://schemas.openxmlformats.org/officeDocument/2006/relationships" name="dcf_bern" sheetId="24" state="visible" r:id="rId2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14">
    <fill>
      <patternFill/>
    </fill>
    <fill>
      <patternFill patternType="gray125"/>
    </fill>
    <fill>
      <patternFill patternType="solid">
        <fgColor rgb="FFB7B7B7"/>
      </patternFill>
    </fill>
    <fill>
      <patternFill patternType="solid">
        <fgColor rgb="FFF3F3F3"/>
      </patternFill>
    </fill>
    <fill>
      <patternFill patternType="solid">
        <fgColor rgb="FFB4A7D6"/>
      </patternFill>
    </fill>
    <fill>
      <patternFill patternType="solid">
        <fgColor rgb="FFEFEBF7"/>
      </patternFill>
    </fill>
    <fill>
      <patternFill patternType="solid">
        <fgColor rgb="FF76A5AF"/>
      </patternFill>
    </fill>
    <fill>
      <patternFill patternType="solid">
        <fgColor rgb="FFE3EFF1"/>
      </patternFill>
    </fill>
    <fill>
      <patternFill patternType="solid">
        <fgColor rgb="FF93C47D"/>
      </patternFill>
    </fill>
    <fill>
      <patternFill patternType="solid">
        <fgColor rgb="FFE8F3E3"/>
      </patternFill>
    </fill>
    <fill>
      <patternFill patternType="solid">
        <fgColor rgb="FF9FC5E8"/>
      </patternFill>
    </fill>
    <fill>
      <patternFill patternType="solid">
        <fgColor rgb="FFEAF2FB"/>
      </patternFill>
    </fill>
    <fill>
      <patternFill patternType="solid">
        <fgColor rgb="FFF6B26B"/>
      </patternFill>
    </fill>
    <fill>
      <patternFill patternType="solid">
        <fgColor rgb="FFFDF0E3"/>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1" fillId="3" borderId="0" applyAlignment="1" pivotButton="0" quotePrefix="0" xfId="0">
      <alignment vertical="top"/>
    </xf>
    <xf numFmtId="0" fontId="0" fillId="3" borderId="0" applyAlignment="1" pivotButton="0" quotePrefix="0" xfId="0">
      <alignment vertical="top" wrapText="1"/>
    </xf>
    <xf numFmtId="0" fontId="1" fillId="4" borderId="0" pivotButton="0" quotePrefix="0" xfId="0"/>
    <xf numFmtId="0" fontId="0" fillId="5" borderId="0" pivotButton="0" quotePrefix="0" xfId="0"/>
    <xf numFmtId="0" fontId="1" fillId="6" borderId="0" pivotButton="0" quotePrefix="0" xfId="0"/>
    <xf numFmtId="0" fontId="0" fillId="7" borderId="0" pivotButton="0" quotePrefix="0" xfId="0"/>
    <xf numFmtId="0" fontId="0" fillId="7" borderId="0" applyAlignment="1" pivotButton="0" quotePrefix="0" xfId="0">
      <alignment vertical="top" wrapText="1"/>
    </xf>
    <xf numFmtId="0" fontId="1" fillId="8" borderId="0" pivotButton="0" quotePrefix="0" xfId="0"/>
    <xf numFmtId="0" fontId="0" fillId="9" borderId="0" pivotButton="0" quotePrefix="0" xfId="0"/>
    <xf numFmtId="0" fontId="1" fillId="10" borderId="0" pivotButton="0" quotePrefix="0" xfId="0"/>
    <xf numFmtId="0" fontId="0" fillId="11" borderId="0" pivotButton="0" quotePrefix="0" xfId="0"/>
    <xf numFmtId="0" fontId="1" fillId="12" borderId="0" pivotButton="0" quotePrefix="0" xfId="0"/>
    <xf numFmtId="0" fontId="0" fillId="13" borderId="0" pivotButton="0" quotePrefix="0" xfId="0"/>
  </cellXfs>
  <cellStyles count="1">
    <cellStyle name="Normal" xfId="0" builtinId="0"/>
  </cellStyles>
  <dxfs count="15">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B7B7B7"/>
    <outlinePr summaryBelow="1" summaryRight="1"/>
    <pageSetUpPr/>
  </sheetPr>
  <dimension ref="A1:B24"/>
  <sheetViews>
    <sheetView zoomScale="120" zoomScaleNormal="120" workbookViewId="0">
      <pane ySplit="1" topLeftCell="A2" activePane="bottomLeft" state="frozen"/>
      <selection pane="bottomLeft" activeCell="A1" sqref="A1"/>
    </sheetView>
  </sheetViews>
  <sheetFormatPr baseColWidth="10" defaultColWidth="8.83203125" defaultRowHeight="15"/>
  <cols>
    <col width="24" customWidth="1" min="1" max="1"/>
    <col width="130" customWidth="1" min="2" max="2"/>
  </cols>
  <sheetData>
    <row r="1">
      <c r="A1" s="1" t="inlineStr">
        <is>
          <t>topic</t>
        </is>
      </c>
      <c r="B1" s="1" t="inlineStr">
        <is>
          <t>explanation</t>
        </is>
      </c>
    </row>
    <row r="2" ht="32" customHeight="1">
      <c r="A2" s="2" t="inlineStr">
        <is>
          <t>RAW LCA inputs (v2)</t>
        </is>
      </c>
      <c r="B2" s="3" t="inlineStr">
        <is>
          <t>All numbers of the RAW comparative LCA live in this workbook. The model reads it (via a snapshot saved in the code repository), so every value you enter is used in the results. Nothing is hidden in the code.</t>
        </is>
      </c>
    </row>
    <row r="3" ht="16" customHeight="1">
      <c r="A3" s="2" t="inlineStr">
        <is>
          <t>Tab groups</t>
        </is>
      </c>
      <c r="B3" s="3" t="inlineStr">
        <is>
          <t>Tabs are grouped and ordered by their role in the LCA; each group has its own colour (tab, header row and cells). The lci_raw_* tabs are filled in by the case partners; all other tabs are maintained by the LCA team - please do not edit them, ask instead.</t>
        </is>
      </c>
    </row>
    <row r="4" ht="16" customHeight="1">
      <c r="A4" s="2" t="inlineStr">
        <is>
          <t>1 Goal and scope (purple)</t>
        </is>
      </c>
      <c r="B4" s="3" t="inlineStr">
        <is>
          <t>fu_comparison, study_setup, impact_categories, scenarios</t>
        </is>
      </c>
    </row>
    <row r="5" ht="32" customHeight="1">
      <c r="A5" s="2" t="inlineStr">
        <is>
          <t>2 Life cycle inventories (LCI) (teal)</t>
        </is>
      </c>
      <c r="B5" s="3" t="inlineStr">
        <is>
          <t>lci_raw_biopol, lci_raw_timber, lci_raw_cfw, lci_raw_knit, lci_baseline_cfw_flax, lci_baseline_cfw_glass, lci_baseline_glulam_beam, lci_baseline_rc_beam, lci_baseline_adobe_wall, lci_baseline_clay_brick_wall, lci_baseline_polymer_membrane</t>
        </is>
      </c>
    </row>
    <row r="6" ht="32" customHeight="1">
      <c r="A6" s="2" t="inlineStr">
        <is>
          <t>3 Product size (parametric LCA) (green)</t>
        </is>
      </c>
      <c r="B6" s="3" t="inlineStr">
        <is>
          <t>product_size_formulas</t>
        </is>
      </c>
    </row>
    <row r="7" ht="16" customHeight="1">
      <c r="A7" s="2" t="inlineStr">
        <is>
          <t>4 Data sources and end-of-life constants (blue)</t>
        </is>
      </c>
      <c r="B7" s="3" t="inlineStr">
        <is>
          <t>unit_burdens_dataSources, benefits_constants_dataSources, EoL_constants, eol_routes</t>
        </is>
      </c>
    </row>
    <row r="8" ht="32" customHeight="1">
      <c r="A8" s="2" t="inlineStr">
        <is>
          <t>5 Modelling constants (orange)</t>
        </is>
      </c>
      <c r="B8" s="3" t="inlineStr">
        <is>
          <t>constants, gwpbio_table, dcf_bern</t>
        </is>
      </c>
    </row>
    <row r="9" ht="32" customHeight="1">
      <c r="A9" s="2" t="inlineStr">
        <is>
          <t>fu_comparison</t>
        </is>
      </c>
      <c r="B9" s="3" t="inlineStr">
        <is>
          <t>One row per RAW case: its functional unit (name, function, service life over which it is compared with its baselines), its quantifier (e.g. beam span in m), and the baseline products (conventional bio-based / conventional fossil-based) it is compared with.</t>
        </is>
      </c>
    </row>
    <row r="10" ht="16" customHeight="1">
      <c r="A10" s="2" t="inlineStr">
        <is>
          <t>RAW case LCI tabs</t>
        </is>
      </c>
      <c r="B10" s="3" t="inlineStr">
        <is>
          <t>lci_raw_biopol, lci_raw_timber, lci_raw_cfw, lci_raw_knit: one row = one number of your prototype. Fill in `typical`, `min`, `max`, `source` and set `status` for every row. Fill `scaled_up` only for production steps that should use different values at large scale (see 'Scaling up a machine' below).</t>
        </is>
      </c>
    </row>
    <row r="11" ht="16" customHeight="1">
      <c r="A11" s="2" t="inlineStr">
        <is>
          <t>Baseline LCI tab</t>
        </is>
      </c>
      <c r="B11" s="3" t="inlineStr">
        <is>
          <t>lci_baseline_* (one tab per baseline): one row = one input or output per kg of product. production rows: materials and other inputs (item = an activity on unit_burdens_dataSources). end-of-life rows: item = the waste treatment (an activity on unit_burdens_dataSources with an eol_type), qualifier = the material that is treated (a row of EoL_constants, which gives its allocation factor, quality ratio and heating value for the circular footprint formula). The product_size_formulas tab gives the kg of product, from the product size rows. The two CFW baselines (lci_baseline_cfw_flax, lci_baseline_cfw_glass) instead use the same layout as lci_raw_cfw (materials, machine steps, lifetime, end-of-life shares).</t>
        </is>
      </c>
    </row>
    <row r="12" ht="32" customHeight="1">
      <c r="A12" s="2" t="inlineStr">
        <is>
          <t>Product size rows</t>
        </is>
      </c>
      <c r="B12" s="3" t="inlineStr">
        <is>
          <t>Rows with stage 'product size' are the constants in the case's formula on product_size_formulas (e.g. fibre_length_per_span, areal_density, density), with a typical value and a range like any other number. On the lci_raw_* tabs they are in the design group, so better designs show up in the sensitivity analysis; on lci_baselines they vary in the uncertainty analysis only. wall_height is part of the functional unit: it is fixed and must be equal for the compared walls.</t>
        </is>
      </c>
    </row>
    <row r="13" ht="32" customHeight="1">
      <c r="A13" s="2" t="inlineStr">
        <is>
          <t>group</t>
        </is>
      </c>
      <c r="B13" s="3" t="inlineStr">
        <is>
          <t>(lci_raw_* tabs only) design = what the product is made of; manufacturing = machines, loading, yield; circularity = lifetime, repair, end of life; location = which country's electricity. The groups are used in the sensitivity analysis, which covers the RAW cases only.</t>
        </is>
      </c>
    </row>
    <row r="14" ht="32" customHeight="1">
      <c r="A14" s="2" t="inlineStr">
        <is>
          <t>typical / min / max</t>
        </is>
      </c>
      <c r="B14" s="3" t="inlineStr">
        <is>
          <t>typical = your best estimate. min and max = how low / high it could realistically be. If a number is fixed, set min = max = typical. Rows with missing min/max are highlighted in red; they are treated as fixed.</t>
        </is>
      </c>
    </row>
    <row r="15" ht="64" customHeight="1">
      <c r="A15" s="2" t="inlineStr">
        <is>
          <t>distribution</t>
        </is>
      </c>
      <c r="B15" s="3" t="inlineStr">
        <is>
          <t>triangular (typical is the most likely value), uniform, fixed, choice (for text values such as a country code or virgin/recycled), or combination (a recipe's fillers: see 'Recipes with variable fillers').</t>
        </is>
      </c>
    </row>
    <row r="16" ht="32" customHeight="1">
      <c r="A16" s="2" t="inlineStr">
        <is>
          <t>source / status</t>
        </is>
      </c>
      <c r="B16" s="3" t="inlineStr">
        <is>
          <t>source = where the number comes from (measurement, colleague, paper, datasheet). status: placeholder (first guess by the LCA team, highlighted yellow), partner estimate, measured, literature.</t>
        </is>
      </c>
    </row>
    <row r="17" ht="32" customHeight="1">
      <c r="A17" s="2" t="inlineStr">
        <is>
          <t>stage / item</t>
        </is>
      </c>
      <c r="B17" s="3" t="inlineStr">
        <is>
          <t>stage = product size (the constants in the product_size_formulas formula), production, repair, use, end-of-life, or general (the location row). item = the material, the process step, 'product' or 'waste' the number belongs to. The order of process steps is the order of the rows.</t>
        </is>
      </c>
    </row>
    <row r="18" ht="16" customHeight="1">
      <c r="A18" s="2" t="inlineStr">
        <is>
          <t>Shares</t>
        </is>
      </c>
      <c r="B18" s="3" t="inlineStr">
        <is>
          <t>Bill-of-materials shares and end-of-life shares of one stage should add up to 100 %. The model re-normalises them. Exception: a recipe with variable fillers (below).</t>
        </is>
      </c>
    </row>
    <row r="19" ht="16" customHeight="1">
      <c r="A19" s="2" t="inlineStr">
        <is>
          <t>Recipes with variable fillers</t>
        </is>
      </c>
      <c r="B19" s="3" t="inlineStr">
        <is>
          <t>A recipe stage (lci_raw_biopol: production and repair) can let the analyses vary which ingredients are used, with three rows: (1) the binder's 'share of input mass' - its min is the smallest allowed binder share (70 %); (2) 'filler combination' (distribution = combination): choices = the fillers that may be used, written 'material (source)'; min / max = the smallest / largest number of fillers; typical = the current recipe, e.g. 'Sawdust + Seagrass'; (3) 'share of first filler': the share of the filler mass (100 % - binder) that is the first filler; the second gets the rest. The typical values give the current recipe; in the uncertainty and sensitivity analyses each allowed filler combination is equally likely.</t>
        </is>
      </c>
    </row>
    <row r="20" ht="32" customHeight="1">
      <c r="A20" s="2" t="inlineStr">
        <is>
          <t>Process yield</t>
        </is>
      </c>
      <c r="B20" s="3" t="inlineStr">
        <is>
          <t>Share of the material entering a step that leaves it as good output (the rest becomes waste). Output rate = kg processed per hour. Machine lifetime = operating hours.</t>
        </is>
      </c>
    </row>
    <row r="21" ht="32" customHeight="1">
      <c r="A21" s="2" t="inlineStr">
        <is>
          <t>Repairs</t>
        </is>
      </c>
      <c r="B21" s="3" t="inlineStr">
        <is>
          <t>The number of repair events is not entered: it is the smallest number of repairs that makes the product last the service life of its functional unit (fu_comparison), i.e. (service life - expected lifetime) / lifetime extension per repair, rounded up, and 0 if the expected lifetime already reaches it.</t>
        </is>
      </c>
    </row>
    <row r="22" ht="32" customHeight="1">
      <c r="A22" s="2" t="inlineStr">
        <is>
          <t>Scaling up a machine</t>
        </is>
      </c>
      <c r="B22" s="3" t="inlineStr">
        <is>
          <t>A production step is scaled up if its `scaled_up` cells are filled in (machine weight, power, output rate, machine lifetime, all four); the model uses those values instead of the prototype ones for that step in the 'scaled up' variant. Leave `scaled_up` blank to keep the step at prototype scale.</t>
        </is>
      </c>
    </row>
    <row r="23" ht="32" customHeight="1">
      <c r="A23" s="2" t="inlineStr">
        <is>
          <t>Do not</t>
        </is>
      </c>
      <c r="B23" s="3" t="inlineStr">
        <is>
          <t>Do not rename tabs or columns, and do not delete rows without asking: the model reads them by name. You may add rows: copy a row of the same kind and change `item` (a new material must exist on tab unit_burdens_dataSources).</t>
        </is>
      </c>
    </row>
    <row r="24" ht="32" customHeight="1">
      <c r="A24" s="2" t="inlineStr">
        <is>
          <t>Version</t>
        </is>
      </c>
      <c r="B24" s="3" t="inlineStr">
        <is>
          <t>v2, 2026-09-25. Initial values are first guesses by the LCA team (status = placeholder) and must be replaced by the partners. Method description: docs/methods.md in the code repository.</t>
        </is>
      </c>
    </row>
  </sheetData>
  <pageMargins left="0.75" right="0.75" top="1" bottom="1" header="0.5" footer="0.5"/>
</worksheet>
</file>

<file path=xl/worksheets/sheet2.xml><?xml version="1.0" encoding="utf-8"?>
<worksheet xmlns="http://schemas.openxmlformats.org/spreadsheetml/2006/main">
  <sheetPr>
    <tabColor rgb="FFB4A7D6"/>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10" defaultColWidth="8.83203125" defaultRowHeight="15"/>
  <cols>
    <col width="12" customWidth="1" min="1" max="1"/>
    <col width="59" customWidth="1" min="2" max="2"/>
    <col width="47" customWidth="1" min="3" max="3"/>
    <col width="14" customWidth="1" min="4" max="4"/>
    <col width="19" customWidth="1" min="5" max="6"/>
    <col width="17" customWidth="1" min="7" max="7"/>
    <col width="31" customWidth="1" min="8" max="8"/>
    <col width="42" customWidth="1" min="9" max="9"/>
  </cols>
  <sheetData>
    <row r="1">
      <c r="A1" s="4" t="inlineStr">
        <is>
          <t>raw_case</t>
        </is>
      </c>
      <c r="B1" s="4" t="inlineStr">
        <is>
          <t>fu_name</t>
        </is>
      </c>
      <c r="C1" s="4" t="inlineStr">
        <is>
          <t>function</t>
        </is>
      </c>
      <c r="D1" s="4" t="inlineStr">
        <is>
          <t>service_life</t>
        </is>
      </c>
      <c r="E1" s="4" t="inlineStr">
        <is>
          <t>service_life_unit</t>
        </is>
      </c>
      <c r="F1" s="4" t="inlineStr">
        <is>
          <t>quantifier_label</t>
        </is>
      </c>
      <c r="G1" s="4" t="inlineStr">
        <is>
          <t>quantifier_unit</t>
        </is>
      </c>
      <c r="H1" s="4" t="inlineStr">
        <is>
          <t>baseline_biobased</t>
        </is>
      </c>
      <c r="I1" s="4" t="inlineStr">
        <is>
          <t>baseline_fossil</t>
        </is>
      </c>
    </row>
    <row r="2">
      <c r="A2" s="5" t="inlineStr">
        <is>
          <t>raw_timber</t>
        </is>
      </c>
      <c r="B2" s="5" t="inlineStr">
        <is>
          <t>Structural beam (reclaimed timber CNC beam vs. baselines)</t>
        </is>
      </c>
      <c r="C2" s="5" t="inlineStr">
        <is>
          <t>Structural beam spanning between two supports</t>
        </is>
      </c>
      <c r="D2" s="5" t="n">
        <v>50</v>
      </c>
      <c r="E2" s="5" t="inlineStr">
        <is>
          <t>yrs</t>
        </is>
      </c>
      <c r="F2" s="5" t="inlineStr">
        <is>
          <t>beam span</t>
        </is>
      </c>
      <c r="G2" s="5" t="inlineStr">
        <is>
          <t>m</t>
        </is>
      </c>
      <c r="H2" s="5" t="inlineStr">
        <is>
          <t>glulam beam</t>
        </is>
      </c>
      <c r="I2" s="5" t="inlineStr">
        <is>
          <t>reinforced concrete beam</t>
        </is>
      </c>
    </row>
    <row r="3">
      <c r="A3" s="5" t="inlineStr">
        <is>
          <t>raw_cfw</t>
        </is>
      </c>
      <c r="B3" s="5" t="inlineStr">
        <is>
          <t>Structural beam (coreless filament winding vs. baselines)</t>
        </is>
      </c>
      <c r="C3" s="5" t="inlineStr">
        <is>
          <t>Structural beam spanning between two supports</t>
        </is>
      </c>
      <c r="D3" s="5" t="n">
        <v>50</v>
      </c>
      <c r="E3" s="5" t="inlineStr">
        <is>
          <t>yrs</t>
        </is>
      </c>
      <c r="F3" s="5" t="inlineStr">
        <is>
          <t>beam span</t>
        </is>
      </c>
      <c r="G3" s="5" t="inlineStr">
        <is>
          <t>m</t>
        </is>
      </c>
      <c r="H3" s="5" t="inlineStr">
        <is>
          <t>flax fibre CFW beam (no in-line sensing)</t>
        </is>
      </c>
      <c r="I3" s="5" t="inlineStr">
        <is>
          <t>glass fibre CFW beam</t>
        </is>
      </c>
    </row>
    <row r="4">
      <c r="A4" s="5" t="inlineStr">
        <is>
          <t>raw_biopol</t>
        </is>
      </c>
      <c r="B4" s="5" t="inlineStr">
        <is>
          <t>Interior wall (3D-printed biopolymer vs. baselines)</t>
        </is>
      </c>
      <c r="C4" s="5" t="inlineStr">
        <is>
          <t>Interior partition wall</t>
        </is>
      </c>
      <c r="D4" s="5" t="n">
        <v>50</v>
      </c>
      <c r="E4" s="5" t="inlineStr">
        <is>
          <t>yrs</t>
        </is>
      </c>
      <c r="F4" s="5" t="inlineStr">
        <is>
          <t>wall length</t>
        </is>
      </c>
      <c r="G4" s="5" t="inlineStr">
        <is>
          <t>m</t>
        </is>
      </c>
      <c r="H4" s="5" t="inlineStr">
        <is>
          <t>adobe brick for interior wall</t>
        </is>
      </c>
      <c r="I4" s="5" t="inlineStr">
        <is>
          <t>clay brick for interior wall</t>
        </is>
      </c>
    </row>
    <row r="5">
      <c r="A5" s="5" t="inlineStr">
        <is>
          <t>raw_knit</t>
        </is>
      </c>
      <c r="B5" s="5" t="inlineStr">
        <is>
          <t>Architectural membrane (knitted hemp vs. baseline)</t>
        </is>
      </c>
      <c r="C5" s="5" t="inlineStr">
        <is>
          <t>Architectural membrane covering a surface</t>
        </is>
      </c>
      <c r="D5" s="5" t="n">
        <v>50</v>
      </c>
      <c r="E5" s="5" t="inlineStr">
        <is>
          <t>yrs</t>
        </is>
      </c>
      <c r="F5" s="5" t="inlineStr">
        <is>
          <t>membrane coverage</t>
        </is>
      </c>
      <c r="G5" s="5" t="inlineStr">
        <is>
          <t>m2</t>
        </is>
      </c>
      <c r="H5" s="5" t="n"/>
      <c r="I5" s="5" t="inlineStr">
        <is>
          <t>synthetic polymer architectural membrane</t>
        </is>
      </c>
    </row>
  </sheetData>
  <pageMargins left="0.75" right="0.75" top="1" bottom="1" header="0.5" footer="0.5"/>
</worksheet>
</file>

<file path=xl/worksheets/sheet3.xml><?xml version="1.0" encoding="utf-8"?>
<worksheet xmlns="http://schemas.openxmlformats.org/spreadsheetml/2006/main">
  <sheetPr>
    <tabColor rgb="FFB4A7D6"/>
    <outlinePr summaryBelow="1" summaryRight="1"/>
    <pageSetUpPr/>
  </sheetPr>
  <dimension ref="A1:D16"/>
  <sheetViews>
    <sheetView workbookViewId="0">
      <pane ySplit="1" topLeftCell="A2" activePane="bottomLeft" state="frozen"/>
      <selection pane="bottomLeft" activeCell="A1" sqref="A1"/>
    </sheetView>
  </sheetViews>
  <sheetFormatPr baseColWidth="10" defaultColWidth="8.83203125" defaultRowHeight="15"/>
  <cols>
    <col width="26" customWidth="1" min="1" max="1"/>
    <col width="22" customWidth="1" min="2" max="2"/>
    <col width="20" customWidth="1" min="3" max="3"/>
    <col width="45" customWidth="1" min="4" max="4"/>
  </cols>
  <sheetData>
    <row r="1">
      <c r="A1" s="4" t="inlineStr">
        <is>
          <t>parameter</t>
        </is>
      </c>
      <c r="B1" s="4" t="inlineStr">
        <is>
          <t>value</t>
        </is>
      </c>
      <c r="C1" s="4" t="inlineStr">
        <is>
          <t>unit</t>
        </is>
      </c>
      <c r="D1" s="4" t="inlineStr">
        <is>
          <t>description</t>
        </is>
      </c>
    </row>
    <row r="2">
      <c r="A2" s="5" t="inlineStr">
        <is>
          <t>spec_span</t>
        </is>
      </c>
      <c r="B2" s="5" t="n">
        <v>6</v>
      </c>
      <c r="C2" s="5" t="inlineStr">
        <is>
          <t>m</t>
        </is>
      </c>
      <c r="D2" s="5" t="inlineStr">
        <is>
          <t>Beam span used for the beam cases (raw_timber, raw_cfw and their baselines)</t>
        </is>
      </c>
    </row>
    <row r="3">
      <c r="A3" s="5" t="inlineStr">
        <is>
          <t>spec_length</t>
        </is>
      </c>
      <c r="B3" s="5" t="n">
        <v>4</v>
      </c>
      <c r="C3" s="5" t="inlineStr">
        <is>
          <t>m</t>
        </is>
      </c>
      <c r="D3" s="5" t="inlineStr">
        <is>
          <t>Wall length used for the wall case (raw_biopol and its baselines)</t>
        </is>
      </c>
    </row>
    <row r="4">
      <c r="A4" s="5" t="inlineStr">
        <is>
          <t>spec_coverage</t>
        </is>
      </c>
      <c r="B4" s="5" t="n">
        <v>100</v>
      </c>
      <c r="C4" s="5" t="inlineStr">
        <is>
          <t>m2</t>
        </is>
      </c>
      <c r="D4" s="5" t="inlineStr">
        <is>
          <t>Membrane coverage used for the membrane case (raw_knit and its baseline)</t>
        </is>
      </c>
    </row>
    <row r="5">
      <c r="A5" s="5" t="inlineStr">
        <is>
          <t>sweep_span</t>
        </is>
      </c>
      <c r="B5" s="5" t="inlineStr">
        <is>
          <t>3:12:10</t>
        </is>
      </c>
      <c r="C5" s="5" t="inlineStr">
        <is>
          <t>min:max:steps (m)</t>
        </is>
      </c>
      <c r="D5" s="5" t="inlineStr">
        <is>
          <t>Range of beam spans for the spec sweep</t>
        </is>
      </c>
    </row>
    <row r="6">
      <c r="A6" s="5" t="inlineStr">
        <is>
          <t>sweep_length</t>
        </is>
      </c>
      <c r="B6" s="5" t="inlineStr">
        <is>
          <t>2:12:11</t>
        </is>
      </c>
      <c r="C6" s="5" t="inlineStr">
        <is>
          <t>min:max:steps (m)</t>
        </is>
      </c>
      <c r="D6" s="5" t="inlineStr">
        <is>
          <t>Range of wall lengths for the spec sweep</t>
        </is>
      </c>
    </row>
    <row r="7">
      <c r="A7" s="5" t="inlineStr">
        <is>
          <t>sweep_coverage</t>
        </is>
      </c>
      <c r="B7" s="5" t="inlineStr">
        <is>
          <t>10:500:10</t>
        </is>
      </c>
      <c r="C7" s="5" t="inlineStr">
        <is>
          <t>min:max:steps (m2)</t>
        </is>
      </c>
      <c r="D7" s="5" t="inlineStr">
        <is>
          <t>Range of membrane coverages for the spec sweep</t>
        </is>
      </c>
    </row>
    <row r="8">
      <c r="A8" s="5" t="inlineStr">
        <is>
          <t>location_choices</t>
        </is>
      </c>
      <c r="B8" s="5" t="inlineStr">
        <is>
          <t>NL;DE;FR;ES;IT;PL;SE</t>
        </is>
      </c>
      <c r="C8" s="5" t="inlineStr">
        <is>
          <t>country codes</t>
        </is>
      </c>
      <c r="D8" s="5" t="inlineStr">
        <is>
          <t>Countries between which the location parameters vary in the sensitivity/uncertainty analysis (placeholder list)</t>
        </is>
      </c>
    </row>
    <row r="9">
      <c r="A9" s="5" t="inlineStr">
        <is>
          <t>mc_iterations</t>
        </is>
      </c>
      <c r="B9" s="5" t="n">
        <v>2000</v>
      </c>
      <c r="C9" s="5" t="inlineStr">
        <is>
          <t>#</t>
        </is>
      </c>
      <c r="D9" s="5" t="inlineStr">
        <is>
          <t>Monte Carlo iterations for the parameter uncertainty analysis</t>
        </is>
      </c>
    </row>
    <row r="10">
      <c r="A10" s="5" t="inlineStr">
        <is>
          <t>interval_percentiles</t>
        </is>
      </c>
      <c r="B10" s="5" t="inlineStr">
        <is>
          <t>5;95</t>
        </is>
      </c>
      <c r="C10" s="5" t="inlineStr">
        <is>
          <t>percent</t>
        </is>
      </c>
      <c r="D10" s="5" t="inlineStr">
        <is>
          <t>Lower and upper percentile of the uncertainty intervals drawn in the charts</t>
        </is>
      </c>
    </row>
    <row r="11">
      <c r="A11" s="5" t="inlineStr">
        <is>
          <t>ecoinvent_version</t>
        </is>
      </c>
      <c r="B11" s="5" t="n">
        <v>3.12</v>
      </c>
      <c r="C11" s="5" t="inlineStr">
        <is>
          <t>-</t>
        </is>
      </c>
      <c r="D11" s="5" t="inlineStr">
        <is>
          <t>ecoinvent release used for the background</t>
        </is>
      </c>
    </row>
    <row r="12">
      <c r="A12" s="5" t="inlineStr">
        <is>
          <t>ecoinvent_system_model</t>
        </is>
      </c>
      <c r="B12" s="5" t="inlineStr">
        <is>
          <t>cutoff</t>
        </is>
      </c>
      <c r="C12" s="5" t="inlineStr">
        <is>
          <t>-</t>
        </is>
      </c>
      <c r="D12" s="5" t="inlineStr">
        <is>
          <t>ecoinvent system model</t>
        </is>
      </c>
    </row>
    <row r="13">
      <c r="A13" s="5" t="inlineStr">
        <is>
          <t>impact_method</t>
        </is>
      </c>
      <c r="B13" s="5" t="inlineStr">
        <is>
          <t>EF v3.1</t>
        </is>
      </c>
      <c r="C13" s="5" t="inlineStr">
        <is>
          <t>-</t>
        </is>
      </c>
      <c r="D13" s="5" t="inlineStr">
        <is>
          <t>LCIA method family (Brightway method names ecoinvent-&lt;version&gt; / &lt;family&gt; / ...)</t>
        </is>
      </c>
    </row>
    <row r="14">
      <c r="A14" s="5" t="inlineStr">
        <is>
          <t>mc_seed</t>
        </is>
      </c>
      <c r="B14" s="5" t="n">
        <v>42</v>
      </c>
      <c r="C14" s="5" t="inlineStr">
        <is>
          <t>-</t>
        </is>
      </c>
      <c r="D14" s="5" t="inlineStr">
        <is>
          <t>Random seed (makes results reproducible)</t>
        </is>
      </c>
    </row>
    <row r="15">
      <c r="A15" s="5" t="inlineStr">
        <is>
          <t>background_mc_iterations</t>
        </is>
      </c>
      <c r="B15" s="5" t="n">
        <v>500</v>
      </c>
      <c r="C15" s="5" t="inlineStr">
        <is>
          <t>#</t>
        </is>
      </c>
      <c r="D15" s="5" t="inlineStr">
        <is>
          <t>Brightway Monte Carlo iterations sampled for the background (ecoinvent) uncertainty</t>
        </is>
      </c>
    </row>
    <row r="16">
      <c r="A16" s="5" t="inlineStr">
        <is>
          <t>sobol_base_samples</t>
        </is>
      </c>
      <c r="B16" s="5" t="n">
        <v>512</v>
      </c>
      <c r="C16" s="5" t="inlineStr">
        <is>
          <t>#</t>
        </is>
      </c>
      <c r="D16" s="5" t="inlineStr">
        <is>
          <t>Base sample size N of the Sobol sensitivity analysis</t>
        </is>
      </c>
    </row>
  </sheetData>
  <pageMargins left="0.75" right="0.75" top="1" bottom="1" header="0.5" footer="0.5"/>
</worksheet>
</file>

<file path=xl/worksheets/sheet4.xml><?xml version="1.0" encoding="utf-8"?>
<worksheet xmlns="http://schemas.openxmlformats.org/spreadsheetml/2006/main">
  <sheetPr>
    <tabColor rgb="FFB4A7D6"/>
    <outlinePr summaryBelow="1" summaryRight="1"/>
    <pageSetUpPr/>
  </sheetPr>
  <dimension ref="A1:D26"/>
  <sheetViews>
    <sheetView workbookViewId="0">
      <pane ySplit="1" topLeftCell="A2" activePane="bottomLeft" state="frozen"/>
      <selection pane="bottomLeft" activeCell="A1" sqref="A1"/>
    </sheetView>
  </sheetViews>
  <sheetFormatPr baseColWidth="10" defaultColWidth="8.83203125" defaultRowHeight="15"/>
  <cols>
    <col width="45" customWidth="1" min="1" max="3"/>
    <col width="20" customWidth="1" min="4" max="4"/>
  </cols>
  <sheetData>
    <row r="1">
      <c r="A1" s="4" t="inlineStr">
        <is>
          <t>category</t>
        </is>
      </c>
      <c r="B1" s="4" t="inlineStr">
        <is>
          <t>unit</t>
        </is>
      </c>
      <c r="C1" s="4" t="inlineStr">
        <is>
          <t>label</t>
        </is>
      </c>
      <c r="D1" s="4" t="inlineStr">
        <is>
          <t>plot_in_bar_charts</t>
        </is>
      </c>
    </row>
    <row r="2">
      <c r="A2" s="5" t="inlineStr">
        <is>
          <t>climate change</t>
        </is>
      </c>
      <c r="B2" s="5" t="inlineStr">
        <is>
          <t>kg CO2-eq</t>
        </is>
      </c>
      <c r="C2" s="5" t="inlineStr">
        <is>
          <t>climate change</t>
        </is>
      </c>
      <c r="D2" s="5" t="inlineStr">
        <is>
          <t>True</t>
        </is>
      </c>
    </row>
    <row r="3">
      <c r="A3" s="5" t="inlineStr">
        <is>
          <t>ozone depletion</t>
        </is>
      </c>
      <c r="B3" s="5" t="inlineStr">
        <is>
          <t>kg CFC-11-eq</t>
        </is>
      </c>
      <c r="C3" s="5" t="inlineStr">
        <is>
          <t>ozone depletion</t>
        </is>
      </c>
      <c r="D3" s="5" t="inlineStr">
        <is>
          <t>True</t>
        </is>
      </c>
    </row>
    <row r="4">
      <c r="A4" s="5" t="inlineStr">
        <is>
          <t>particulate matter formation</t>
        </is>
      </c>
      <c r="B4" s="5" t="inlineStr">
        <is>
          <t>disease incidence</t>
        </is>
      </c>
      <c r="C4" s="5" t="inlineStr">
        <is>
          <t>particulate matter formation</t>
        </is>
      </c>
      <c r="D4" s="5" t="inlineStr">
        <is>
          <t>True</t>
        </is>
      </c>
    </row>
    <row r="5">
      <c r="A5" s="5" t="inlineStr">
        <is>
          <t>acidification</t>
        </is>
      </c>
      <c r="B5" s="5" t="inlineStr">
        <is>
          <t>mol H+-eq</t>
        </is>
      </c>
      <c r="C5" s="5" t="inlineStr">
        <is>
          <t>acidification</t>
        </is>
      </c>
      <c r="D5" s="5" t="inlineStr">
        <is>
          <t>True</t>
        </is>
      </c>
    </row>
    <row r="6">
      <c r="A6" s="5" t="inlineStr">
        <is>
          <t>eutrophication: freshwater</t>
        </is>
      </c>
      <c r="B6" s="5" t="inlineStr">
        <is>
          <t>kg P-eq</t>
        </is>
      </c>
      <c r="C6" s="5" t="inlineStr">
        <is>
          <t>freshwater eutrophication</t>
        </is>
      </c>
      <c r="D6" s="5" t="inlineStr">
        <is>
          <t>True</t>
        </is>
      </c>
    </row>
    <row r="7">
      <c r="A7" s="5" t="inlineStr">
        <is>
          <t>land use</t>
        </is>
      </c>
      <c r="B7" s="5" t="inlineStr">
        <is>
          <t>dimensionless (soil quality index)</t>
        </is>
      </c>
      <c r="C7" s="5" t="inlineStr">
        <is>
          <t>land use</t>
        </is>
      </c>
      <c r="D7" s="5" t="inlineStr">
        <is>
          <t>True</t>
        </is>
      </c>
    </row>
    <row r="8">
      <c r="A8" s="5" t="inlineStr">
        <is>
          <t>water use</t>
        </is>
      </c>
      <c r="B8" s="5" t="inlineStr">
        <is>
          <t>m3 world-eq deprived</t>
        </is>
      </c>
      <c r="C8" s="5" t="inlineStr">
        <is>
          <t>water use</t>
        </is>
      </c>
      <c r="D8" s="5" t="inlineStr">
        <is>
          <t>True</t>
        </is>
      </c>
    </row>
    <row r="9">
      <c r="A9" s="5" t="inlineStr">
        <is>
          <t>material resources: metals/minerals</t>
        </is>
      </c>
      <c r="B9" s="5" t="inlineStr">
        <is>
          <t>kg Sb-eq</t>
        </is>
      </c>
      <c r="C9" s="5" t="inlineStr">
        <is>
          <t>mineral resources</t>
        </is>
      </c>
      <c r="D9" s="5" t="inlineStr">
        <is>
          <t>True</t>
        </is>
      </c>
    </row>
    <row r="10">
      <c r="A10" s="5" t="inlineStr">
        <is>
          <t>climate change: biogenic</t>
        </is>
      </c>
      <c r="B10" s="5" t="inlineStr">
        <is>
          <t>kg CO2-eq</t>
        </is>
      </c>
      <c r="C10" s="5" t="inlineStr">
        <is>
          <t>climate change: biogenic</t>
        </is>
      </c>
      <c r="D10" s="5" t="inlineStr">
        <is>
          <t>False</t>
        </is>
      </c>
    </row>
    <row r="11">
      <c r="A11" s="5" t="inlineStr">
        <is>
          <t>climate change: fossil</t>
        </is>
      </c>
      <c r="B11" s="5" t="inlineStr">
        <is>
          <t>kg CO2-eq</t>
        </is>
      </c>
      <c r="C11" s="5" t="inlineStr">
        <is>
          <t>climate change: fossil</t>
        </is>
      </c>
      <c r="D11" s="5" t="inlineStr">
        <is>
          <t>False</t>
        </is>
      </c>
    </row>
    <row r="12">
      <c r="A12" s="5" t="inlineStr">
        <is>
          <t>climate change: land use and land use change</t>
        </is>
      </c>
      <c r="B12" s="5" t="inlineStr">
        <is>
          <t>kg CO2-eq</t>
        </is>
      </c>
      <c r="C12" s="5" t="inlineStr">
        <is>
          <t>climate change: land use and land use change</t>
        </is>
      </c>
      <c r="D12" s="5" t="inlineStr">
        <is>
          <t>False</t>
        </is>
      </c>
    </row>
    <row r="13">
      <c r="A13" s="5" t="inlineStr">
        <is>
          <t>ecotoxicity: freshwater</t>
        </is>
      </c>
      <c r="B13" s="5" t="inlineStr">
        <is>
          <t>CTUe</t>
        </is>
      </c>
      <c r="C13" s="5" t="inlineStr">
        <is>
          <t>ecotoxicity: freshwater</t>
        </is>
      </c>
      <c r="D13" s="5" t="inlineStr">
        <is>
          <t>False</t>
        </is>
      </c>
    </row>
    <row r="14">
      <c r="A14" s="5" t="inlineStr">
        <is>
          <t>ecotoxicity: freshwater, inorganics</t>
        </is>
      </c>
      <c r="B14" s="5" t="inlineStr">
        <is>
          <t>CTUe</t>
        </is>
      </c>
      <c r="C14" s="5" t="inlineStr">
        <is>
          <t>ecotoxicity: freshwater, inorganics</t>
        </is>
      </c>
      <c r="D14" s="5" t="inlineStr">
        <is>
          <t>False</t>
        </is>
      </c>
    </row>
    <row r="15">
      <c r="A15" s="5" t="inlineStr">
        <is>
          <t>ecotoxicity: freshwater, organics</t>
        </is>
      </c>
      <c r="B15" s="5" t="inlineStr">
        <is>
          <t>CTUe</t>
        </is>
      </c>
      <c r="C15" s="5" t="inlineStr">
        <is>
          <t>ecotoxicity: freshwater, organics</t>
        </is>
      </c>
      <c r="D15" s="5" t="inlineStr">
        <is>
          <t>False</t>
        </is>
      </c>
    </row>
    <row r="16">
      <c r="A16" s="5" t="inlineStr">
        <is>
          <t>energy resources: non-renewable</t>
        </is>
      </c>
      <c r="B16" s="5" t="inlineStr">
        <is>
          <t>MJ</t>
        </is>
      </c>
      <c r="C16" s="5" t="inlineStr">
        <is>
          <t>energy resources: non-renewable</t>
        </is>
      </c>
      <c r="D16" s="5" t="inlineStr">
        <is>
          <t>False</t>
        </is>
      </c>
    </row>
    <row r="17">
      <c r="A17" s="5" t="inlineStr">
        <is>
          <t>eutrophication: marine</t>
        </is>
      </c>
      <c r="B17" s="5" t="inlineStr">
        <is>
          <t>kg N-eq</t>
        </is>
      </c>
      <c r="C17" s="5" t="inlineStr">
        <is>
          <t>eutrophication: marine</t>
        </is>
      </c>
      <c r="D17" s="5" t="inlineStr">
        <is>
          <t>False</t>
        </is>
      </c>
    </row>
    <row r="18">
      <c r="A18" s="5" t="inlineStr">
        <is>
          <t>eutrophication: terrestrial</t>
        </is>
      </c>
      <c r="B18" s="5" t="inlineStr">
        <is>
          <t>mol N-eq</t>
        </is>
      </c>
      <c r="C18" s="5" t="inlineStr">
        <is>
          <t>eutrophication: terrestrial</t>
        </is>
      </c>
      <c r="D18" s="5" t="inlineStr">
        <is>
          <t>False</t>
        </is>
      </c>
    </row>
    <row r="19">
      <c r="A19" s="5" t="inlineStr">
        <is>
          <t>human toxicity: carcinogenic</t>
        </is>
      </c>
      <c r="B19" s="5" t="inlineStr">
        <is>
          <t>CTUh</t>
        </is>
      </c>
      <c r="C19" s="5" t="inlineStr">
        <is>
          <t>human toxicity: carcinogenic</t>
        </is>
      </c>
      <c r="D19" s="5" t="inlineStr">
        <is>
          <t>False</t>
        </is>
      </c>
    </row>
    <row r="20">
      <c r="A20" s="5" t="inlineStr">
        <is>
          <t>human toxicity: carcinogenic, inorganics</t>
        </is>
      </c>
      <c r="B20" s="5" t="inlineStr">
        <is>
          <t>CTUh</t>
        </is>
      </c>
      <c r="C20" s="5" t="inlineStr">
        <is>
          <t>human toxicity: carcinogenic, inorganics</t>
        </is>
      </c>
      <c r="D20" s="5" t="inlineStr">
        <is>
          <t>False</t>
        </is>
      </c>
    </row>
    <row r="21">
      <c r="A21" s="5" t="inlineStr">
        <is>
          <t>human toxicity: carcinogenic, organics</t>
        </is>
      </c>
      <c r="B21" s="5" t="inlineStr">
        <is>
          <t>CTUh</t>
        </is>
      </c>
      <c r="C21" s="5" t="inlineStr">
        <is>
          <t>human toxicity: carcinogenic, organics</t>
        </is>
      </c>
      <c r="D21" s="5" t="inlineStr">
        <is>
          <t>False</t>
        </is>
      </c>
    </row>
    <row r="22">
      <c r="A22" s="5" t="inlineStr">
        <is>
          <t>human toxicity: non-carcinogenic</t>
        </is>
      </c>
      <c r="B22" s="5" t="inlineStr">
        <is>
          <t>CTUh</t>
        </is>
      </c>
      <c r="C22" s="5" t="inlineStr">
        <is>
          <t>human toxicity: non-carcinogenic</t>
        </is>
      </c>
      <c r="D22" s="5" t="inlineStr">
        <is>
          <t>False</t>
        </is>
      </c>
    </row>
    <row r="23">
      <c r="A23" s="5" t="inlineStr">
        <is>
          <t>human toxicity: non-carcinogenic, inorganics</t>
        </is>
      </c>
      <c r="B23" s="5" t="inlineStr">
        <is>
          <t>CTUh</t>
        </is>
      </c>
      <c r="C23" s="5" t="inlineStr">
        <is>
          <t>human toxicity: non-carcinogenic, inorganics</t>
        </is>
      </c>
      <c r="D23" s="5" t="inlineStr">
        <is>
          <t>False</t>
        </is>
      </c>
    </row>
    <row r="24">
      <c r="A24" s="5" t="inlineStr">
        <is>
          <t>human toxicity: non-carcinogenic, organics</t>
        </is>
      </c>
      <c r="B24" s="5" t="inlineStr">
        <is>
          <t>CTUh</t>
        </is>
      </c>
      <c r="C24" s="5" t="inlineStr">
        <is>
          <t>human toxicity: non-carcinogenic, organics</t>
        </is>
      </c>
      <c r="D24" s="5" t="inlineStr">
        <is>
          <t>False</t>
        </is>
      </c>
    </row>
    <row r="25">
      <c r="A25" s="5" t="inlineStr">
        <is>
          <t>ionising radiation: human health</t>
        </is>
      </c>
      <c r="B25" s="5" t="inlineStr">
        <is>
          <t>kBq U235-eq</t>
        </is>
      </c>
      <c r="C25" s="5" t="inlineStr">
        <is>
          <t>ionising radiation: human health</t>
        </is>
      </c>
      <c r="D25" s="5" t="inlineStr">
        <is>
          <t>False</t>
        </is>
      </c>
    </row>
    <row r="26">
      <c r="A26" s="5" t="inlineStr">
        <is>
          <t>photochemical oxidant formation: human health</t>
        </is>
      </c>
      <c r="B26" s="5" t="inlineStr">
        <is>
          <t>dimensionless (tropospheric ozone concentration increase)</t>
        </is>
      </c>
      <c r="C26" s="5" t="inlineStr">
        <is>
          <t>photochemical oxidant formation: human health</t>
        </is>
      </c>
      <c r="D26" s="5" t="inlineStr">
        <is>
          <t>False</t>
        </is>
      </c>
    </row>
  </sheetData>
  <pageMargins left="0.75" right="0.75" top="1" bottom="1" header="0.5" footer="0.5"/>
</worksheet>
</file>

<file path=xl/worksheets/sheet5.xml><?xml version="1.0" encoding="utf-8"?>
<worksheet xmlns="http://schemas.openxmlformats.org/spreadsheetml/2006/main">
  <sheetPr>
    <tabColor rgb="FFB4A7D6"/>
    <outlinePr summaryBelow="1" summaryRight="1"/>
    <pageSetUpPr/>
  </sheetPr>
  <dimension ref="A1:G4"/>
  <sheetViews>
    <sheetView workbookViewId="0">
      <pane ySplit="1" topLeftCell="A2" activePane="bottomLeft" state="frozen"/>
      <selection pane="bottomLeft" activeCell="A1" sqref="A1"/>
    </sheetView>
  </sheetViews>
  <sheetFormatPr baseColWidth="10" defaultColWidth="8.83203125" defaultRowHeight="15"/>
  <cols>
    <col width="19" customWidth="1" min="1" max="1"/>
    <col width="15" customWidth="1" min="2" max="3"/>
    <col width="17" customWidth="1" min="4" max="4"/>
    <col width="14" customWidth="1" min="5" max="5"/>
    <col width="44" customWidth="1" min="6" max="6"/>
    <col width="12" customWidth="1" min="7" max="7"/>
  </cols>
  <sheetData>
    <row r="1">
      <c r="A1" s="4" t="inlineStr">
        <is>
          <t>scenario_id</t>
        </is>
      </c>
      <c r="B1" s="4" t="inlineStr">
        <is>
          <t>label</t>
        </is>
      </c>
      <c r="C1" s="4" t="inlineStr">
        <is>
          <t>premise_model</t>
        </is>
      </c>
      <c r="D1" s="4" t="inlineStr">
        <is>
          <t>premise_pathway</t>
        </is>
      </c>
      <c r="E1" s="4" t="inlineStr">
        <is>
          <t>premise_year</t>
        </is>
      </c>
      <c r="F1" s="4" t="inlineStr">
        <is>
          <t>comments</t>
        </is>
      </c>
      <c r="G1" s="4" t="inlineStr">
        <is>
          <t>in_results</t>
        </is>
      </c>
    </row>
    <row r="2">
      <c r="A2" s="5" t="inlineStr">
        <is>
          <t>baseline</t>
        </is>
      </c>
      <c r="B2" s="5" t="inlineStr">
        <is>
          <t>today</t>
        </is>
      </c>
      <c r="C2" s="5" t="n"/>
      <c r="D2" s="5" t="n"/>
      <c r="E2" s="5" t="n"/>
      <c r="F2" s="5" t="inlineStr">
        <is>
          <t>Ecoinvent 3.12 cut-off as is</t>
        </is>
      </c>
      <c r="G2" s="5" t="inlineStr">
        <is>
          <t>True</t>
        </is>
      </c>
    </row>
    <row r="3">
      <c r="A3" s="5" t="inlineStr">
        <is>
          <t>image_SSP2-M_2050</t>
        </is>
      </c>
      <c r="B3" s="5" t="inlineStr">
        <is>
          <t>2050 (SSP2-M)</t>
        </is>
      </c>
      <c r="C3" s="5" t="inlineStr">
        <is>
          <t>image</t>
        </is>
      </c>
      <c r="D3" s="5" t="inlineStr">
        <is>
          <t>SSP2-M</t>
        </is>
      </c>
      <c r="E3" s="5" t="n">
        <v>2050</v>
      </c>
      <c r="F3" s="5" t="inlineStr">
        <is>
          <t>premise scenario, medium ambition</t>
        </is>
      </c>
      <c r="G3" s="5" t="inlineStr">
        <is>
          <t>False</t>
        </is>
      </c>
    </row>
    <row r="4">
      <c r="A4" s="5" t="inlineStr">
        <is>
          <t>image_SSP2-L_2050</t>
        </is>
      </c>
      <c r="B4" s="5" t="n">
        <v>2050</v>
      </c>
      <c r="C4" s="5" t="inlineStr">
        <is>
          <t>image</t>
        </is>
      </c>
      <c r="D4" s="5" t="inlineStr">
        <is>
          <t>SSP2-L</t>
        </is>
      </c>
      <c r="E4" s="5" t="n">
        <v>2050</v>
      </c>
      <c r="F4" s="5" t="inlineStr">
        <is>
          <t>premise scenario used for the 2050 results</t>
        </is>
      </c>
      <c r="G4" s="5" t="inlineStr">
        <is>
          <t>True</t>
        </is>
      </c>
    </row>
  </sheetData>
  <pageMargins left="0.75" right="0.75" top="1" bottom="1" header="0.5" footer="0.5"/>
</worksheet>
</file>

<file path=xl/worksheets/sheet6.xml><?xml version="1.0" encoding="utf-8"?>
<worksheet xmlns="http://schemas.openxmlformats.org/spreadsheetml/2006/main">
  <sheetPr>
    <tabColor rgb="FF76A5AF"/>
    <outlinePr summaryBelow="1" summaryRight="1"/>
    <pageSetUpPr/>
  </sheetPr>
  <dimension ref="A1:Q55"/>
  <sheetViews>
    <sheetView workbookViewId="0">
      <pane xSplit="6" ySplit="1" topLeftCell="H2" activePane="bottomRight" state="frozen"/>
      <selection pane="topRight" activeCell="A1" sqref="A1"/>
      <selection pane="bottomLeft" activeCell="A1" sqref="A1"/>
      <selection pane="bottomRight" activeCell="I6" sqref="I6"/>
    </sheetView>
  </sheetViews>
  <sheetFormatPr baseColWidth="10" defaultColWidth="8.83203125" defaultRowHeight="15"/>
  <cols>
    <col width="12" customWidth="1" min="1" max="1"/>
    <col width="15" customWidth="1" min="2" max="2"/>
    <col width="13" customWidth="1" min="3" max="3"/>
    <col width="22" customWidth="1" min="4" max="4"/>
    <col width="17" customWidth="1" min="5" max="5"/>
    <col width="34" customWidth="1" min="6" max="6"/>
    <col width="60" customWidth="1" min="7" max="7"/>
    <col width="14" customWidth="1" min="8" max="8"/>
    <col width="9" customWidth="1" min="9" max="10"/>
    <col width="10.5" customWidth="1" min="11" max="11"/>
    <col width="13" customWidth="1" min="12" max="12"/>
    <col width="17" customWidth="1" min="13" max="13"/>
    <col width="40" customWidth="1" min="14" max="14"/>
    <col width="13" customWidth="1" min="15" max="15"/>
    <col width="13.6640625" customWidth="1" min="16" max="16"/>
  </cols>
  <sheetData>
    <row r="1">
      <c r="A1" s="6" t="inlineStr">
        <is>
          <t>case</t>
        </is>
      </c>
      <c r="B1" s="6" t="inlineStr">
        <is>
          <t>group</t>
        </is>
      </c>
      <c r="C1" s="6" t="inlineStr">
        <is>
          <t>stage</t>
        </is>
      </c>
      <c r="D1" s="6" t="inlineStr">
        <is>
          <t>item</t>
        </is>
      </c>
      <c r="E1" s="6" t="inlineStr">
        <is>
          <t>qualifier</t>
        </is>
      </c>
      <c r="F1" s="6" t="inlineStr">
        <is>
          <t>parameter</t>
        </is>
      </c>
      <c r="G1" s="6" t="inlineStr">
        <is>
          <t>description</t>
        </is>
      </c>
      <c r="H1" s="6" t="inlineStr">
        <is>
          <t>unit</t>
        </is>
      </c>
      <c r="I1" s="6" t="inlineStr">
        <is>
          <t>typical</t>
        </is>
      </c>
      <c r="J1" s="6" t="inlineStr">
        <is>
          <t>min</t>
        </is>
      </c>
      <c r="K1" s="6" t="inlineStr">
        <is>
          <t>max</t>
        </is>
      </c>
      <c r="L1" s="6" t="inlineStr">
        <is>
          <t>scaled_up</t>
        </is>
      </c>
      <c r="M1" s="6" t="inlineStr">
        <is>
          <t>distribution</t>
        </is>
      </c>
      <c r="N1" s="6" t="inlineStr">
        <is>
          <t>choices</t>
        </is>
      </c>
      <c r="O1" s="6" t="inlineStr">
        <is>
          <t>source</t>
        </is>
      </c>
      <c r="P1" s="6" t="inlineStr">
        <is>
          <t>status</t>
        </is>
      </c>
      <c r="Q1" s="6" t="inlineStr">
        <is>
          <t>comments</t>
        </is>
      </c>
    </row>
    <row r="2" ht="16" customHeight="1">
      <c r="A2" s="7" t="inlineStr">
        <is>
          <t>raw_biopol</t>
        </is>
      </c>
      <c r="B2" s="7" t="inlineStr">
        <is>
          <t>design</t>
        </is>
      </c>
      <c r="C2" s="7" t="inlineStr">
        <is>
          <t>product size</t>
        </is>
      </c>
      <c r="D2" s="7" t="inlineStr">
        <is>
          <t>product</t>
        </is>
      </c>
      <c r="E2" s="7" t="n"/>
      <c r="F2" s="7" t="inlineStr">
        <is>
          <t>wall_height</t>
        </is>
      </c>
      <c r="G2" s="7" t="inlineStr">
        <is>
          <t>Height of the wall</t>
        </is>
      </c>
      <c r="H2" s="7" t="inlineStr">
        <is>
          <t>m</t>
        </is>
      </c>
      <c r="I2" s="7" t="n">
        <v>3</v>
      </c>
      <c r="J2" s="7" t="n">
        <v>3</v>
      </c>
      <c r="K2" s="7" t="n">
        <v>3</v>
      </c>
      <c r="L2" s="7" t="n"/>
      <c r="M2" s="7" t="inlineStr">
        <is>
          <t>fixed</t>
        </is>
      </c>
      <c r="N2" s="7" t="n"/>
      <c r="O2" s="7" t="inlineStr">
        <is>
          <t>Functional unit: a 3 m high partition wall (fu_comparison); same for all compared walls</t>
        </is>
      </c>
      <c r="P2" s="7" t="inlineStr">
        <is>
          <t>partner estimate</t>
        </is>
      </c>
      <c r="Q2" s="7" t="inlineStr">
        <is>
          <t>fixed: standard storey height, must equal for the compared walls</t>
        </is>
      </c>
    </row>
    <row r="3" ht="16" customHeight="1">
      <c r="A3" s="7" t="inlineStr">
        <is>
          <t>raw_biopol</t>
        </is>
      </c>
      <c r="B3" s="7" t="inlineStr">
        <is>
          <t>design</t>
        </is>
      </c>
      <c r="C3" s="7" t="inlineStr">
        <is>
          <t>product size</t>
        </is>
      </c>
      <c r="D3" s="7" t="inlineStr">
        <is>
          <t>product</t>
        </is>
      </c>
      <c r="E3" s="7" t="n"/>
      <c r="F3" s="7" t="inlineStr">
        <is>
          <t>thickness_ratio</t>
        </is>
      </c>
      <c r="G3" s="7" t="inlineStr">
        <is>
          <t>Wall height divided by wall thickness</t>
        </is>
      </c>
      <c r="H3" s="7" t="inlineStr">
        <is>
          <t>-</t>
        </is>
      </c>
      <c r="I3" s="7" t="n">
        <v>10</v>
      </c>
      <c r="J3" s="7" t="n">
        <v>8</v>
      </c>
      <c r="K3" s="7" t="n">
        <v>12</v>
      </c>
      <c r="L3" s="7" t="n"/>
      <c r="M3" s="7" t="inlineStr">
        <is>
          <t>triangular</t>
        </is>
      </c>
      <c r="N3" s="7" t="n"/>
      <c r="O3" s="7" t="inlineStr">
        <is>
          <t>RAW printed wall of 0.30 m thickness (height 3 m / 10); Confirmed by the LCA team lead (Tanya) on 2026-09-29</t>
        </is>
      </c>
      <c r="P3" s="7" t="inlineStr">
        <is>
          <t>partner estimate</t>
        </is>
      </c>
      <c r="Q3" s="7" t="inlineStr">
        <is>
          <t>Range 8-12 = 0.25-0.375 m. A thick, single-material printed wall is needed for stability and to carry its own weight; also the same ratio as the adobe baseline (lci_baseline_adobe_wall), so the comparison is on equal geometry logic.</t>
        </is>
      </c>
    </row>
    <row r="4" ht="16" customHeight="1">
      <c r="A4" s="7" t="inlineStr">
        <is>
          <t>raw_biopol</t>
        </is>
      </c>
      <c r="B4" s="7" t="inlineStr">
        <is>
          <t>design</t>
        </is>
      </c>
      <c r="C4" s="7" t="inlineStr">
        <is>
          <t>product size</t>
        </is>
      </c>
      <c r="D4" s="7" t="inlineStr">
        <is>
          <t>product</t>
        </is>
      </c>
      <c r="E4" s="7" t="n"/>
      <c r="F4" s="7" t="inlineStr">
        <is>
          <t>density</t>
        </is>
      </c>
      <c r="G4" s="7" t="inlineStr">
        <is>
          <t>Density of the finished biopolymer wall</t>
        </is>
      </c>
      <c r="H4" s="7" t="inlineStr">
        <is>
          <t>kg/m3</t>
        </is>
      </c>
      <c r="I4" s="7" t="n">
        <v>350</v>
      </c>
      <c r="J4" s="7" t="n">
        <v>280</v>
      </c>
      <c r="K4" s="7" t="n">
        <v>420</v>
      </c>
      <c r="L4" s="7" t="n"/>
      <c r="M4" s="7" t="inlineStr">
        <is>
          <t>triangular</t>
        </is>
      </c>
      <c r="N4" s="7" t="n"/>
      <c r="O4" s="7" t="inlineStr">
        <is>
          <t>Finished (dried) wall density incl. voids, Confirmed by the LCA team lead (Tanya) on 2026-09-29; comparable bio-based fibre composites such as hempcrete are ~300-450 kg/m3 (general knowledge, not re-checked online)</t>
        </is>
      </c>
      <c r="P4" s="7" t="inlineStr">
        <is>
          <t>partner estimate</t>
        </is>
      </c>
      <c r="Q4" s="7" t="inlineStr">
        <is>
          <t>350 kg/m3 (280-420) is plausible: sawdust/fibre bulk densities are ~100-250 kg/m3 and the pea-protein binder densifies it; light but heavier than pure fibre insulation.</t>
        </is>
      </c>
    </row>
    <row r="5" ht="32" customHeight="1">
      <c r="A5" s="7" t="inlineStr">
        <is>
          <t>raw_biopol</t>
        </is>
      </c>
      <c r="B5" s="7" t="inlineStr">
        <is>
          <t>design</t>
        </is>
      </c>
      <c r="C5" s="7" t="inlineStr">
        <is>
          <t>production</t>
        </is>
      </c>
      <c r="D5" s="7" t="inlineStr">
        <is>
          <t>Pea protein binder</t>
        </is>
      </c>
      <c r="E5" s="7" t="inlineStr">
        <is>
          <t>virgin</t>
        </is>
      </c>
      <c r="F5" s="7" t="inlineStr">
        <is>
          <t>share of input mass</t>
        </is>
      </c>
      <c r="G5" s="8" t="inlineStr">
        <is>
          <t>Share of the production input mass that is pea protein binder (at least 70 %); the rest of the mass is filler</t>
        </is>
      </c>
      <c r="H5" s="7" t="inlineStr">
        <is>
          <t>%</t>
        </is>
      </c>
      <c r="I5" s="7" t="n">
        <v>70</v>
      </c>
      <c r="J5" s="7" t="n">
        <v>70</v>
      </c>
      <c r="K5" s="7" t="n">
        <v>90</v>
      </c>
      <c r="L5" s="7" t="n"/>
      <c r="M5" s="7" t="inlineStr">
        <is>
          <t>triangular</t>
        </is>
      </c>
      <c r="N5" s="7" t="n"/>
      <c r="O5" s="7" t="inlineStr">
        <is>
          <t>RAW recipe (dry-mass shares), Confirmed by the LCA team lead (Tanya) on 2026-09-29</t>
        </is>
      </c>
      <c r="P5" s="7" t="inlineStr">
        <is>
          <t>partner estimate</t>
        </is>
      </c>
      <c r="Q5" s="7" t="inlineStr">
        <is>
          <t xml:space="preserve">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t>
        </is>
      </c>
    </row>
    <row r="6" ht="32" customHeight="1">
      <c r="A6" s="7" t="inlineStr">
        <is>
          <t>raw_biopol</t>
        </is>
      </c>
      <c r="B6" s="7" t="inlineStr">
        <is>
          <t>design</t>
        </is>
      </c>
      <c r="C6" s="7" t="inlineStr">
        <is>
          <t>production</t>
        </is>
      </c>
      <c r="D6" s="7" t="inlineStr">
        <is>
          <t>fillers</t>
        </is>
      </c>
      <c r="E6" s="7" t="n"/>
      <c r="F6" s="7" t="inlineStr">
        <is>
          <t>filler combination</t>
        </is>
      </c>
      <c r="G6" s="8" t="inlineStr">
        <is>
          <t>Which fillers the production recipe uses: 1 to 2 different fillers (min / max) from the list in 'choices', written 'A + B' (the first one is the main filler)</t>
        </is>
      </c>
      <c r="H6" s="7" t="inlineStr">
        <is>
          <t>fillers</t>
        </is>
      </c>
      <c r="I6" s="7" t="inlineStr">
        <is>
          <t>Sawdust + Seagrass</t>
        </is>
      </c>
      <c r="J6" s="7" t="n">
        <v>1</v>
      </c>
      <c r="K6" s="7" t="n">
        <v>2</v>
      </c>
      <c r="L6" s="7" t="n"/>
      <c r="M6" s="7" t="inlineStr">
        <is>
          <t>combination</t>
        </is>
      </c>
      <c r="N6" s="7" t="inlineStr">
        <is>
          <t>Cotton fiber (virgin);Hemp fiber (virgin);Hemp dust (co-product);Bark chips (co-product);Sawdust (co-product);Cellulose reject fibers (co-product);Seagrass (wild-harvested)</t>
        </is>
      </c>
      <c r="O6" s="7" t="inlineStr">
        <is>
          <t>RAW recipe (dry-mass shares), Confirmed by the LCA team lead (Tanya) on 2026-09-29</t>
        </is>
      </c>
      <c r="P6" s="7" t="inlineStr">
        <is>
          <t>partner estimate</t>
        </is>
      </c>
      <c r="Q6" s="7" t="inlineStr">
        <is>
          <t>The typical value is the current recipe. In the uncertainty and sensitivity analyses every allowed combination (7 single fillers, 42 ordered pairs) is equally likely. To allow other fillers, add them to 'choices' as 'material (source)'; they must be on unit_burdens_dataSources.</t>
        </is>
      </c>
    </row>
    <row r="7" ht="32" customHeight="1">
      <c r="A7" s="7" t="inlineStr">
        <is>
          <t>raw_biopol</t>
        </is>
      </c>
      <c r="B7" s="7" t="inlineStr">
        <is>
          <t>design</t>
        </is>
      </c>
      <c r="C7" s="7" t="inlineStr">
        <is>
          <t>production</t>
        </is>
      </c>
      <c r="D7" s="7" t="inlineStr">
        <is>
          <t>fillers</t>
        </is>
      </c>
      <c r="E7" s="7" t="n"/>
      <c r="F7" s="7" t="inlineStr">
        <is>
          <t>share of first filler</t>
        </is>
      </c>
      <c r="G7" s="8" t="inlineStr">
        <is>
          <t>Share of the filler mass (100 % - binder share) that is the first filler of the combination; the second filler gets the rest. Not used when the recipe has only one filler</t>
        </is>
      </c>
      <c r="H7" s="7" t="inlineStr">
        <is>
          <t>% of filler mass</t>
        </is>
      </c>
      <c r="I7" s="7" t="n">
        <v>66.66666666666667</v>
      </c>
      <c r="J7" s="7" t="n">
        <v>50</v>
      </c>
      <c r="K7" s="7" t="n">
        <v>100</v>
      </c>
      <c r="L7" s="7" t="n"/>
      <c r="M7" s="7" t="inlineStr">
        <is>
          <t>triangular</t>
        </is>
      </c>
      <c r="N7" s="7" t="n"/>
      <c r="O7" s="7" t="inlineStr">
        <is>
          <t>RAW recipe (dry-mass shares), Confirmed by the LCA team lead (Tanya) on 2026-09-29</t>
        </is>
      </c>
      <c r="P7" s="7" t="inlineStr">
        <is>
          <t>partner estimate</t>
        </is>
      </c>
      <c r="Q7" s="7" t="inlineStr">
        <is>
          <t>Current recipe 20 / 10 = 67 % sawdust. min = 50 keeps the first filler the main one.</t>
        </is>
      </c>
    </row>
    <row r="8" ht="32" customHeight="1">
      <c r="A8" s="7" t="inlineStr">
        <is>
          <t>raw_biopol</t>
        </is>
      </c>
      <c r="B8" s="7" t="inlineStr">
        <is>
          <t>design</t>
        </is>
      </c>
      <c r="C8" s="7" t="inlineStr">
        <is>
          <t>repair</t>
        </is>
      </c>
      <c r="D8" s="7" t="inlineStr">
        <is>
          <t>Pea protein binder</t>
        </is>
      </c>
      <c r="E8" s="7" t="inlineStr">
        <is>
          <t>virgin</t>
        </is>
      </c>
      <c r="F8" s="7" t="inlineStr">
        <is>
          <t>share of input mass</t>
        </is>
      </c>
      <c r="G8" s="8" t="inlineStr">
        <is>
          <t>Share of the repair input mass that is pea protein binder (at least 70 %); the rest of the mass is filler</t>
        </is>
      </c>
      <c r="H8" s="7" t="inlineStr">
        <is>
          <t>%</t>
        </is>
      </c>
      <c r="I8" s="7" t="n">
        <v>80</v>
      </c>
      <c r="J8" s="7" t="n">
        <v>70</v>
      </c>
      <c r="K8" s="7" t="n">
        <v>90</v>
      </c>
      <c r="L8" s="7" t="n"/>
      <c r="M8" s="7" t="inlineStr">
        <is>
          <t>triangular</t>
        </is>
      </c>
      <c r="N8" s="7" t="n"/>
      <c r="O8" s="7" t="inlineStr">
        <is>
          <t>Assumption (Claude), based on production recipe 70/20/10 with sawdust replaced by hemp fibre</t>
        </is>
      </c>
      <c r="P8" s="7" t="inlineStr">
        <is>
          <t>partner estimate</t>
        </is>
      </c>
      <c r="Q8" s="7" t="inlineStr">
        <is>
          <t>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Repair paste assumed to differ from the production paste: more binder for adhesion to the old wall and hemp fibre (crack-bridging) instead of sawdust. Assumption by Claude - please confirm.</t>
        </is>
      </c>
    </row>
    <row r="9" ht="32" customHeight="1">
      <c r="A9" s="7" t="inlineStr">
        <is>
          <t>raw_biopol</t>
        </is>
      </c>
      <c r="B9" s="7" t="inlineStr">
        <is>
          <t>design</t>
        </is>
      </c>
      <c r="C9" s="7" t="inlineStr">
        <is>
          <t>repair</t>
        </is>
      </c>
      <c r="D9" s="7" t="inlineStr">
        <is>
          <t>fillers</t>
        </is>
      </c>
      <c r="E9" s="7" t="n"/>
      <c r="F9" s="7" t="inlineStr">
        <is>
          <t>filler combination</t>
        </is>
      </c>
      <c r="G9" s="8" t="inlineStr">
        <is>
          <t>Which fillers the repair recipe uses: 1 to 2 different fillers (min / max) from the list in 'choices', written 'A + B' (the first one is the main filler)</t>
        </is>
      </c>
      <c r="H9" s="7" t="inlineStr">
        <is>
          <t>fillers</t>
        </is>
      </c>
      <c r="I9" s="7" t="inlineStr">
        <is>
          <t>Sawdust + Seagrass</t>
        </is>
      </c>
      <c r="J9" s="7" t="n">
        <v>1</v>
      </c>
      <c r="K9" s="7" t="n">
        <v>2</v>
      </c>
      <c r="L9" s="7" t="n"/>
      <c r="M9" s="7" t="inlineStr">
        <is>
          <t>combination</t>
        </is>
      </c>
      <c r="N9" s="7" t="inlineStr">
        <is>
          <t>Cotton fiber (virgin);Hemp fiber (virgin);Hemp dust (co-product);Bark chips (co-product);Sawdust (co-product);Cellulose reject fibers (co-product);Seagrass (wild-harvested)</t>
        </is>
      </c>
      <c r="O9" s="7" t="inlineStr">
        <is>
          <t>Assumption (Claude), based on production recipe 70/20/10 with sawdust replaced by hemp fibre</t>
        </is>
      </c>
      <c r="P9" s="7" t="inlineStr">
        <is>
          <t>partner estimate</t>
        </is>
      </c>
      <c r="Q9" s="7" t="inlineStr">
        <is>
          <t>The typical value is the current recipe. In the uncertainty and sensitivity analyses every allowed combination (7 single fillers, 42 ordered pairs) is equally likely. To allow other fillers, add them to 'choices' as 'material (source)'; they must be on unit_burdens_dataSources.</t>
        </is>
      </c>
    </row>
    <row r="10" ht="32" customHeight="1">
      <c r="A10" s="7" t="inlineStr">
        <is>
          <t>raw_biopol</t>
        </is>
      </c>
      <c r="B10" s="7" t="inlineStr">
        <is>
          <t>design</t>
        </is>
      </c>
      <c r="C10" s="7" t="inlineStr">
        <is>
          <t>repair</t>
        </is>
      </c>
      <c r="D10" s="7" t="inlineStr">
        <is>
          <t>fillers</t>
        </is>
      </c>
      <c r="E10" s="7" t="n"/>
      <c r="F10" s="7" t="inlineStr">
        <is>
          <t>share of first filler</t>
        </is>
      </c>
      <c r="G10" s="8" t="inlineStr">
        <is>
          <t>Share of the filler mass (100 % - binder share) that is the first filler of the combination; the second filler gets the rest. Not used when the recipe has only one filler</t>
        </is>
      </c>
      <c r="H10" s="7" t="inlineStr">
        <is>
          <t>% of filler mass</t>
        </is>
      </c>
      <c r="I10" s="7" t="n">
        <v>50</v>
      </c>
      <c r="J10" s="7" t="n">
        <v>50</v>
      </c>
      <c r="K10" s="7" t="n">
        <v>100</v>
      </c>
      <c r="L10" s="7" t="n"/>
      <c r="M10" s="7" t="inlineStr">
        <is>
          <t>triangular</t>
        </is>
      </c>
      <c r="N10" s="7" t="n"/>
      <c r="O10" s="7" t="inlineStr">
        <is>
          <t>Assumption (Claude), based on production recipe 70/20/10 with sawdust replaced by hemp fibre</t>
        </is>
      </c>
      <c r="P10" s="7" t="inlineStr">
        <is>
          <t>partner estimate</t>
        </is>
      </c>
      <c r="Q10" s="7" t="inlineStr">
        <is>
          <t>Current recipe 10 / 10 = 50 %. min = 50 keeps the first filler the main one.</t>
        </is>
      </c>
    </row>
    <row r="11" ht="16" customHeight="1">
      <c r="A11" s="7" t="inlineStr">
        <is>
          <t>raw_biopol</t>
        </is>
      </c>
      <c r="B11" s="7" t="inlineStr">
        <is>
          <t>manufacturing</t>
        </is>
      </c>
      <c r="C11" s="7" t="inlineStr">
        <is>
          <t>production</t>
        </is>
      </c>
      <c r="D11" s="7" t="inlineStr">
        <is>
          <t>Milling</t>
        </is>
      </c>
      <c r="E11" s="7" t="n"/>
      <c r="F11" s="7" t="inlineStr">
        <is>
          <t>machine weight</t>
        </is>
      </c>
      <c r="G11" s="8" t="inlineStr">
        <is>
          <t>Weight of the machine used in this step (used to account for machine wear)</t>
        </is>
      </c>
      <c r="H11" s="7" t="inlineStr">
        <is>
          <t>kg</t>
        </is>
      </c>
      <c r="I11" s="7" t="n">
        <v>160</v>
      </c>
      <c r="J11" s="7" t="n">
        <v>140</v>
      </c>
      <c r="K11" s="7" t="n">
        <v>180</v>
      </c>
      <c r="L11" s="7" t="n">
        <v>1500</v>
      </c>
      <c r="M11" s="7" t="inlineStr">
        <is>
          <t>triangular</t>
        </is>
      </c>
      <c r="N11" s="7" t="n"/>
      <c r="O11" s="7" t="inlineStr">
        <is>
          <t>PROTOTYPE machine assumed: laboratory cutting mill of the Retsch SM 300 class (studio/workshop fine-milling of sawdust and seagrass). Weight 160 kg and 3 kW motor from Retsch SM 300 datasheet (retsch.com product data sheet). SCALED-UP machine assumed: industrial biomass hammer mill, medium class (22-55 kW, 0.5-2.5 t/h; Lansonmachines hammer mill guide). 1500 kg is a typical mass for a 30 kW mill (assumption, not retrieved).</t>
        </is>
      </c>
      <c r="P11" s="7" t="inlineStr">
        <is>
          <t>literature</t>
        </is>
      </c>
      <c r="Q11" s="7" t="inlineStr">
        <is>
          <t>Was 65 kg. Datasheet weight for the prototype; the industrial value is an engineering assumption.</t>
        </is>
      </c>
    </row>
    <row r="12" ht="16" customHeight="1">
      <c r="A12" s="7" t="inlineStr">
        <is>
          <t>raw_biopol</t>
        </is>
      </c>
      <c r="B12" s="7" t="inlineStr">
        <is>
          <t>manufacturing</t>
        </is>
      </c>
      <c r="C12" s="7" t="inlineStr">
        <is>
          <t>production</t>
        </is>
      </c>
      <c r="D12" s="7" t="inlineStr">
        <is>
          <t>Milling</t>
        </is>
      </c>
      <c r="E12" s="7" t="n"/>
      <c r="F12" s="7" t="inlineStr">
        <is>
          <t>power</t>
        </is>
      </c>
      <c r="G12" s="8" t="inlineStr">
        <is>
          <t>Electric power the machine draws while running</t>
        </is>
      </c>
      <c r="H12" s="7" t="inlineStr">
        <is>
          <t>kW</t>
        </is>
      </c>
      <c r="I12" s="7" t="n">
        <v>2</v>
      </c>
      <c r="J12" s="7" t="n">
        <v>1.5</v>
      </c>
      <c r="K12" s="7" t="n">
        <v>3</v>
      </c>
      <c r="L12" s="7" t="n">
        <v>30</v>
      </c>
      <c r="M12" s="7" t="inlineStr">
        <is>
          <t>triangular</t>
        </is>
      </c>
      <c r="N12" s="7" t="n"/>
      <c r="O12" s="7" t="inlineStr">
        <is>
          <t>PROTOTYPE machine assumed: laboratory cutting mill of the Retsch SM 300 class (studio/workshop fine-milling of sawdust and seagrass). Motor rating 3 kW (Retsch datasheet); average draw under load assumed ~65% of rating = 2.0 kW. SCALED-UP machine assumed: industrial biomass hammer mill, medium class (22-55 kW, 0.5-2.5 t/h; Lansonmachines hammer mill guide). 30 kW, mid-range of the 22-55 kW medium class.</t>
        </is>
      </c>
      <c r="P12" s="7" t="inlineStr">
        <is>
          <t>partner estimate</t>
        </is>
      </c>
      <c r="Q12" s="7" t="inlineStr">
        <is>
          <t>Rated 3 kW is the ceiling; a mill idles/loads intermittently, so the average is lower.</t>
        </is>
      </c>
    </row>
    <row r="13" ht="16" customHeight="1">
      <c r="A13" s="7" t="inlineStr">
        <is>
          <t>raw_biopol</t>
        </is>
      </c>
      <c r="B13" s="7" t="inlineStr">
        <is>
          <t>manufacturing</t>
        </is>
      </c>
      <c r="C13" s="7" t="inlineStr">
        <is>
          <t>production</t>
        </is>
      </c>
      <c r="D13" s="7" t="inlineStr">
        <is>
          <t>Milling</t>
        </is>
      </c>
      <c r="E13" s="7" t="n"/>
      <c r="F13" s="7" t="inlineStr">
        <is>
          <t>output rate</t>
        </is>
      </c>
      <c r="G13" s="8" t="inlineStr">
        <is>
          <t>Mass of material the machine processes per hour</t>
        </is>
      </c>
      <c r="H13" s="7" t="inlineStr">
        <is>
          <t>kg/hr</t>
        </is>
      </c>
      <c r="I13" s="7" t="n">
        <v>3</v>
      </c>
      <c r="J13" s="7" t="n">
        <v>1.5</v>
      </c>
      <c r="K13" s="7" t="n">
        <v>6</v>
      </c>
      <c r="L13" s="7" t="n">
        <v>1000</v>
      </c>
      <c r="M13" s="7" t="inlineStr">
        <is>
          <t>triangular</t>
        </is>
      </c>
      <c r="N13" s="7" t="n"/>
      <c r="O13" s="7" t="inlineStr">
        <is>
          <t>PROTOTYPE machine assumed: laboratory cutting mill of the Retsch SM 300 class (studio/workshop fine-milling of sawdust and seagrass). Throughput not given in the datasheet; 3 kg/h is an engineering estimate for batch milling of dry sawdust/seagrass through a 1-4 mm screen. SCALED-UP machine assumed: industrial biomass hammer mill, medium class (22-55 kW, 0.5-2.5 t/h; Lansonmachines hammer mill guide). 1000 kg/h at 30 kW = 30 kWh/t, inside the 25-60 kWh/t range for softwood/straw (Lansonmachines).</t>
        </is>
      </c>
      <c r="P13" s="7" t="inlineStr">
        <is>
          <t>partner estimate</t>
        </is>
      </c>
      <c r="Q13" s="7" t="inlineStr">
        <is>
          <t>Energy check: prototype 2.0 kW / 3 kg/h = 0.67 kWh/kg vs industrial 0.03 kWh/kg: a ~20x gap, typical for a lab mill run at low utilisation.</t>
        </is>
      </c>
    </row>
    <row r="14" ht="16" customHeight="1">
      <c r="A14" s="7" t="inlineStr">
        <is>
          <t>raw_biopol</t>
        </is>
      </c>
      <c r="B14" s="7" t="inlineStr">
        <is>
          <t>manufacturing</t>
        </is>
      </c>
      <c r="C14" s="7" t="inlineStr">
        <is>
          <t>production</t>
        </is>
      </c>
      <c r="D14" s="7" t="inlineStr">
        <is>
          <t>Milling</t>
        </is>
      </c>
      <c r="E14" s="7" t="n"/>
      <c r="F14" s="7" t="inlineStr">
        <is>
          <t>machine lifetime</t>
        </is>
      </c>
      <c r="G14" s="8" t="inlineStr">
        <is>
          <t>Operating hours before the machine is worn out</t>
        </is>
      </c>
      <c r="H14" s="7" t="inlineStr">
        <is>
          <t>hrs</t>
        </is>
      </c>
      <c r="I14" s="7" t="n">
        <v>5000</v>
      </c>
      <c r="J14" s="7" t="n">
        <v>2500</v>
      </c>
      <c r="K14" s="7" t="n">
        <v>10000</v>
      </c>
      <c r="L14" s="7" t="n">
        <v>30000</v>
      </c>
      <c r="M14" s="7" t="inlineStr">
        <is>
          <t>triangular</t>
        </is>
      </c>
      <c r="N14" s="7" t="n"/>
      <c r="O14" s="7" t="inlineStr">
        <is>
          <t>PROTOTYPE machine assumed: laboratory cutting mill of the Retsch SM 300 class (studio/workshop fine-milling of sawdust and seagrass). Lifetime = operating hours until the machine is retired. Studio: ~10-15 y in service x ~300-700 h/y of actual use = 5,000-10,000 h (obsolescence, not wear, ends its life). Industrial: ~36,000 h, the operating-hour lifetime used for a robot in an LCA study (Robotics 2021, 10(1), 33). Hammer mills run 20-30 y with wear parts replaced; 30,000 h assumed.</t>
        </is>
      </c>
      <c r="P14" s="7" t="inlineStr">
        <is>
          <t>partner estimate</t>
        </is>
      </c>
      <c r="Q14" s="7" t="inlineStr">
        <is>
          <t>Lifetime logic: see source.</t>
        </is>
      </c>
    </row>
    <row r="15" ht="32" customHeight="1">
      <c r="A15" s="7" t="inlineStr">
        <is>
          <t>raw_biopol</t>
        </is>
      </c>
      <c r="B15" s="7" t="inlineStr">
        <is>
          <t>manufacturing</t>
        </is>
      </c>
      <c r="C15" s="7" t="inlineStr">
        <is>
          <t>production</t>
        </is>
      </c>
      <c r="D15" s="7" t="inlineStr">
        <is>
          <t>Milling</t>
        </is>
      </c>
      <c r="E15" s="7" t="n"/>
      <c r="F15" s="7" t="inlineStr">
        <is>
          <t>process yield</t>
        </is>
      </c>
      <c r="G15" s="8" t="inlineStr">
        <is>
          <t>Share of the material entering this step that leaves it as usable output (the rest is waste)</t>
        </is>
      </c>
      <c r="H15" s="7" t="inlineStr">
        <is>
          <t>%</t>
        </is>
      </c>
      <c r="I15" s="7" t="n">
        <v>95</v>
      </c>
      <c r="J15" s="7" t="n">
        <v>85</v>
      </c>
      <c r="K15" s="7" t="n">
        <v>100</v>
      </c>
      <c r="L15" s="7" t="n"/>
      <c r="M15" s="7" t="inlineStr">
        <is>
          <t>triangular</t>
        </is>
      </c>
      <c r="N15" s="7" t="n"/>
      <c r="O15" s="7" t="inlineStr">
        <is>
          <t>PROTOTYPE machine assumed: laboratory cutting mill of the Retsch SM 300 class (studio/workshop fine-milling of sawdust and seagrass). Fine dust lost to the extraction filter and mill housing (~5%) in a studio without dust return; industrial mills recover it (yield cannot be scaled up separately on this sheet).</t>
        </is>
      </c>
      <c r="P15" s="7" t="inlineStr">
        <is>
          <t>partner estimate</t>
        </is>
      </c>
      <c r="Q15" s="7" t="inlineStr">
        <is>
          <t>Was 100. Scaled-up variant keeps the prototype yield because only weight/power/rate/lifetime can be scaled.</t>
        </is>
      </c>
    </row>
    <row r="16" ht="16" customHeight="1">
      <c r="A16" s="7" t="inlineStr">
        <is>
          <t>raw_biopol</t>
        </is>
      </c>
      <c r="B16" s="7" t="inlineStr">
        <is>
          <t>manufacturing</t>
        </is>
      </c>
      <c r="C16" s="7" t="inlineStr">
        <is>
          <t>production</t>
        </is>
      </c>
      <c r="D16" s="7" t="inlineStr">
        <is>
          <t>Milling</t>
        </is>
      </c>
      <c r="E16" s="7" t="n"/>
      <c r="F16" s="7" t="inlineStr">
        <is>
          <t>machine source</t>
        </is>
      </c>
      <c r="G16" s="8" t="inlineStr">
        <is>
          <t>Whether the machine is new (virgin) or reused/recycled (recycled)</t>
        </is>
      </c>
      <c r="H16" s="7" t="inlineStr">
        <is>
          <t>-</t>
        </is>
      </c>
      <c r="I16" s="7" t="inlineStr">
        <is>
          <t>virgin</t>
        </is>
      </c>
      <c r="J16" s="7" t="n"/>
      <c r="K16" s="7" t="n"/>
      <c r="L16" s="7" t="n"/>
      <c r="M16" s="7" t="inlineStr">
        <is>
          <t>choice</t>
        </is>
      </c>
      <c r="N16" s="7" t="inlineStr">
        <is>
          <t>virgin;recycled</t>
        </is>
      </c>
      <c r="O16" s="7" t="inlineStr">
        <is>
          <t>Assumption: all machinery (studio and industrial) is bought new, i.e. virgin</t>
        </is>
      </c>
      <c r="P16" s="7" t="inlineStr">
        <is>
          <t>partner estimate</t>
        </is>
      </c>
      <c r="Q16" s="7" t="n"/>
    </row>
    <row r="17" ht="16" customHeight="1">
      <c r="A17" s="7" t="inlineStr">
        <is>
          <t>raw_biopol</t>
        </is>
      </c>
      <c r="B17" s="7" t="inlineStr">
        <is>
          <t>manufacturing</t>
        </is>
      </c>
      <c r="C17" s="7" t="inlineStr">
        <is>
          <t>production</t>
        </is>
      </c>
      <c r="D17" s="7" t="inlineStr">
        <is>
          <t>Mixing</t>
        </is>
      </c>
      <c r="E17" s="7" t="n"/>
      <c r="F17" s="7" t="inlineStr">
        <is>
          <t>machine weight</t>
        </is>
      </c>
      <c r="G17" s="8" t="inlineStr">
        <is>
          <t>Weight of the machine used in this step (used to account for machine wear)</t>
        </is>
      </c>
      <c r="H17" s="7" t="inlineStr">
        <is>
          <t>kg</t>
        </is>
      </c>
      <c r="I17" s="7" t="n">
        <v>120</v>
      </c>
      <c r="J17" s="7" t="n">
        <v>100</v>
      </c>
      <c r="K17" s="7" t="n">
        <v>150</v>
      </c>
      <c r="L17" s="7" t="n">
        <v>1000</v>
      </c>
      <c r="M17" s="7" t="inlineStr">
        <is>
          <t>triangular</t>
        </is>
      </c>
      <c r="N17" s="7" t="n"/>
      <c r="O17" s="7" t="inlineStr">
        <is>
          <t>PROTOTYPE machine assumed: ~30 L spiral/planetary paste mixer of the bakery/studio type (batches of ~10 kg). Weight and 1.5 kW motor are typical catalogue values for a 30 L spiral mixer (not retrieved online). SCALED-UP machine assumed: ~500 L industrial paddle/twin-shaft batch mixer. ~1 t is typical for a 500 L twin-shaft mixer (assumption).</t>
        </is>
      </c>
      <c r="P17" s="7" t="inlineStr">
        <is>
          <t>partner estimate</t>
        </is>
      </c>
      <c r="Q17" s="7" t="inlineStr">
        <is>
          <t>Was 150 kg.</t>
        </is>
      </c>
    </row>
    <row r="18" ht="16" customHeight="1">
      <c r="A18" s="7" t="inlineStr">
        <is>
          <t>raw_biopol</t>
        </is>
      </c>
      <c r="B18" s="7" t="inlineStr">
        <is>
          <t>manufacturing</t>
        </is>
      </c>
      <c r="C18" s="7" t="inlineStr">
        <is>
          <t>production</t>
        </is>
      </c>
      <c r="D18" s="7" t="inlineStr">
        <is>
          <t>Mixing</t>
        </is>
      </c>
      <c r="E18" s="7" t="n"/>
      <c r="F18" s="7" t="inlineStr">
        <is>
          <t>power</t>
        </is>
      </c>
      <c r="G18" s="8" t="inlineStr">
        <is>
          <t>Electric power the machine draws while running</t>
        </is>
      </c>
      <c r="H18" s="7" t="inlineStr">
        <is>
          <t>kW</t>
        </is>
      </c>
      <c r="I18" s="7" t="n">
        <v>1.5</v>
      </c>
      <c r="J18" s="7" t="n">
        <v>1.2</v>
      </c>
      <c r="K18" s="7" t="n">
        <v>1.8</v>
      </c>
      <c r="L18" s="7" t="n">
        <v>11</v>
      </c>
      <c r="M18" s="7" t="inlineStr">
        <is>
          <t>triangular</t>
        </is>
      </c>
      <c r="N18" s="7" t="n"/>
      <c r="O18" s="7" t="inlineStr">
        <is>
          <t>PROTOTYPE machine assumed: ~30 L spiral/planetary paste mixer of the bakery/studio type (batches of ~10 kg). 1.5 kW motor. SCALED-UP machine assumed: ~500 L industrial paddle/twin-shaft batch mixer. 11 kW is typical for a 500 L batch mixer (assumption).</t>
        </is>
      </c>
      <c r="P18" s="7" t="inlineStr">
        <is>
          <t>partner estimate</t>
        </is>
      </c>
      <c r="Q18" s="7" t="inlineStr">
        <is>
          <t>Rated motor power used as the average draw because paste mixing loads the motor continuously.</t>
        </is>
      </c>
    </row>
    <row r="19" ht="16" customHeight="1">
      <c r="A19" s="7" t="inlineStr">
        <is>
          <t>raw_biopol</t>
        </is>
      </c>
      <c r="B19" s="7" t="inlineStr">
        <is>
          <t>manufacturing</t>
        </is>
      </c>
      <c r="C19" s="7" t="inlineStr">
        <is>
          <t>production</t>
        </is>
      </c>
      <c r="D19" s="7" t="inlineStr">
        <is>
          <t>Mixing</t>
        </is>
      </c>
      <c r="E19" s="7" t="n"/>
      <c r="F19" s="7" t="inlineStr">
        <is>
          <t>output rate</t>
        </is>
      </c>
      <c r="G19" s="8" t="inlineStr">
        <is>
          <t>Mass of material the machine processes per hour</t>
        </is>
      </c>
      <c r="H19" s="7" t="inlineStr">
        <is>
          <t>kg/hr</t>
        </is>
      </c>
      <c r="I19" s="7" t="n">
        <v>10</v>
      </c>
      <c r="J19" s="7" t="n">
        <v>6</v>
      </c>
      <c r="K19" s="7" t="n">
        <v>15</v>
      </c>
      <c r="L19" s="7" t="n">
        <v>1000</v>
      </c>
      <c r="M19" s="7" t="inlineStr">
        <is>
          <t>triangular</t>
        </is>
      </c>
      <c r="N19" s="7" t="n"/>
      <c r="O19" s="7" t="inlineStr">
        <is>
          <t>PROTOTYPE machine assumed: ~30 L spiral/planetary paste mixer of the bakery/studio type (batches of ~10 kg). ~10 kg batch every ~30 min incl. loading and cleaning = ~20 kg/h peak; 10 kg/h allows for waiting on the printer. SCALED-UP machine assumed: ~500 L industrial paddle/twin-shaft batch mixer. ~0.5 t per batch, 2 batches/h = 1 t/h.</t>
        </is>
      </c>
      <c r="P19" s="7" t="inlineStr">
        <is>
          <t>partner estimate</t>
        </is>
      </c>
      <c r="Q19" s="7" t="inlineStr">
        <is>
          <t>Energy check: 1.5 kW / 10 kg/h = 0.15 kWh/kg prototype vs 0.011 kWh/kg industrial.</t>
        </is>
      </c>
    </row>
    <row r="20" ht="16" customHeight="1">
      <c r="A20" s="7" t="inlineStr">
        <is>
          <t>raw_biopol</t>
        </is>
      </c>
      <c r="B20" s="7" t="inlineStr">
        <is>
          <t>manufacturing</t>
        </is>
      </c>
      <c r="C20" s="7" t="inlineStr">
        <is>
          <t>production</t>
        </is>
      </c>
      <c r="D20" s="7" t="inlineStr">
        <is>
          <t>Mixing</t>
        </is>
      </c>
      <c r="E20" s="7" t="n"/>
      <c r="F20" s="7" t="inlineStr">
        <is>
          <t>machine lifetime</t>
        </is>
      </c>
      <c r="G20" s="8" t="inlineStr">
        <is>
          <t>Operating hours before the machine is worn out</t>
        </is>
      </c>
      <c r="H20" s="7" t="inlineStr">
        <is>
          <t>hrs</t>
        </is>
      </c>
      <c r="I20" s="7" t="n">
        <v>5000</v>
      </c>
      <c r="J20" s="7" t="n">
        <v>2500</v>
      </c>
      <c r="K20" s="7" t="n">
        <v>10000</v>
      </c>
      <c r="L20" s="7" t="n">
        <v>30000</v>
      </c>
      <c r="M20" s="7" t="inlineStr">
        <is>
          <t>triangular</t>
        </is>
      </c>
      <c r="N20" s="7" t="n"/>
      <c r="O20" s="7" t="inlineStr">
        <is>
          <t>PROTOTYPE machine assumed: ~30 L spiral/planetary paste mixer of the bakery/studio type (batches of ~10 kg). Lifetime = operating hours until the machine is retired. Studio: ~10-15 y in service x ~300-700 h/y of actual use = 5,000-10,000 h (obsolescence, not wear, ends its life). Industrial: ~36,000 h, the operating-hour lifetime used for a robot in an LCA study (Robotics 2021, 10(1), 33).</t>
        </is>
      </c>
      <c r="P20" s="7" t="inlineStr">
        <is>
          <t>partner estimate</t>
        </is>
      </c>
      <c r="Q20" s="7" t="inlineStr">
        <is>
          <t>Lifetime logic: see source.</t>
        </is>
      </c>
    </row>
    <row r="21" ht="32" customHeight="1">
      <c r="A21" s="7" t="inlineStr">
        <is>
          <t>raw_biopol</t>
        </is>
      </c>
      <c r="B21" s="7" t="inlineStr">
        <is>
          <t>manufacturing</t>
        </is>
      </c>
      <c r="C21" s="7" t="inlineStr">
        <is>
          <t>production</t>
        </is>
      </c>
      <c r="D21" s="7" t="inlineStr">
        <is>
          <t>Mixing</t>
        </is>
      </c>
      <c r="E21" s="7" t="n"/>
      <c r="F21" s="7" t="inlineStr">
        <is>
          <t>process yield</t>
        </is>
      </c>
      <c r="G21" s="8" t="inlineStr">
        <is>
          <t>Share of the material entering this step that leaves it as usable output (the rest is waste)</t>
        </is>
      </c>
      <c r="H21" s="7" t="inlineStr">
        <is>
          <t>%</t>
        </is>
      </c>
      <c r="I21" s="7" t="n">
        <v>95</v>
      </c>
      <c r="J21" s="7" t="n">
        <v>85</v>
      </c>
      <c r="K21" s="7" t="n">
        <v>100</v>
      </c>
      <c r="L21" s="7" t="n"/>
      <c r="M21" s="7" t="inlineStr">
        <is>
          <t>triangular</t>
        </is>
      </c>
      <c r="N21" s="7" t="n"/>
      <c r="O21" s="7" t="inlineStr">
        <is>
          <t>PROTOTYPE machine assumed: ~30 L spiral/planetary paste mixer of the bakery/studio type (batches of ~10 kg). ~5% of a small batch stays on the bowl/paddle and in the hose; industrial batches lose &lt;1% (not scalable on this sheet).</t>
        </is>
      </c>
      <c r="P21" s="7" t="inlineStr">
        <is>
          <t>partner estimate</t>
        </is>
      </c>
      <c r="Q21" s="7" t="inlineStr">
        <is>
          <t>Was 100.</t>
        </is>
      </c>
    </row>
    <row r="22" ht="16" customHeight="1">
      <c r="A22" s="7" t="inlineStr">
        <is>
          <t>raw_biopol</t>
        </is>
      </c>
      <c r="B22" s="7" t="inlineStr">
        <is>
          <t>manufacturing</t>
        </is>
      </c>
      <c r="C22" s="7" t="inlineStr">
        <is>
          <t>production</t>
        </is>
      </c>
      <c r="D22" s="7" t="inlineStr">
        <is>
          <t>Mixing</t>
        </is>
      </c>
      <c r="E22" s="7" t="n"/>
      <c r="F22" s="7" t="inlineStr">
        <is>
          <t>machine source</t>
        </is>
      </c>
      <c r="G22" s="8" t="inlineStr">
        <is>
          <t>Whether the machine is new (virgin) or reused/recycled (recycled)</t>
        </is>
      </c>
      <c r="H22" s="7" t="inlineStr">
        <is>
          <t>-</t>
        </is>
      </c>
      <c r="I22" s="7" t="inlineStr">
        <is>
          <t>virgin</t>
        </is>
      </c>
      <c r="J22" s="7" t="n"/>
      <c r="K22" s="7" t="n"/>
      <c r="L22" s="7" t="n"/>
      <c r="M22" s="7" t="inlineStr">
        <is>
          <t>choice</t>
        </is>
      </c>
      <c r="N22" s="7" t="inlineStr">
        <is>
          <t>virgin;recycled</t>
        </is>
      </c>
      <c r="O22" s="7" t="inlineStr">
        <is>
          <t>Assumption: all machinery (studio and industrial) is bought new, i.e. virgin</t>
        </is>
      </c>
      <c r="P22" s="7" t="inlineStr">
        <is>
          <t>partner estimate</t>
        </is>
      </c>
      <c r="Q22" s="7" t="n"/>
    </row>
    <row r="23" ht="16" customHeight="1">
      <c r="A23" s="7" t="inlineStr">
        <is>
          <t>raw_biopol</t>
        </is>
      </c>
      <c r="B23" s="7" t="inlineStr">
        <is>
          <t>manufacturing</t>
        </is>
      </c>
      <c r="C23" s="7" t="inlineStr">
        <is>
          <t>production</t>
        </is>
      </c>
      <c r="D23" s="7" t="inlineStr">
        <is>
          <t>3D printing</t>
        </is>
      </c>
      <c r="E23" s="7" t="n"/>
      <c r="F23" s="7" t="inlineStr">
        <is>
          <t>machine weight</t>
        </is>
      </c>
      <c r="G23" s="8" t="inlineStr">
        <is>
          <t>Weight of the machine used in this step (used to account for machine wear)</t>
        </is>
      </c>
      <c r="H23" s="7" t="inlineStr">
        <is>
          <t>kg</t>
        </is>
      </c>
      <c r="I23" s="7" t="n">
        <v>650</v>
      </c>
      <c r="J23" s="7" t="n">
        <v>520</v>
      </c>
      <c r="K23" s="7" t="n">
        <v>800</v>
      </c>
      <c r="L23" s="7" t="n">
        <v>700</v>
      </c>
      <c r="M23" s="7" t="inlineStr">
        <is>
          <t>triangular</t>
        </is>
      </c>
      <c r="N23" s="7" t="n"/>
      <c r="O23" s="7" t="inlineStr">
        <is>
          <t>PROTOTYPE machine assumed: studio ABB robot arm (assumed IRB 4600 class, ~420 kg, from memory of the ABB spec: datasheet fetch failed) with controller (~150 kg) and a WASP-type continuous paste feeding system (60 kg, 450 W) + pneumatic extruder (LDM XL, 5 L/h; 3dwasp.com robotic-arm page). Sum ~650 kg. SCALED-UP machine assumed: the same robot with a high-flow extruder and heavier feed/pump, run continuously (LDM XXL-type extruder is rated up to 180 L/h; robot path speed is the limit). ~700 kg with a larger pump and extruder.</t>
        </is>
      </c>
      <c r="P23" s="7" t="inlineStr">
        <is>
          <t>partner estimate</t>
        </is>
      </c>
      <c r="Q23" s="7" t="inlineStr">
        <is>
          <t>Was 1000 kg. Robot weight and controller weight are not verified against the ABB datasheet (blocked); feeder weight is from WASP.</t>
        </is>
      </c>
    </row>
    <row r="24" ht="16" customHeight="1">
      <c r="A24" s="7" t="inlineStr">
        <is>
          <t>raw_biopol</t>
        </is>
      </c>
      <c r="B24" s="7" t="inlineStr">
        <is>
          <t>manufacturing</t>
        </is>
      </c>
      <c r="C24" s="7" t="inlineStr">
        <is>
          <t>production</t>
        </is>
      </c>
      <c r="D24" s="7" t="inlineStr">
        <is>
          <t>3D printing</t>
        </is>
      </c>
      <c r="E24" s="7" t="n"/>
      <c r="F24" s="7" t="inlineStr">
        <is>
          <t>power</t>
        </is>
      </c>
      <c r="G24" s="8" t="inlineStr">
        <is>
          <t>Electric power the machine draws while running</t>
        </is>
      </c>
      <c r="H24" s="7" t="inlineStr">
        <is>
          <t>kW</t>
        </is>
      </c>
      <c r="I24" s="7" t="n">
        <v>2</v>
      </c>
      <c r="J24" s="7" t="n">
        <v>1.6</v>
      </c>
      <c r="K24" s="7" t="n">
        <v>2.4</v>
      </c>
      <c r="L24" s="7" t="n">
        <v>2.5</v>
      </c>
      <c r="M24" s="7" t="inlineStr">
        <is>
          <t>triangular</t>
        </is>
      </c>
      <c r="N24" s="7" t="n"/>
      <c r="O24" s="7" t="inlineStr">
        <is>
          <t>PROTOTYPE machine assumed: studio ABB robot arm (assumed IRB 4600 class, ~420 kg, from memory of the ABB spec: datasheet fetch failed) with controller (~150 kg) and a WASP-type continuous paste feeding system (60 kg, 450 W) + pneumatic extruder (LDM XL, 5 L/h; 3dwasp.com robotic-arm page). Robot + controller ~1.0 kW average (assumption), feeder 0.45 kW (WASP) and a small compressor ~0.5 kW = ~2.0 kW. SCALED-UP machine assumed: the same robot with a high-flow extruder and heavier feed/pump, run continuously (LDM XXL-type extruder is rated up to 180 L/h; robot path speed is the limit). 2.5 kW with a larger feed pump.</t>
        </is>
      </c>
      <c r="P24" s="7" t="inlineStr">
        <is>
          <t>partner estimate</t>
        </is>
      </c>
      <c r="Q24" s="7" t="inlineStr">
        <is>
          <t>Was 0.4 kW (robot only). The old scaled-up 2 kW is replaced by 2.5.</t>
        </is>
      </c>
    </row>
    <row r="25" ht="16" customHeight="1">
      <c r="A25" s="7" t="inlineStr">
        <is>
          <t>raw_biopol</t>
        </is>
      </c>
      <c r="B25" s="7" t="inlineStr">
        <is>
          <t>manufacturing</t>
        </is>
      </c>
      <c r="C25" s="7" t="inlineStr">
        <is>
          <t>production</t>
        </is>
      </c>
      <c r="D25" s="7" t="inlineStr">
        <is>
          <t>3D printing</t>
        </is>
      </c>
      <c r="E25" s="7" t="n"/>
      <c r="F25" s="7" t="inlineStr">
        <is>
          <t>output rate</t>
        </is>
      </c>
      <c r="G25" s="8" t="inlineStr">
        <is>
          <t>Mass of material the machine processes per hour</t>
        </is>
      </c>
      <c r="H25" s="7" t="inlineStr">
        <is>
          <t>kg/hr</t>
        </is>
      </c>
      <c r="I25" s="7" t="n">
        <v>5</v>
      </c>
      <c r="J25" s="7" t="n">
        <v>2.5</v>
      </c>
      <c r="K25" s="7" t="n">
        <v>8</v>
      </c>
      <c r="L25" s="7" t="n">
        <v>30</v>
      </c>
      <c r="M25" s="7" t="inlineStr">
        <is>
          <t>triangular</t>
        </is>
      </c>
      <c r="N25" s="7" t="n"/>
      <c r="O25" s="7" t="inlineStr">
        <is>
          <t>PROTOTYPE machine assumed: studio ABB robot arm (assumed IRB 4600 class, ~420 kg, from memory of the ABB spec: datasheet fetch failed) with controller (~150 kg) and a WASP-type continuous paste feeding system (60 kg, 450 W) + pneumatic extruder (LDM XL, 5 L/h; 3dwasp.com robotic-arm page). Extruder 5 L/h x ~1.2 kg/L paste, run below its rating = ~5 kg/h of wet paste. SCALED-UP machine assumed: the same robot with a high-flow extruder and heavier feed/pump, run continuously (LDM XXL-type extruder is rated up to 180 L/h; robot path speed is the limit). Bead 12 mm x 6 mm at 100 mm/s = 26 L/h = ~30 kg/h. Basis is wet paste mass, consistent with the baking yield (water loss).</t>
        </is>
      </c>
      <c r="P25" s="7" t="inlineStr">
        <is>
          <t>partner estimate</t>
        </is>
      </c>
      <c r="Q25" s="7" t="inlineStr">
        <is>
          <t>Was 0.875 kg/h (scaled-up 15). Both are now tied to bead geometry / extruder rating.</t>
        </is>
      </c>
    </row>
    <row r="26" ht="16" customHeight="1">
      <c r="A26" s="7" t="inlineStr">
        <is>
          <t>raw_biopol</t>
        </is>
      </c>
      <c r="B26" s="7" t="inlineStr">
        <is>
          <t>manufacturing</t>
        </is>
      </c>
      <c r="C26" s="7" t="inlineStr">
        <is>
          <t>production</t>
        </is>
      </c>
      <c r="D26" s="7" t="inlineStr">
        <is>
          <t>3D printing</t>
        </is>
      </c>
      <c r="E26" s="7" t="n"/>
      <c r="F26" s="7" t="inlineStr">
        <is>
          <t>machine lifetime</t>
        </is>
      </c>
      <c r="G26" s="8" t="inlineStr">
        <is>
          <t>Operating hours before the machine is worn out</t>
        </is>
      </c>
      <c r="H26" s="7" t="inlineStr">
        <is>
          <t>hrs</t>
        </is>
      </c>
      <c r="I26" s="7" t="n">
        <v>10000</v>
      </c>
      <c r="J26" s="7" t="n">
        <v>5000</v>
      </c>
      <c r="K26" s="7" t="n">
        <v>20000</v>
      </c>
      <c r="L26" s="7" t="n">
        <v>36000</v>
      </c>
      <c r="M26" s="7" t="inlineStr">
        <is>
          <t>triangular</t>
        </is>
      </c>
      <c r="N26" s="7" t="n"/>
      <c r="O26" s="7" t="inlineStr">
        <is>
          <t>PROTOTYPE machine assumed: studio ABB robot arm (assumed IRB 4600 class, ~420 kg, from memory of the ABB spec: datasheet fetch failed) with controller (~150 kg) and a WASP-type continuous paste feeding system (60 kg, 450 W) + pneumatic extruder (LDM XL, 5 L/h; 3dwasp.com robotic-arm page). Lifetime = operating hours until the machine is retired. Studio: ~10-15 y in service x ~300-700 h/y of actual use = 5,000-10,000 h (obsolescence, not wear, ends its life). Industrial: ~36,000 h, the operating-hour lifetime used for a robot in an LCA study (Robotics 2021, 10(1), 33).</t>
        </is>
      </c>
      <c r="P26" s="7" t="inlineStr">
        <is>
          <t>partner estimate</t>
        </is>
      </c>
      <c r="Q26" s="7" t="inlineStr">
        <is>
          <t>Was 50000 (scaled-up 40000).</t>
        </is>
      </c>
    </row>
    <row r="27" ht="32" customHeight="1">
      <c r="A27" s="7" t="inlineStr">
        <is>
          <t>raw_biopol</t>
        </is>
      </c>
      <c r="B27" s="7" t="inlineStr">
        <is>
          <t>manufacturing</t>
        </is>
      </c>
      <c r="C27" s="7" t="inlineStr">
        <is>
          <t>production</t>
        </is>
      </c>
      <c r="D27" s="7" t="inlineStr">
        <is>
          <t>3D printing</t>
        </is>
      </c>
      <c r="E27" s="7" t="n"/>
      <c r="F27" s="7" t="inlineStr">
        <is>
          <t>process yield</t>
        </is>
      </c>
      <c r="G27" s="8" t="inlineStr">
        <is>
          <t>Share of the material entering this step that leaves it as usable output (the rest is waste)</t>
        </is>
      </c>
      <c r="H27" s="7" t="inlineStr">
        <is>
          <t>%</t>
        </is>
      </c>
      <c r="I27" s="7" t="n">
        <v>90</v>
      </c>
      <c r="J27" s="7" t="n">
        <v>75</v>
      </c>
      <c r="K27" s="7" t="n">
        <v>100</v>
      </c>
      <c r="L27" s="7" t="n"/>
      <c r="M27" s="7" t="inlineStr">
        <is>
          <t>triangular</t>
        </is>
      </c>
      <c r="N27" s="7" t="n"/>
      <c r="O27" s="7" t="inlineStr">
        <is>
          <t>PROTOTYPE machine assumed: studio ABB robot arm (assumed IRB 4600 class, ~420 kg, from memory of the ABB spec: datasheet fetch failed) with controller (~150 kg) and a WASP-type continuous paste feeding system (60 kg, 450 W) + pneumatic extruder (LDM XL, 5 L/h; 3dwasp.com robotic-arm page). Purging, priming and failed/scrapped prints ~10% in a studio (material is mostly re-mixed, so not all is waste); industrial line would be higher but yield cannot be scaled up separately.</t>
        </is>
      </c>
      <c r="P27" s="7" t="inlineStr">
        <is>
          <t>partner estimate</t>
        </is>
      </c>
      <c r="Q27" s="7" t="inlineStr">
        <is>
          <t>Was 100.</t>
        </is>
      </c>
    </row>
    <row r="28" ht="16" customHeight="1">
      <c r="A28" s="7" t="inlineStr">
        <is>
          <t>raw_biopol</t>
        </is>
      </c>
      <c r="B28" s="7" t="inlineStr">
        <is>
          <t>manufacturing</t>
        </is>
      </c>
      <c r="C28" s="7" t="inlineStr">
        <is>
          <t>production</t>
        </is>
      </c>
      <c r="D28" s="7" t="inlineStr">
        <is>
          <t>3D printing</t>
        </is>
      </c>
      <c r="E28" s="7" t="n"/>
      <c r="F28" s="7" t="inlineStr">
        <is>
          <t>machine source</t>
        </is>
      </c>
      <c r="G28" s="8" t="inlineStr">
        <is>
          <t>Whether the machine is new (virgin) or reused/recycled (recycled)</t>
        </is>
      </c>
      <c r="H28" s="7" t="inlineStr">
        <is>
          <t>-</t>
        </is>
      </c>
      <c r="I28" s="7" t="inlineStr">
        <is>
          <t>virgin</t>
        </is>
      </c>
      <c r="J28" s="7" t="n"/>
      <c r="K28" s="7" t="n"/>
      <c r="L28" s="7" t="n"/>
      <c r="M28" s="7" t="inlineStr">
        <is>
          <t>choice</t>
        </is>
      </c>
      <c r="N28" s="7" t="inlineStr">
        <is>
          <t>virgin;recycled</t>
        </is>
      </c>
      <c r="O28" s="7" t="inlineStr">
        <is>
          <t>Assumption: all machinery (studio and industrial) is bought new, i.e. virgin</t>
        </is>
      </c>
      <c r="P28" s="7" t="inlineStr">
        <is>
          <t>partner estimate</t>
        </is>
      </c>
      <c r="Q28" s="7" t="n"/>
    </row>
    <row r="29" ht="16" customHeight="1">
      <c r="A29" s="7" t="inlineStr">
        <is>
          <t>raw_biopol</t>
        </is>
      </c>
      <c r="B29" s="7" t="inlineStr">
        <is>
          <t>manufacturing</t>
        </is>
      </c>
      <c r="C29" s="7" t="inlineStr">
        <is>
          <t>production</t>
        </is>
      </c>
      <c r="D29" s="7" t="inlineStr">
        <is>
          <t>Baking</t>
        </is>
      </c>
      <c r="E29" s="7" t="n"/>
      <c r="F29" s="7" t="inlineStr">
        <is>
          <t>machine weight</t>
        </is>
      </c>
      <c r="G29" s="8" t="inlineStr">
        <is>
          <t>Weight of the machine used in this step (used to account for machine wear)</t>
        </is>
      </c>
      <c r="H29" s="7" t="inlineStr">
        <is>
          <t>kg</t>
        </is>
      </c>
      <c r="I29" s="7" t="n">
        <v>252</v>
      </c>
      <c r="J29" s="7" t="n">
        <v>200</v>
      </c>
      <c r="K29" s="7" t="n">
        <v>320</v>
      </c>
      <c r="L29" s="7" t="n">
        <v>3000</v>
      </c>
      <c r="M29" s="7" t="inlineStr">
        <is>
          <t>triangular</t>
        </is>
      </c>
      <c r="N29" s="7" t="n"/>
      <c r="O29" s="7" t="inlineStr">
        <is>
          <t>PROTOTYPE machine assumed: ~1 m3 electric convection oven (1 m x 2 m x 0.5 m chamber), modelled on the Memmert UF1060 (1,060 L, 7 kW connected load, 252 kg, up to 300 C; memmert.com UF1060 page and datasheet). Weight 252 kg from Memmert. SCALED-UP machine assumed: the same type, an industrial ~10 m3 electric convection batch oven with better insulation. ~3 t (10x volume at ~12x less steel per m3, assumption).</t>
        </is>
      </c>
      <c r="P29" s="7" t="inlineStr">
        <is>
          <t>literature</t>
        </is>
      </c>
      <c r="Q29" s="7" t="inlineStr">
        <is>
          <t>Was 400 kg.</t>
        </is>
      </c>
    </row>
    <row r="30" ht="16" customHeight="1">
      <c r="A30" s="7" t="inlineStr">
        <is>
          <t>raw_biopol</t>
        </is>
      </c>
      <c r="B30" s="7" t="inlineStr">
        <is>
          <t>manufacturing</t>
        </is>
      </c>
      <c r="C30" s="7" t="inlineStr">
        <is>
          <t>production</t>
        </is>
      </c>
      <c r="D30" s="7" t="inlineStr">
        <is>
          <t>Baking</t>
        </is>
      </c>
      <c r="E30" s="7" t="n"/>
      <c r="F30" s="7" t="inlineStr">
        <is>
          <t>power</t>
        </is>
      </c>
      <c r="G30" s="8" t="inlineStr">
        <is>
          <t>Electric power the machine draws while running</t>
        </is>
      </c>
      <c r="H30" s="7" t="inlineStr">
        <is>
          <t>kW</t>
        </is>
      </c>
      <c r="I30" s="7" t="n">
        <v>4</v>
      </c>
      <c r="J30" s="7" t="n">
        <v>3</v>
      </c>
      <c r="K30" s="7" t="n">
        <v>7</v>
      </c>
      <c r="L30" s="7" t="n">
        <v>30</v>
      </c>
      <c r="M30" s="7" t="inlineStr">
        <is>
          <t>triangular</t>
        </is>
      </c>
      <c r="N30" s="7" t="n"/>
      <c r="O30" s="7" t="inlineStr">
        <is>
          <t>PROTOTYPE machine assumed: ~1 m3 electric convection oven (1 m x 2 m x 0.5 m chamber), modelled on the Memmert UF1060 (1,060 L, 7 kW connected load, 252 kg, up to 300 C; memmert.com UF1060 page and datasheet). Connected load 7 kW (Memmert); average over a cycle ~4 kW (full power only during heat-up, thermostat duty cycle afterwards; assumption). SCALED-UP machine assumed: the same type, an industrial ~10 m3 electric convection batch oven with better insulation. ~30 kW average, ~7x for 10x volume (relatively less shell loss).</t>
        </is>
      </c>
      <c r="P30" s="7" t="inlineStr">
        <is>
          <t>partner estimate</t>
        </is>
      </c>
      <c r="Q30" s="7" t="inlineStr">
        <is>
          <t>Was 5 kW.</t>
        </is>
      </c>
    </row>
    <row r="31" ht="16" customHeight="1">
      <c r="A31" s="7" t="inlineStr">
        <is>
          <t>raw_biopol</t>
        </is>
      </c>
      <c r="B31" s="7" t="inlineStr">
        <is>
          <t>manufacturing</t>
        </is>
      </c>
      <c r="C31" s="7" t="inlineStr">
        <is>
          <t>production</t>
        </is>
      </c>
      <c r="D31" s="7" t="inlineStr">
        <is>
          <t>Baking</t>
        </is>
      </c>
      <c r="E31" s="7" t="n"/>
      <c r="F31" s="7" t="inlineStr">
        <is>
          <t>output rate</t>
        </is>
      </c>
      <c r="G31" s="8" t="inlineStr">
        <is>
          <t>Mass of material the machine processes per hour</t>
        </is>
      </c>
      <c r="H31" s="7" t="inlineStr">
        <is>
          <t>kg/hr</t>
        </is>
      </c>
      <c r="I31" s="7" t="n">
        <v>5</v>
      </c>
      <c r="J31" s="7" t="n">
        <v>3</v>
      </c>
      <c r="K31" s="7" t="n">
        <v>8</v>
      </c>
      <c r="L31" s="7" t="n">
        <v>60</v>
      </c>
      <c r="M31" s="7" t="inlineStr">
        <is>
          <t>triangular</t>
        </is>
      </c>
      <c r="N31" s="7" t="n"/>
      <c r="O31" s="7" t="inlineStr">
        <is>
          <t>PROTOTYPE machine assumed: ~1 m3 electric convection oven (1 m x 2 m x 0.5 m chamber), modelled on the Memmert UF1060 (1,060 L, 7 kW connected load, 252 kg, up to 300 C; memmert.com UF1060 page and datasheet). Energy balance, not a datasheet value: 50% yield = 0.5 kg water per kg wet input x 0.63 kWh/kg latent heat = 0.32 kWh/kg; at ~40% oven efficiency = ~0.8 kWh/kg, so ~4 kW supports ~5 kg/h (a ~60 kg wet batch per 12 h). SCALED-UP machine assumed: the same type, an industrial ~10 m3 electric convection batch oven with better insulation. Efficiency ~65% with insulation and air recirculation = ~0.5 kWh/kg, so 30 kW supports ~60 kg/h.</t>
        </is>
      </c>
      <c r="P31" s="7" t="inlineStr">
        <is>
          <t>partner estimate</t>
        </is>
      </c>
      <c r="Q31" s="7" t="inlineStr">
        <is>
          <t>Was 1.75 kg/h, then 8 kg/h (in v6, when the yield was 70%). Lowered because a lower yield means more water to evaporate per kg. Check the real cycle time/batch size of the studio oven and replace.</t>
        </is>
      </c>
    </row>
    <row r="32" ht="16" customHeight="1">
      <c r="A32" s="7" t="inlineStr">
        <is>
          <t>raw_biopol</t>
        </is>
      </c>
      <c r="B32" s="7" t="inlineStr">
        <is>
          <t>manufacturing</t>
        </is>
      </c>
      <c r="C32" s="7" t="inlineStr">
        <is>
          <t>production</t>
        </is>
      </c>
      <c r="D32" s="7" t="inlineStr">
        <is>
          <t>Baking</t>
        </is>
      </c>
      <c r="E32" s="7" t="n"/>
      <c r="F32" s="7" t="inlineStr">
        <is>
          <t>machine lifetime</t>
        </is>
      </c>
      <c r="G32" s="8" t="inlineStr">
        <is>
          <t>Operating hours before the machine is worn out</t>
        </is>
      </c>
      <c r="H32" s="7" t="inlineStr">
        <is>
          <t>hrs</t>
        </is>
      </c>
      <c r="I32" s="7" t="n">
        <v>10000</v>
      </c>
      <c r="J32" s="7" t="n">
        <v>5000</v>
      </c>
      <c r="K32" s="7" t="n">
        <v>20000</v>
      </c>
      <c r="L32" s="7" t="n">
        <v>40000</v>
      </c>
      <c r="M32" s="7" t="inlineStr">
        <is>
          <t>triangular</t>
        </is>
      </c>
      <c r="N32" s="7" t="n"/>
      <c r="O32" s="7" t="inlineStr">
        <is>
          <t>PROTOTYPE machine assumed: ~1 m3 electric convection oven (1 m x 2 m x 0.5 m chamber), modelled on the Memmert UF1060 (1,060 L, 7 kW connected load, 252 kg, up to 300 C; memmert.com UF1060 page and datasheet). Lifetime = operating hours until the machine is retired. Studio: ~10-15 y in service x ~300-700 h/y of actual use = 5,000-10,000 h (obsolescence, not wear, ends its life). Industrial: ~36,000 h, the operating-hour lifetime used for a robot in an LCA study (Robotics 2021, 10(1), 33). Industrial ovens run 20+ y; 40,000 h assumed.</t>
        </is>
      </c>
      <c r="P32" s="7" t="inlineStr">
        <is>
          <t>partner estimate</t>
        </is>
      </c>
      <c r="Q32" s="7" t="inlineStr">
        <is>
          <t>Was 20000.</t>
        </is>
      </c>
    </row>
    <row r="33" ht="32" customHeight="1">
      <c r="A33" s="7" t="inlineStr">
        <is>
          <t>raw_biopol</t>
        </is>
      </c>
      <c r="B33" s="7" t="inlineStr">
        <is>
          <t>manufacturing</t>
        </is>
      </c>
      <c r="C33" s="7" t="inlineStr">
        <is>
          <t>production</t>
        </is>
      </c>
      <c r="D33" s="7" t="inlineStr">
        <is>
          <t>Baking</t>
        </is>
      </c>
      <c r="E33" s="7" t="n"/>
      <c r="F33" s="7" t="inlineStr">
        <is>
          <t>process yield</t>
        </is>
      </c>
      <c r="G33" s="8" t="inlineStr">
        <is>
          <t>Share of the material entering this step that leaves it as usable output (the rest is waste)</t>
        </is>
      </c>
      <c r="H33" s="7" t="inlineStr">
        <is>
          <t>%</t>
        </is>
      </c>
      <c r="I33" s="7" t="n">
        <v>50</v>
      </c>
      <c r="J33" s="7" t="n">
        <v>30</v>
      </c>
      <c r="K33" s="7" t="n">
        <v>75</v>
      </c>
      <c r="L33" s="7" t="n"/>
      <c r="M33" s="7" t="inlineStr">
        <is>
          <t>triangular</t>
        </is>
      </c>
      <c r="N33" s="7" t="n"/>
      <c r="O33" s="7" t="inlineStr">
        <is>
          <t>PROTOTYPE machine assumed: ~1 m3 electric convection oven (1 m x 2 m x 0.5 m chamber), modelled on the Memmert UF1060 (1,060 L, 7 kW connected load, 252 kg, up to 300 C; memmert.com UF1060 page and datasheet). Yield = dry mass share of the wet printed paste. Evidence: printable earth/clay mixes hold 20-37 wt% water, i.e. 63-80% yield (MDPI Buildings 2026, 16(6), 1261; review of clay/sawdust printing, water/dry ratio 0.37-0.58 = 27-37 wt% water, ScienceDirect S2590123024012799); a printable wood-cellulose-lignin ink lost 74% of its mass on drying, i.e. 26% yield (PMC10942110). Fibrous, protein-bound pastes (sawdust, seagrass, pea protein) need more water than earth, so the low-to-middle of that range is used.</t>
        </is>
      </c>
      <c r="P33" s="7" t="inlineStr">
        <is>
          <t>partner estimate</t>
        </is>
      </c>
      <c r="Q33" s="7" t="inlineStr">
        <is>
          <t>Was 70%. 70% is the top of the earth-mixture range; a lignocellulosic paste is closer to 40-60%. NEEDS THE ACTUAL RECIPE: please replace with (dry mass / wet paste mass) from the lab. Water is included in the mass basis of all upstream steps (wet basis). Residual moisture in the dried product (~5-10%) is not modelled. Two sources on bio-based pastes (WUR report, Springer wood LDM paper) could not be read (rate limit).</t>
        </is>
      </c>
    </row>
    <row r="34" ht="16" customHeight="1">
      <c r="A34" s="7" t="inlineStr">
        <is>
          <t>raw_biopol</t>
        </is>
      </c>
      <c r="B34" s="7" t="inlineStr">
        <is>
          <t>manufacturing</t>
        </is>
      </c>
      <c r="C34" s="7" t="inlineStr">
        <is>
          <t>production</t>
        </is>
      </c>
      <c r="D34" s="7" t="inlineStr">
        <is>
          <t>Baking</t>
        </is>
      </c>
      <c r="E34" s="7" t="n"/>
      <c r="F34" s="7" t="inlineStr">
        <is>
          <t>machine source</t>
        </is>
      </c>
      <c r="G34" s="8" t="inlineStr">
        <is>
          <t>Whether the machine is new (virgin) or reused/recycled (recycled)</t>
        </is>
      </c>
      <c r="H34" s="7" t="inlineStr">
        <is>
          <t>-</t>
        </is>
      </c>
      <c r="I34" s="7" t="inlineStr">
        <is>
          <t>virgin</t>
        </is>
      </c>
      <c r="J34" s="7" t="n"/>
      <c r="K34" s="7" t="n"/>
      <c r="L34" s="7" t="n"/>
      <c r="M34" s="7" t="inlineStr">
        <is>
          <t>choice</t>
        </is>
      </c>
      <c r="N34" s="7" t="inlineStr">
        <is>
          <t>virgin;recycled</t>
        </is>
      </c>
      <c r="O34" s="7" t="inlineStr">
        <is>
          <t>Assumption: all machinery (studio and industrial) is bought new, i.e. virgin</t>
        </is>
      </c>
      <c r="P34" s="7" t="inlineStr">
        <is>
          <t>partner estimate</t>
        </is>
      </c>
      <c r="Q34" s="7" t="n"/>
    </row>
    <row r="35" ht="16" customHeight="1">
      <c r="A35" s="7" t="inlineStr">
        <is>
          <t>raw_biopol</t>
        </is>
      </c>
      <c r="B35" s="7" t="inlineStr">
        <is>
          <t>manufacturing</t>
        </is>
      </c>
      <c r="C35" s="7" t="inlineStr">
        <is>
          <t>repair</t>
        </is>
      </c>
      <c r="D35" s="7" t="inlineStr">
        <is>
          <t>Mixing</t>
        </is>
      </c>
      <c r="E35" s="7" t="n"/>
      <c r="F35" s="7" t="inlineStr">
        <is>
          <t>machine weight</t>
        </is>
      </c>
      <c r="G35" s="8" t="inlineStr">
        <is>
          <t>Weight of the machine used in this step (used to account for machine wear)</t>
        </is>
      </c>
      <c r="H35" s="7" t="inlineStr">
        <is>
          <t>kg</t>
        </is>
      </c>
      <c r="I35" s="7" t="n">
        <v>80</v>
      </c>
      <c r="J35" s="7" t="n">
        <v>64</v>
      </c>
      <c r="K35" s="7" t="n">
        <v>96</v>
      </c>
      <c r="L35" s="7" t="n"/>
      <c r="M35" s="7" t="inlineStr">
        <is>
          <t>triangular</t>
        </is>
      </c>
      <c r="N35" s="7" t="n"/>
      <c r="O35" s="7" t="inlineStr">
        <is>
          <t>Repair machinery = smaller portable on-site equipment (answer of the LCA team lead 2026-09-29). Portable ~100-120 L drum/paddle mortar-type mixer, ~80 kg (typical catalogue value, not retrieved)</t>
        </is>
      </c>
      <c r="P35" s="7" t="inlineStr">
        <is>
          <t>partner estimate</t>
        </is>
      </c>
      <c r="Q35" s="7" t="inlineStr">
        <is>
          <t>Was placeholder 80 kg; kept.</t>
        </is>
      </c>
    </row>
    <row r="36" ht="16" customHeight="1">
      <c r="A36" s="7" t="inlineStr">
        <is>
          <t>raw_biopol</t>
        </is>
      </c>
      <c r="B36" s="7" t="inlineStr">
        <is>
          <t>manufacturing</t>
        </is>
      </c>
      <c r="C36" s="7" t="inlineStr">
        <is>
          <t>repair</t>
        </is>
      </c>
      <c r="D36" s="7" t="inlineStr">
        <is>
          <t>Mixing</t>
        </is>
      </c>
      <c r="E36" s="7" t="n"/>
      <c r="F36" s="7" t="inlineStr">
        <is>
          <t>power</t>
        </is>
      </c>
      <c r="G36" s="8" t="inlineStr">
        <is>
          <t>Electric power the machine draws while running</t>
        </is>
      </c>
      <c r="H36" s="7" t="inlineStr">
        <is>
          <t>kW</t>
        </is>
      </c>
      <c r="I36" s="7" t="n">
        <v>1.5</v>
      </c>
      <c r="J36" s="7" t="n">
        <v>1.2</v>
      </c>
      <c r="K36" s="7" t="n">
        <v>1.8</v>
      </c>
      <c r="L36" s="7" t="n"/>
      <c r="M36" s="7" t="inlineStr">
        <is>
          <t>triangular</t>
        </is>
      </c>
      <c r="N36" s="7" t="n"/>
      <c r="O36" s="7" t="inlineStr">
        <is>
          <t>Repair machinery = smaller portable on-site equipment (answer of the LCA team lead 2026-09-29). 1.5 kW motor typical for a portable 100-120 L mixer (not retrieved)</t>
        </is>
      </c>
      <c r="P36" s="7" t="inlineStr">
        <is>
          <t>partner estimate</t>
        </is>
      </c>
      <c r="Q36" s="7" t="inlineStr">
        <is>
          <t>Kept.</t>
        </is>
      </c>
    </row>
    <row r="37" ht="16" customHeight="1">
      <c r="A37" s="7" t="inlineStr">
        <is>
          <t>raw_biopol</t>
        </is>
      </c>
      <c r="B37" s="7" t="inlineStr">
        <is>
          <t>manufacturing</t>
        </is>
      </c>
      <c r="C37" s="7" t="inlineStr">
        <is>
          <t>repair</t>
        </is>
      </c>
      <c r="D37" s="7" t="inlineStr">
        <is>
          <t>Mixing</t>
        </is>
      </c>
      <c r="E37" s="7" t="n"/>
      <c r="F37" s="7" t="inlineStr">
        <is>
          <t>output rate</t>
        </is>
      </c>
      <c r="G37" s="8" t="inlineStr">
        <is>
          <t>Mass of material the machine processes per hour</t>
        </is>
      </c>
      <c r="H37" s="7" t="inlineStr">
        <is>
          <t>kg/hr</t>
        </is>
      </c>
      <c r="I37" s="7" t="n">
        <v>15</v>
      </c>
      <c r="J37" s="7" t="n">
        <v>10</v>
      </c>
      <c r="K37" s="7" t="n">
        <v>20</v>
      </c>
      <c r="L37" s="7" t="n"/>
      <c r="M37" s="7" t="inlineStr">
        <is>
          <t>triangular</t>
        </is>
      </c>
      <c r="N37" s="7" t="n"/>
      <c r="O37" s="7" t="inlineStr">
        <is>
          <t>Repair machinery = smaller portable on-site equipment (answer of the LCA team lead 2026-09-29). ~15 kg paste per batch, one batch per hour incl. setup and cleaning (assumption)</t>
        </is>
      </c>
      <c r="P37" s="7" t="inlineStr">
        <is>
          <t>partner estimate</t>
        </is>
      </c>
      <c r="Q37" s="7" t="inlineStr">
        <is>
          <t>Kept 15 kg/h.</t>
        </is>
      </c>
    </row>
    <row r="38" ht="16" customHeight="1">
      <c r="A38" s="7" t="inlineStr">
        <is>
          <t>raw_biopol</t>
        </is>
      </c>
      <c r="B38" s="7" t="inlineStr">
        <is>
          <t>manufacturing</t>
        </is>
      </c>
      <c r="C38" s="7" t="inlineStr">
        <is>
          <t>repair</t>
        </is>
      </c>
      <c r="D38" s="7" t="inlineStr">
        <is>
          <t>Mixing</t>
        </is>
      </c>
      <c r="E38" s="7" t="n"/>
      <c r="F38" s="7" t="inlineStr">
        <is>
          <t>machine lifetime</t>
        </is>
      </c>
      <c r="G38" s="8" t="inlineStr">
        <is>
          <t>Operating hours before the machine is worn out</t>
        </is>
      </c>
      <c r="H38" s="7" t="inlineStr">
        <is>
          <t>hrs</t>
        </is>
      </c>
      <c r="I38" s="7" t="n">
        <v>8000</v>
      </c>
      <c r="J38" s="7" t="n">
        <v>5000</v>
      </c>
      <c r="K38" s="7" t="n">
        <v>10000</v>
      </c>
      <c r="L38" s="7" t="n"/>
      <c r="M38" s="7" t="inlineStr">
        <is>
          <t>triangular</t>
        </is>
      </c>
      <c r="N38" s="7" t="n"/>
      <c r="O38" s="7" t="inlineStr">
        <is>
          <t>Repair machinery = smaller portable on-site equipment (answer of the LCA team lead 2026-09-29). Lifetime: portable/light-duty equipment lasts ~5,000-10,000 operating hours (assumption, not retrieved).</t>
        </is>
      </c>
      <c r="P38" s="7" t="inlineStr">
        <is>
          <t>partner estimate</t>
        </is>
      </c>
      <c r="Q38" s="7" t="inlineStr">
        <is>
          <t>Was 15000 h; lowered because portable equipment is lighter duty.</t>
        </is>
      </c>
    </row>
    <row r="39" ht="32" customHeight="1">
      <c r="A39" s="7" t="inlineStr">
        <is>
          <t>raw_biopol</t>
        </is>
      </c>
      <c r="B39" s="7" t="inlineStr">
        <is>
          <t>manufacturing</t>
        </is>
      </c>
      <c r="C39" s="7" t="inlineStr">
        <is>
          <t>repair</t>
        </is>
      </c>
      <c r="D39" s="7" t="inlineStr">
        <is>
          <t>Mixing</t>
        </is>
      </c>
      <c r="E39" s="7" t="n"/>
      <c r="F39" s="7" t="inlineStr">
        <is>
          <t>process yield</t>
        </is>
      </c>
      <c r="G39" s="8" t="inlineStr">
        <is>
          <t>Share of the material entering this step that leaves it as usable output (the rest is waste)</t>
        </is>
      </c>
      <c r="H39" s="7" t="inlineStr">
        <is>
          <t>%</t>
        </is>
      </c>
      <c r="I39" s="7" t="n">
        <v>95</v>
      </c>
      <c r="J39" s="7" t="n">
        <v>85</v>
      </c>
      <c r="K39" s="7" t="n">
        <v>100</v>
      </c>
      <c r="L39" s="7" t="n"/>
      <c r="M39" s="7" t="inlineStr">
        <is>
          <t>triangular</t>
        </is>
      </c>
      <c r="N39" s="7" t="n"/>
      <c r="O39" s="7" t="inlineStr">
        <is>
          <t>Repair machinery = smaller portable on-site equipment (answer of the LCA team lead 2026-09-29). ~5% of a small batch stays in the drum and on tools (same logic as production mixing)</t>
        </is>
      </c>
      <c r="P39" s="7" t="inlineStr">
        <is>
          <t>partner estimate</t>
        </is>
      </c>
      <c r="Q39" s="7" t="inlineStr">
        <is>
          <t>Was 98%.</t>
        </is>
      </c>
    </row>
    <row r="40" ht="16" customHeight="1">
      <c r="A40" s="7" t="inlineStr">
        <is>
          <t>raw_biopol</t>
        </is>
      </c>
      <c r="B40" s="7" t="inlineStr">
        <is>
          <t>manufacturing</t>
        </is>
      </c>
      <c r="C40" s="7" t="inlineStr">
        <is>
          <t>repair</t>
        </is>
      </c>
      <c r="D40" s="7" t="inlineStr">
        <is>
          <t>Mixing</t>
        </is>
      </c>
      <c r="E40" s="7" t="n"/>
      <c r="F40" s="7" t="inlineStr">
        <is>
          <t>machine source</t>
        </is>
      </c>
      <c r="G40" s="8" t="inlineStr">
        <is>
          <t>Whether the machine is new (virgin) or reused/recycled (recycled)</t>
        </is>
      </c>
      <c r="H40" s="7" t="inlineStr">
        <is>
          <t>-</t>
        </is>
      </c>
      <c r="I40" s="7" t="inlineStr">
        <is>
          <t>virgin</t>
        </is>
      </c>
      <c r="J40" s="7" t="n"/>
      <c r="K40" s="7" t="n"/>
      <c r="L40" s="7" t="n"/>
      <c r="M40" s="7" t="inlineStr">
        <is>
          <t>choice</t>
        </is>
      </c>
      <c r="N40" s="7" t="inlineStr">
        <is>
          <t>virgin;recycled</t>
        </is>
      </c>
      <c r="O40" s="7" t="inlineStr">
        <is>
          <t>Assumption: all machinery (studio and industrial) is bought new, i.e. virgin</t>
        </is>
      </c>
      <c r="P40" s="7" t="inlineStr">
        <is>
          <t>partner estimate</t>
        </is>
      </c>
      <c r="Q40" s="7" t="n"/>
    </row>
    <row r="41" ht="16" customHeight="1">
      <c r="A41" s="7" t="inlineStr">
        <is>
          <t>raw_biopol</t>
        </is>
      </c>
      <c r="B41" s="7" t="inlineStr">
        <is>
          <t>manufacturing</t>
        </is>
      </c>
      <c r="C41" s="7" t="inlineStr">
        <is>
          <t>repair</t>
        </is>
      </c>
      <c r="D41" s="7" t="inlineStr">
        <is>
          <t>3D printing</t>
        </is>
      </c>
      <c r="E41" s="7" t="n"/>
      <c r="F41" s="7" t="inlineStr">
        <is>
          <t>machine weight</t>
        </is>
      </c>
      <c r="G41" s="8" t="inlineStr">
        <is>
          <t>Weight of the machine used in this step (used to account for machine wear)</t>
        </is>
      </c>
      <c r="H41" s="7" t="inlineStr">
        <is>
          <t>kg</t>
        </is>
      </c>
      <c r="I41" s="7" t="n">
        <v>250</v>
      </c>
      <c r="J41" s="7" t="n">
        <v>200</v>
      </c>
      <c r="K41" s="7" t="n">
        <v>300</v>
      </c>
      <c r="L41" s="7" t="n"/>
      <c r="M41" s="7" t="inlineStr">
        <is>
          <t>triangular</t>
        </is>
      </c>
      <c r="N41" s="7" t="n"/>
      <c r="O41" s="7" t="inlineStr">
        <is>
          <t>Repair machinery = smaller portable on-site equipment (answer of the LCA team lead 2026-09-29). Small portable/gantry paste printer (~150-200 kg) with a WASP-type continuous feeder (60 kg, 450 W; 3dwasp.com) = ~250 kg</t>
        </is>
      </c>
      <c r="P41" s="7" t="inlineStr">
        <is>
          <t>partner estimate</t>
        </is>
      </c>
      <c r="Q41" s="7" t="inlineStr">
        <is>
          <t>Kept.</t>
        </is>
      </c>
    </row>
    <row r="42" ht="16" customHeight="1">
      <c r="A42" s="7" t="inlineStr">
        <is>
          <t>raw_biopol</t>
        </is>
      </c>
      <c r="B42" s="7" t="inlineStr">
        <is>
          <t>manufacturing</t>
        </is>
      </c>
      <c r="C42" s="7" t="inlineStr">
        <is>
          <t>repair</t>
        </is>
      </c>
      <c r="D42" s="7" t="inlineStr">
        <is>
          <t>3D printing</t>
        </is>
      </c>
      <c r="E42" s="7" t="n"/>
      <c r="F42" s="7" t="inlineStr">
        <is>
          <t>power</t>
        </is>
      </c>
      <c r="G42" s="8" t="inlineStr">
        <is>
          <t>Electric power the machine draws while running</t>
        </is>
      </c>
      <c r="H42" s="7" t="inlineStr">
        <is>
          <t>kW</t>
        </is>
      </c>
      <c r="I42" s="7" t="n">
        <v>1.5</v>
      </c>
      <c r="J42" s="7" t="n">
        <v>1.2</v>
      </c>
      <c r="K42" s="7" t="n">
        <v>1.8</v>
      </c>
      <c r="L42" s="7" t="n"/>
      <c r="M42" s="7" t="inlineStr">
        <is>
          <t>triangular</t>
        </is>
      </c>
      <c r="N42" s="7" t="n"/>
      <c r="O42" s="7" t="inlineStr">
        <is>
          <t>Repair machinery = smaller portable on-site equipment (answer of the LCA team lead 2026-09-29). Feeder 0.45 kW (WASP) + motion/controller ~0.5 kW + small compressor ~0.5 kW = ~1.5 kW</t>
        </is>
      </c>
      <c r="P42" s="7" t="inlineStr">
        <is>
          <t>partner estimate</t>
        </is>
      </c>
      <c r="Q42" s="7" t="inlineStr">
        <is>
          <t>Was 2.5 kW; lowered because no industrial robot is involved.</t>
        </is>
      </c>
    </row>
    <row r="43" ht="16" customHeight="1">
      <c r="A43" s="7" t="inlineStr">
        <is>
          <t>raw_biopol</t>
        </is>
      </c>
      <c r="B43" s="7" t="inlineStr">
        <is>
          <t>manufacturing</t>
        </is>
      </c>
      <c r="C43" s="7" t="inlineStr">
        <is>
          <t>repair</t>
        </is>
      </c>
      <c r="D43" s="7" t="inlineStr">
        <is>
          <t>3D printing</t>
        </is>
      </c>
      <c r="E43" s="7" t="n"/>
      <c r="F43" s="7" t="inlineStr">
        <is>
          <t>output rate</t>
        </is>
      </c>
      <c r="G43" s="8" t="inlineStr">
        <is>
          <t>Mass of material the machine processes per hour</t>
        </is>
      </c>
      <c r="H43" s="7" t="inlineStr">
        <is>
          <t>kg/hr</t>
        </is>
      </c>
      <c r="I43" s="7" t="n">
        <v>1</v>
      </c>
      <c r="J43" s="7" t="n">
        <v>0.5</v>
      </c>
      <c r="K43" s="7" t="n">
        <v>2</v>
      </c>
      <c r="L43" s="7" t="n"/>
      <c r="M43" s="7" t="inlineStr">
        <is>
          <t>triangular</t>
        </is>
      </c>
      <c r="N43" s="7" t="n"/>
      <c r="O43" s="7" t="inlineStr">
        <is>
          <t>Repair machinery = smaller portable on-site equipment (answer of the LCA team lead 2026-09-29). Small LDM-type extruder rated 2.5 L/h (~3 kg/h; 3dwasp.com) run at ~30%, because patching is slow, precise work</t>
        </is>
      </c>
      <c r="P43" s="7" t="inlineStr">
        <is>
          <t>partner estimate</t>
        </is>
      </c>
      <c r="Q43" s="7" t="inlineStr">
        <is>
          <t>Was 0.5 kg/h.</t>
        </is>
      </c>
    </row>
    <row r="44" ht="16" customHeight="1">
      <c r="A44" s="7" t="inlineStr">
        <is>
          <t>raw_biopol</t>
        </is>
      </c>
      <c r="B44" s="7" t="inlineStr">
        <is>
          <t>manufacturing</t>
        </is>
      </c>
      <c r="C44" s="7" t="inlineStr">
        <is>
          <t>repair</t>
        </is>
      </c>
      <c r="D44" s="7" t="inlineStr">
        <is>
          <t>3D printing</t>
        </is>
      </c>
      <c r="E44" s="7" t="n"/>
      <c r="F44" s="7" t="inlineStr">
        <is>
          <t>machine lifetime</t>
        </is>
      </c>
      <c r="G44" s="8" t="inlineStr">
        <is>
          <t>Operating hours before the machine is worn out</t>
        </is>
      </c>
      <c r="H44" s="7" t="inlineStr">
        <is>
          <t>hrs</t>
        </is>
      </c>
      <c r="I44" s="7" t="n">
        <v>8000</v>
      </c>
      <c r="J44" s="7" t="n">
        <v>5000</v>
      </c>
      <c r="K44" s="7" t="n">
        <v>10000</v>
      </c>
      <c r="L44" s="7" t="n"/>
      <c r="M44" s="7" t="inlineStr">
        <is>
          <t>triangular</t>
        </is>
      </c>
      <c r="N44" s="7" t="n"/>
      <c r="O44" s="7" t="inlineStr">
        <is>
          <t>Repair machinery = smaller portable on-site equipment (answer of the LCA team lead 2026-09-29). Lifetime: portable/light-duty equipment lasts ~5,000-10,000 operating hours (assumption, not retrieved).</t>
        </is>
      </c>
      <c r="P44" s="7" t="inlineStr">
        <is>
          <t>partner estimate</t>
        </is>
      </c>
      <c r="Q44" s="7" t="inlineStr">
        <is>
          <t>Was 20000 h.</t>
        </is>
      </c>
    </row>
    <row r="45" ht="32" customHeight="1">
      <c r="A45" s="7" t="inlineStr">
        <is>
          <t>raw_biopol</t>
        </is>
      </c>
      <c r="B45" s="7" t="inlineStr">
        <is>
          <t>manufacturing</t>
        </is>
      </c>
      <c r="C45" s="7" t="inlineStr">
        <is>
          <t>repair</t>
        </is>
      </c>
      <c r="D45" s="7" t="inlineStr">
        <is>
          <t>3D printing</t>
        </is>
      </c>
      <c r="E45" s="7" t="n"/>
      <c r="F45" s="7" t="inlineStr">
        <is>
          <t>process yield</t>
        </is>
      </c>
      <c r="G45" s="8" t="inlineStr">
        <is>
          <t>Share of the material entering this step that leaves it as usable output (the rest is waste)</t>
        </is>
      </c>
      <c r="H45" s="7" t="inlineStr">
        <is>
          <t>%</t>
        </is>
      </c>
      <c r="I45" s="7" t="n">
        <v>90</v>
      </c>
      <c r="J45" s="7" t="n">
        <v>75</v>
      </c>
      <c r="K45" s="7" t="n">
        <v>100</v>
      </c>
      <c r="L45" s="7" t="n"/>
      <c r="M45" s="7" t="inlineStr">
        <is>
          <t>triangular</t>
        </is>
      </c>
      <c r="N45" s="7" t="n"/>
      <c r="O45" s="7" t="inlineStr">
        <is>
          <t>Repair machinery = smaller portable on-site equipment (answer of the LCA team lead 2026-09-29). Purging/priming and failed passes ~10%, same as production printing</t>
        </is>
      </c>
      <c r="P45" s="7" t="inlineStr">
        <is>
          <t>partner estimate</t>
        </is>
      </c>
      <c r="Q45" s="7" t="inlineStr">
        <is>
          <t>Was 92%.</t>
        </is>
      </c>
    </row>
    <row r="46" ht="16" customHeight="1">
      <c r="A46" s="7" t="inlineStr">
        <is>
          <t>raw_biopol</t>
        </is>
      </c>
      <c r="B46" s="7" t="inlineStr">
        <is>
          <t>manufacturing</t>
        </is>
      </c>
      <c r="C46" s="7" t="inlineStr">
        <is>
          <t>repair</t>
        </is>
      </c>
      <c r="D46" s="7" t="inlineStr">
        <is>
          <t>3D printing</t>
        </is>
      </c>
      <c r="E46" s="7" t="n"/>
      <c r="F46" s="7" t="inlineStr">
        <is>
          <t>machine source</t>
        </is>
      </c>
      <c r="G46" s="8" t="inlineStr">
        <is>
          <t>Whether the machine is new (virgin) or reused/recycled (recycled)</t>
        </is>
      </c>
      <c r="H46" s="7" t="inlineStr">
        <is>
          <t>-</t>
        </is>
      </c>
      <c r="I46" s="7" t="inlineStr">
        <is>
          <t>virgin</t>
        </is>
      </c>
      <c r="J46" s="7" t="n"/>
      <c r="K46" s="7" t="n"/>
      <c r="L46" s="7" t="n"/>
      <c r="M46" s="7" t="inlineStr">
        <is>
          <t>choice</t>
        </is>
      </c>
      <c r="N46" s="7" t="inlineStr">
        <is>
          <t>virgin;recycled</t>
        </is>
      </c>
      <c r="O46" s="7" t="inlineStr">
        <is>
          <t>Assumption: all machinery (studio and industrial) is bought new, i.e. virgin</t>
        </is>
      </c>
      <c r="P46" s="7" t="inlineStr">
        <is>
          <t>partner estimate</t>
        </is>
      </c>
      <c r="Q46" s="7" t="n"/>
    </row>
    <row r="47" ht="16" customHeight="1">
      <c r="A47" s="7" t="inlineStr">
        <is>
          <t>raw_biopol</t>
        </is>
      </c>
      <c r="B47" s="7" t="inlineStr">
        <is>
          <t>circularity</t>
        </is>
      </c>
      <c r="C47" s="7" t="inlineStr">
        <is>
          <t>use</t>
        </is>
      </c>
      <c r="D47" s="7" t="inlineStr">
        <is>
          <t>product</t>
        </is>
      </c>
      <c r="E47" s="7" t="n"/>
      <c r="F47" s="7" t="inlineStr">
        <is>
          <t>expected lifetime</t>
        </is>
      </c>
      <c r="G47" s="8" t="inlineStr">
        <is>
          <t>Years the product lasts before any repair</t>
        </is>
      </c>
      <c r="H47" s="7" t="inlineStr">
        <is>
          <t>yrs</t>
        </is>
      </c>
      <c r="I47" s="7" t="n">
        <v>20</v>
      </c>
      <c r="J47" s="7" t="n">
        <v>16</v>
      </c>
      <c r="K47" s="7" t="n">
        <v>24</v>
      </c>
      <c r="L47" s="7" t="n"/>
      <c r="M47" s="7" t="inlineStr">
        <is>
          <t>triangular</t>
        </is>
      </c>
      <c r="N47" s="7" t="n"/>
      <c r="O47" s="7" t="inlineStr">
        <is>
          <t>RAW wall, Confirmed by the LCA team lead (Tanya) on 2026-09-29</t>
        </is>
      </c>
      <c r="P47" s="7" t="inlineStr">
        <is>
          <t>partner estimate</t>
        </is>
      </c>
      <c r="Q47" s="7" t="inlineStr">
        <is>
          <t>Unfired protein-bound bio-composite is moisture-sensitive and can degrade (biological attack), so 20 y before first repair is a conservative interior-wall value; hempcrete-type walls last 50+ y when protected. No product-specific durability test exists yet.</t>
        </is>
      </c>
    </row>
    <row r="48" ht="16" customHeight="1">
      <c r="A48" s="7" t="inlineStr">
        <is>
          <t>raw_biopol</t>
        </is>
      </c>
      <c r="B48" s="7" t="inlineStr">
        <is>
          <t>circularity</t>
        </is>
      </c>
      <c r="C48" s="7" t="inlineStr">
        <is>
          <t>use</t>
        </is>
      </c>
      <c r="D48" s="7" t="inlineStr">
        <is>
          <t>product</t>
        </is>
      </c>
      <c r="E48" s="7" t="n"/>
      <c r="F48" s="7" t="inlineStr">
        <is>
          <t>lifetime extension per repair</t>
        </is>
      </c>
      <c r="G48" s="8" t="inlineStr">
        <is>
          <t>Years added to the product's life by one repair</t>
        </is>
      </c>
      <c r="H48" s="7" t="inlineStr">
        <is>
          <t>yrs</t>
        </is>
      </c>
      <c r="I48" s="7" t="n">
        <v>10</v>
      </c>
      <c r="J48" s="7" t="n">
        <v>8</v>
      </c>
      <c r="K48" s="7" t="n">
        <v>12</v>
      </c>
      <c r="L48" s="7" t="n"/>
      <c r="M48" s="7" t="inlineStr">
        <is>
          <t>triangular</t>
        </is>
      </c>
      <c r="N48" s="7" t="n"/>
      <c r="O48" s="7" t="inlineStr">
        <is>
          <t>RAW wall, Confirmed by the LCA team lead (Tanya) on 2026-09-29</t>
        </is>
      </c>
      <c r="P48" s="7" t="inlineStr">
        <is>
          <t>partner estimate</t>
        </is>
      </c>
      <c r="Q48" s="7" t="inlineStr">
        <is>
          <t>One patch repair restores the worn/damaged surface and buys about half of the original life. Number of repairs to reach the FU service life = ceil((service life - 20) / 10).</t>
        </is>
      </c>
    </row>
    <row r="49" ht="16" customHeight="1">
      <c r="A49" s="7" t="inlineStr">
        <is>
          <t>raw_biopol</t>
        </is>
      </c>
      <c r="B49" s="7" t="inlineStr">
        <is>
          <t>circularity</t>
        </is>
      </c>
      <c r="C49" s="7" t="inlineStr">
        <is>
          <t>repair</t>
        </is>
      </c>
      <c r="D49" s="7" t="inlineStr">
        <is>
          <t>repair material</t>
        </is>
      </c>
      <c r="E49" s="7" t="n"/>
      <c r="F49" s="7" t="inlineStr">
        <is>
          <t>share of product mass per repair</t>
        </is>
      </c>
      <c r="G49" s="8" t="inlineStr">
        <is>
          <t>Mass of material added per repair, as a share of the product mass</t>
        </is>
      </c>
      <c r="H49" s="7" t="inlineStr">
        <is>
          <t>%</t>
        </is>
      </c>
      <c r="I49" s="7" t="n">
        <v>10</v>
      </c>
      <c r="J49" s="7" t="n">
        <v>8</v>
      </c>
      <c r="K49" s="7" t="n">
        <v>12</v>
      </c>
      <c r="L49" s="7" t="n"/>
      <c r="M49" s="7" t="inlineStr">
        <is>
          <t>triangular</t>
        </is>
      </c>
      <c r="N49" s="7" t="n"/>
      <c r="O49" s="7" t="inlineStr">
        <is>
          <t>RAW wall, Confirmed by the LCA team lead (Tanya) on 2026-09-29</t>
        </is>
      </c>
      <c r="P49" s="7" t="inlineStr">
        <is>
          <t>partner estimate</t>
        </is>
      </c>
      <c r="Q49" s="7" t="inlineStr">
        <is>
          <t>Patching ~10% of the wall mass per repair (damaged surface layer). Ties to the repair recipe and machines above.</t>
        </is>
      </c>
    </row>
    <row r="50" ht="16" customHeight="1">
      <c r="A50" s="7" t="inlineStr">
        <is>
          <t>raw_biopol</t>
        </is>
      </c>
      <c r="B50" s="7" t="inlineStr">
        <is>
          <t>circularity</t>
        </is>
      </c>
      <c r="C50" s="7" t="inlineStr">
        <is>
          <t>end-of-life</t>
        </is>
      </c>
      <c r="D50" s="7" t="inlineStr">
        <is>
          <t>waste</t>
        </is>
      </c>
      <c r="E50" s="7" t="inlineStr">
        <is>
          <t>composted</t>
        </is>
      </c>
      <c r="F50" s="7" t="inlineStr">
        <is>
          <t>share of waste</t>
        </is>
      </c>
      <c r="G50" s="8" t="inlineStr">
        <is>
          <t>Share of the product's end-of-life mass that goes to this route (the routes add up to 100 %): composted</t>
        </is>
      </c>
      <c r="H50" s="7" t="inlineStr">
        <is>
          <t>%</t>
        </is>
      </c>
      <c r="I50" s="7" t="n">
        <v>42</v>
      </c>
      <c r="J50" s="7" t="n">
        <v>30</v>
      </c>
      <c r="K50" s="7" t="n">
        <v>79</v>
      </c>
      <c r="L50" s="7" t="n">
        <v>55</v>
      </c>
      <c r="M50" s="7" t="inlineStr">
        <is>
          <t>triangular</t>
        </is>
      </c>
      <c r="N50" s="7" t="n"/>
      <c r="O50" s="7" t="inlineStr">
        <is>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is>
      </c>
      <c r="P50" s="7" t="inlineStr">
        <is>
          <t>partner estimate</t>
        </is>
      </c>
      <c r="Q50" s="7" t="inlineStr">
        <is>
          <t>Typical: municipal bio-waste captured separately ~46% (2022) minus rejects = ~42% composted or digested (anaerobic digestion is counted here, no separate route). Max 79% = Eurostat all-sector biogenic waste. Scaled-up: mandatory separate collection and the 65% recycling target push this to ~55%. NOTE: methods.md says the scaled-up variant leaves end of life unchanged, so these scaled_up values are stored here but may not be read by the model.</t>
        </is>
      </c>
    </row>
    <row r="51" ht="32" customHeight="1">
      <c r="A51" s="7" t="inlineStr">
        <is>
          <t>raw_biopol</t>
        </is>
      </c>
      <c r="B51" s="7" t="inlineStr">
        <is>
          <t>circularity</t>
        </is>
      </c>
      <c r="C51" s="7" t="inlineStr">
        <is>
          <t>end-of-life</t>
        </is>
      </c>
      <c r="D51" s="7" t="inlineStr">
        <is>
          <t>waste</t>
        </is>
      </c>
      <c r="E51" s="7" t="inlineStr">
        <is>
          <t>recycled_open</t>
        </is>
      </c>
      <c r="F51" s="7" t="inlineStr">
        <is>
          <t>share of waste</t>
        </is>
      </c>
      <c r="G51" s="8" t="inlineStr">
        <is>
          <t>Share of the product's end-of-life mass that goes to this route (the routes add up to 100 %): recycled (open loop)</t>
        </is>
      </c>
      <c r="H51" s="7" t="inlineStr">
        <is>
          <t>%</t>
        </is>
      </c>
      <c r="I51" s="7" t="n">
        <v>5</v>
      </c>
      <c r="J51" s="7" t="n">
        <v>0</v>
      </c>
      <c r="K51" s="7" t="n">
        <v>15</v>
      </c>
      <c r="L51" s="7" t="n">
        <v>10</v>
      </c>
      <c r="M51" s="7" t="inlineStr">
        <is>
          <t>triangular</t>
        </is>
      </c>
      <c r="N51" s="7" t="n"/>
      <c r="O51" s="7" t="inlineStr">
        <is>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is>
      </c>
      <c r="P51" s="7" t="inlineStr">
        <is>
          <t>partner estimate</t>
        </is>
      </c>
      <c r="Q51" s="7" t="inlineStr">
        <is>
          <t>Typical: no biowaste statistic for material recycling of a composite wall; wood waste is ~48% material-recycled in the EU (Eurostat 2018) so a small open-loop share (e.g. as filler or board feedstock) is assumed. Scaled-up: an industrial producer can establish a take-back/filler route.</t>
        </is>
      </c>
    </row>
    <row r="52" ht="32" customHeight="1">
      <c r="A52" s="7" t="inlineStr">
        <is>
          <t>raw_biopol</t>
        </is>
      </c>
      <c r="B52" s="7" t="inlineStr">
        <is>
          <t>circularity</t>
        </is>
      </c>
      <c r="C52" s="7" t="inlineStr">
        <is>
          <t>end-of-life</t>
        </is>
      </c>
      <c r="D52" s="7" t="inlineStr">
        <is>
          <t>waste</t>
        </is>
      </c>
      <c r="E52" s="7" t="inlineStr">
        <is>
          <t>recycled_closed</t>
        </is>
      </c>
      <c r="F52" s="7" t="inlineStr">
        <is>
          <t>share of waste</t>
        </is>
      </c>
      <c r="G52" s="8" t="inlineStr">
        <is>
          <t>Share of the product's end-of-life mass that goes to this route (the routes add up to 100 %): recycled (closed loop)</t>
        </is>
      </c>
      <c r="H52" s="7" t="inlineStr">
        <is>
          <t>%</t>
        </is>
      </c>
      <c r="I52" s="7" t="n">
        <v>0</v>
      </c>
      <c r="J52" s="7" t="n">
        <v>0</v>
      </c>
      <c r="K52" s="7" t="n">
        <v>5</v>
      </c>
      <c r="L52" s="7" t="n">
        <v>10</v>
      </c>
      <c r="M52" s="7" t="inlineStr">
        <is>
          <t>triangular</t>
        </is>
      </c>
      <c r="N52" s="7" t="n"/>
      <c r="O52" s="7" t="inlineStr">
        <is>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is>
      </c>
      <c r="P52" s="7" t="inlineStr">
        <is>
          <t>partner estimate</t>
        </is>
      </c>
      <c r="Q52" s="7" t="inlineStr">
        <is>
          <t>Typical: no closed-loop recycling of printed bio-composite exists today. Scaled-up: a manufacturer could grind and re-wet panel waste into new paste (10% assumed, purely a scenario).</t>
        </is>
      </c>
    </row>
    <row r="53" ht="32" customHeight="1">
      <c r="A53" s="7" t="inlineStr">
        <is>
          <t>raw_biopol</t>
        </is>
      </c>
      <c r="B53" s="7" t="inlineStr">
        <is>
          <t>circularity</t>
        </is>
      </c>
      <c r="C53" s="7" t="inlineStr">
        <is>
          <t>end-of-life</t>
        </is>
      </c>
      <c r="D53" s="7" t="inlineStr">
        <is>
          <t>waste</t>
        </is>
      </c>
      <c r="E53" s="7" t="inlineStr">
        <is>
          <t>incinerated</t>
        </is>
      </c>
      <c r="F53" s="7" t="inlineStr">
        <is>
          <t>share of waste</t>
        </is>
      </c>
      <c r="G53" s="8" t="inlineStr">
        <is>
          <t>Share of the product's end-of-life mass that goes to this route (the routes add up to 100 %): incinerated with energy recovery</t>
        </is>
      </c>
      <c r="H53" s="7" t="inlineStr">
        <is>
          <t>%</t>
        </is>
      </c>
      <c r="I53" s="7" t="n">
        <v>28</v>
      </c>
      <c r="J53" s="7" t="n">
        <v>15</v>
      </c>
      <c r="K53" s="7" t="n">
        <v>45</v>
      </c>
      <c r="L53" s="7" t="n">
        <v>20</v>
      </c>
      <c r="M53" s="7" t="inlineStr">
        <is>
          <t>triangular</t>
        </is>
      </c>
      <c r="N53" s="7" t="n"/>
      <c r="O53" s="7" t="inlineStr">
        <is>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is>
      </c>
      <c r="P53" s="7" t="inlineStr">
        <is>
          <t>partner estimate</t>
        </is>
      </c>
      <c r="Q53" s="7" t="inlineStr">
        <is>
          <t>Typical: residual (non-captured) share ~54% split between incineration and landfill in the ratio of municipal waste practice, 27:24 (ECN) = ~28% incineration. In the NL nearly all residual waste is incinerated (landfill ban), so the max is 45%. Scaled-up: falls as organic recycling grows.</t>
        </is>
      </c>
    </row>
    <row r="54" ht="32" customHeight="1">
      <c r="A54" s="7" t="inlineStr">
        <is>
          <t>raw_biopol</t>
        </is>
      </c>
      <c r="B54" s="7" t="inlineStr">
        <is>
          <t>circularity</t>
        </is>
      </c>
      <c r="C54" s="7" t="inlineStr">
        <is>
          <t>end-of-life</t>
        </is>
      </c>
      <c r="D54" s="7" t="inlineStr">
        <is>
          <t>waste</t>
        </is>
      </c>
      <c r="E54" s="7" t="inlineStr">
        <is>
          <t>landfilled</t>
        </is>
      </c>
      <c r="F54" s="7" t="inlineStr">
        <is>
          <t>share of waste</t>
        </is>
      </c>
      <c r="G54" s="8" t="inlineStr">
        <is>
          <t>Share of the product's end-of-life mass that goes to this route (the routes add up to 100 %): landfilled</t>
        </is>
      </c>
      <c r="H54" s="7" t="inlineStr">
        <is>
          <t>%</t>
        </is>
      </c>
      <c r="I54" s="7" t="n">
        <v>25</v>
      </c>
      <c r="J54" s="7" t="n">
        <v>2</v>
      </c>
      <c r="K54" s="7" t="n">
        <v>40</v>
      </c>
      <c r="L54" s="7" t="n">
        <v>5</v>
      </c>
      <c r="M54" s="7" t="inlineStr">
        <is>
          <t>triangular</t>
        </is>
      </c>
      <c r="N54" s="7" t="n"/>
      <c r="O54" s="7" t="inlineStr">
        <is>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is>
      </c>
      <c r="P54" s="7" t="inlineStr">
        <is>
          <t>partner estimate</t>
        </is>
      </c>
      <c r="Q54" s="7" t="inlineStr">
        <is>
          <t>Typical: the other part of the residual ~54% = ~25% landfill (EU municipal average). Min 2% ~ Eurostat all-sector biogenic waste (1.5%) and NL practice. Scaled-up: 5% respects the 10% landfill cap of the Landfill Directive for 2035.</t>
        </is>
      </c>
    </row>
    <row r="55" ht="32" customHeight="1">
      <c r="A55" s="7" t="inlineStr">
        <is>
          <t>raw_biopol</t>
        </is>
      </c>
      <c r="B55" s="7" t="inlineStr">
        <is>
          <t>location</t>
        </is>
      </c>
      <c r="C55" s="7" t="inlineStr">
        <is>
          <t>general</t>
        </is>
      </c>
      <c r="D55" s="7" t="inlineStr">
        <is>
          <t>product</t>
        </is>
      </c>
      <c r="E55" s="7" t="n"/>
      <c r="F55" s="7" t="inlineStr">
        <is>
          <t>location</t>
        </is>
      </c>
      <c r="G55" s="8" t="inlineStr">
        <is>
          <t>Country whose electricity mix is used for every process step, and whose grid is displaced by energy recovered at end of life</t>
        </is>
      </c>
      <c r="H55" s="7" t="inlineStr">
        <is>
          <t>country code</t>
        </is>
      </c>
      <c r="I55" s="7" t="inlineStr">
        <is>
          <t>NL</t>
        </is>
      </c>
      <c r="J55" s="7" t="n"/>
      <c r="K55" s="7" t="n"/>
      <c r="L55" s="7" t="n"/>
      <c r="M55" s="7" t="inlineStr">
        <is>
          <t>choice</t>
        </is>
      </c>
      <c r="N55" s="7" t="n"/>
      <c r="O55" s="7" t="inlineStr">
        <is>
          <t>Model choice: Netherlands (RAW project location); electricity mix and heat/electricity credit of incineration use the NL grid</t>
        </is>
      </c>
      <c r="P55" s="7" t="inlineStr">
        <is>
          <t>partner estimate</t>
        </is>
      </c>
      <c r="Q55" s="7" t="inlineStr">
        <is>
          <t>Only affects electricity for every process step and the energy credit of incineration. Change on study_setup / choices if you model another country.</t>
        </is>
      </c>
    </row>
    <row r="56" ht="32" customHeight="1"/>
  </sheetData>
  <conditionalFormatting sqref="I2:I262">
    <cfRule type="expression" priority="3" dxfId="0">
      <formula>AND($F2&lt;&gt;"",$I2="")</formula>
    </cfRule>
  </conditionalFormatting>
  <conditionalFormatting sqref="I2:P262">
    <cfRule type="expression" priority="1" dxfId="1">
      <formula>$P2="placeholder"</formula>
    </cfRule>
  </conditionalFormatting>
  <conditionalFormatting sqref="J2:K262">
    <cfRule type="expression" priority="2" dxfId="0">
      <formula>AND(OR($M2="triangular",$M2="uniform"),OR($J2="",$K2=""))</formula>
    </cfRule>
  </conditionalFormatting>
  <dataValidations count="4">
    <dataValidation sqref="B2:B262" showDropDown="0" showInputMessage="0" showErrorMessage="1" allowBlank="1" type="list">
      <formula1>"design,manufacturing,circularity,location"</formula1>
    </dataValidation>
    <dataValidation sqref="C2:C262" showDropDown="0" showInputMessage="0" showErrorMessage="1" allowBlank="1" type="list">
      <formula1>"product size,production,repair,use,end-of-life,general"</formula1>
    </dataValidation>
    <dataValidation sqref="M2:M262" showDropDown="0" showInputMessage="0" showErrorMessage="1" allowBlank="1" type="list">
      <formula1>"fixed,triangular,uniform,choice,combination"</formula1>
    </dataValidation>
    <dataValidation sqref="P2:P262" showDropDown="0" showInputMessage="0" showErrorMessage="1" allowBlank="1" type="list">
      <formula1>"placeholder,partner estimate,measured,literature"</formula1>
    </dataValidation>
  </dataValidations>
  <pageMargins left="0.75" right="0.75" top="1" bottom="1" header="0.5" footer="0.5"/>
</worksheet>
</file>

<file path=xl/worksheets/sheet7.xml><?xml version="1.0" encoding="utf-8"?>
<worksheet xmlns="http://schemas.openxmlformats.org/spreadsheetml/2006/main">
  <sheetPr>
    <tabColor rgb="FF76A5AF"/>
    <outlinePr summaryBelow="1" summaryRight="1"/>
    <pageSetUpPr/>
  </sheetPr>
  <dimension ref="A1:Q49"/>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0" customWidth="1" min="1" max="1"/>
    <col width="15" customWidth="1" min="2" max="2"/>
    <col width="13" customWidth="1" min="3" max="3"/>
    <col width="22" customWidth="1" min="4" max="4"/>
    <col width="17" customWidth="1" min="5" max="5"/>
    <col width="34" customWidth="1" min="6" max="6"/>
    <col width="60" customWidth="1" min="7" max="7"/>
    <col width="14" customWidth="1" min="8" max="8"/>
    <col width="9" customWidth="1" min="9" max="10"/>
    <col width="13" customWidth="1" min="11" max="12"/>
    <col width="17" customWidth="1" min="13" max="13"/>
    <col width="40" customWidth="1" min="14" max="14"/>
    <col width="13" customWidth="1" min="15" max="15"/>
    <col width="40" customWidth="1" min="16" max="16"/>
  </cols>
  <sheetData>
    <row r="1">
      <c r="A1" s="6" t="inlineStr">
        <is>
          <t>case</t>
        </is>
      </c>
      <c r="B1" s="6" t="inlineStr">
        <is>
          <t>group</t>
        </is>
      </c>
      <c r="C1" s="6" t="inlineStr">
        <is>
          <t>stage</t>
        </is>
      </c>
      <c r="D1" s="6" t="inlineStr">
        <is>
          <t>item</t>
        </is>
      </c>
      <c r="E1" s="6" t="inlineStr">
        <is>
          <t>qualifier</t>
        </is>
      </c>
      <c r="F1" s="6" t="inlineStr">
        <is>
          <t>parameter</t>
        </is>
      </c>
      <c r="G1" s="6" t="inlineStr">
        <is>
          <t>description</t>
        </is>
      </c>
      <c r="H1" s="6" t="inlineStr">
        <is>
          <t>unit</t>
        </is>
      </c>
      <c r="I1" s="6" t="inlineStr">
        <is>
          <t>typical</t>
        </is>
      </c>
      <c r="J1" s="6" t="inlineStr">
        <is>
          <t>min</t>
        </is>
      </c>
      <c r="K1" s="6" t="inlineStr">
        <is>
          <t>max</t>
        </is>
      </c>
      <c r="L1" s="6" t="inlineStr">
        <is>
          <t>scaled_up</t>
        </is>
      </c>
      <c r="M1" s="6" t="inlineStr">
        <is>
          <t>distribution</t>
        </is>
      </c>
      <c r="N1" s="6" t="inlineStr">
        <is>
          <t>choices</t>
        </is>
      </c>
      <c r="O1" s="6" t="inlineStr">
        <is>
          <t>source</t>
        </is>
      </c>
      <c r="P1" s="6" t="inlineStr">
        <is>
          <t>status</t>
        </is>
      </c>
      <c r="Q1" s="6" t="inlineStr">
        <is>
          <t>comments</t>
        </is>
      </c>
    </row>
    <row r="2" ht="16" customHeight="1">
      <c r="A2" s="7" t="inlineStr">
        <is>
          <t>raw_knit</t>
        </is>
      </c>
      <c r="B2" s="7" t="inlineStr">
        <is>
          <t>design</t>
        </is>
      </c>
      <c r="C2" s="7" t="inlineStr">
        <is>
          <t>product size</t>
        </is>
      </c>
      <c r="D2" s="7" t="inlineStr">
        <is>
          <t>product</t>
        </is>
      </c>
      <c r="E2" s="7" t="n"/>
      <c r="F2" s="7" t="inlineStr">
        <is>
          <t>areal_density</t>
        </is>
      </c>
      <c r="G2" s="7" t="inlineStr">
        <is>
          <t>Mass of membrane per m2 of coverage</t>
        </is>
      </c>
      <c r="H2" s="7" t="inlineStr">
        <is>
          <t>kg/m2</t>
        </is>
      </c>
      <c r="I2" s="7" t="n">
        <v>0.4</v>
      </c>
      <c r="J2" s="7" t="n">
        <v>0.32</v>
      </c>
      <c r="K2" s="7" t="n">
        <v>0.48</v>
      </c>
      <c r="L2" s="7" t="n"/>
      <c r="M2" s="7" t="inlineStr">
        <is>
          <t>triangular</t>
        </is>
      </c>
      <c r="N2" s="7" t="n"/>
      <c r="O2" s="7" t="inlineStr">
        <is>
          <t>Partner formula (Yulia) for the knitted hemp membrane, 0.4 kg/m2 (product_size_formulas); Answers of the LCA team lead 2026-09-29: 100% hemp, no coating; carding and spinning already on industrial lines, only knitting is a lab/CNC prototype machine</t>
        </is>
      </c>
      <c r="P2" s="7" t="inlineStr">
        <is>
          <t>partner estimate</t>
        </is>
      </c>
      <c r="Q2" s="7" t="inlineStr">
        <is>
          <t>Plausible: a coarse-gauge knit of thick hemp yarn (Nm ~3-6) weighs ~0.3-0.5 kg/m2; lighter than coated PVC-polyester membranes (0.8-1.3 kg/m2). Range +-20%.</t>
        </is>
      </c>
    </row>
    <row r="3" ht="32" customHeight="1">
      <c r="A3" s="7" t="inlineStr">
        <is>
          <t>raw_knit</t>
        </is>
      </c>
      <c r="B3" s="7" t="inlineStr">
        <is>
          <t>design</t>
        </is>
      </c>
      <c r="C3" s="7" t="inlineStr">
        <is>
          <t>production</t>
        </is>
      </c>
      <c r="D3" s="7" t="inlineStr">
        <is>
          <t>Hemp fiber</t>
        </is>
      </c>
      <c r="E3" s="7" t="inlineStr">
        <is>
          <t>virgin</t>
        </is>
      </c>
      <c r="F3" s="7" t="inlineStr">
        <is>
          <t>share of input mass</t>
        </is>
      </c>
      <c r="G3" s="8" t="inlineStr">
        <is>
          <t>Share of the production input mass made of this material (virgin); the shares of one stage add up to 100 %</t>
        </is>
      </c>
      <c r="H3" s="7" t="inlineStr">
        <is>
          <t>%</t>
        </is>
      </c>
      <c r="I3" s="7" t="n">
        <v>100</v>
      </c>
      <c r="J3" s="7" t="n">
        <v>100</v>
      </c>
      <c r="K3" s="7" t="n">
        <v>100</v>
      </c>
      <c r="L3" s="7" t="n"/>
      <c r="M3" s="7" t="inlineStr">
        <is>
          <t>fixed</t>
        </is>
      </c>
      <c r="N3" s="7" t="n"/>
      <c r="O3" s="7" t="inlineStr">
        <is>
          <t>Answers of the LCA team lead 2026-09-29: 100% hemp, no coating; carding and spinning already on industrial lines, only knitting is a lab/CNC prototype machine</t>
        </is>
      </c>
      <c r="P3" s="7" t="inlineStr">
        <is>
          <t>partner estimate</t>
        </is>
      </c>
      <c r="Q3" s="7" t="inlineStr">
        <is>
          <t>Single-material product: the only ingredient is hemp fibre, so the share is fixed at 100%.</t>
        </is>
      </c>
    </row>
    <row r="4" ht="32" customHeight="1">
      <c r="A4" s="7" t="inlineStr">
        <is>
          <t>raw_knit</t>
        </is>
      </c>
      <c r="B4" s="7" t="inlineStr">
        <is>
          <t>design</t>
        </is>
      </c>
      <c r="C4" s="7" t="inlineStr">
        <is>
          <t>repair</t>
        </is>
      </c>
      <c r="D4" s="7" t="inlineStr">
        <is>
          <t>Hemp fiber</t>
        </is>
      </c>
      <c r="E4" s="7" t="inlineStr">
        <is>
          <t>virgin</t>
        </is>
      </c>
      <c r="F4" s="7" t="inlineStr">
        <is>
          <t>share of input mass</t>
        </is>
      </c>
      <c r="G4" s="8" t="inlineStr">
        <is>
          <t>Share of the repair input mass made of this material (virgin); the shares of one stage add up to 100 %</t>
        </is>
      </c>
      <c r="H4" s="7" t="inlineStr">
        <is>
          <t>%</t>
        </is>
      </c>
      <c r="I4" s="7" t="n">
        <v>100</v>
      </c>
      <c r="J4" s="7" t="n">
        <v>100</v>
      </c>
      <c r="K4" s="7" t="n">
        <v>100</v>
      </c>
      <c r="L4" s="7" t="n"/>
      <c r="M4" s="7" t="inlineStr">
        <is>
          <t>fixed</t>
        </is>
      </c>
      <c r="N4" s="7" t="n"/>
      <c r="O4" s="7" t="inlineStr">
        <is>
          <t>Answers of the LCA team lead 2026-09-29: 100% hemp, no coating; carding and spinning already on industrial lines, only knitting is a lab/CNC prototype machine</t>
        </is>
      </c>
      <c r="P4" s="7" t="inlineStr">
        <is>
          <t>partner estimate</t>
        </is>
      </c>
      <c r="Q4" s="7" t="inlineStr">
        <is>
          <t>Single-material product: the only ingredient is hemp fibre, so the share is fixed at 100%.</t>
        </is>
      </c>
    </row>
    <row r="5" ht="16" customHeight="1">
      <c r="A5" s="7" t="inlineStr">
        <is>
          <t>raw_knit</t>
        </is>
      </c>
      <c r="B5" s="7" t="inlineStr">
        <is>
          <t>manufacturing</t>
        </is>
      </c>
      <c r="C5" s="7" t="inlineStr">
        <is>
          <t>production</t>
        </is>
      </c>
      <c r="D5" s="7" t="inlineStr">
        <is>
          <t>Carding &amp; roving</t>
        </is>
      </c>
      <c r="E5" s="7" t="n"/>
      <c r="F5" s="7" t="inlineStr">
        <is>
          <t>machine weight</t>
        </is>
      </c>
      <c r="G5" s="8" t="inlineStr">
        <is>
          <t>Weight of the machine used in this step (used to account for machine wear)</t>
        </is>
      </c>
      <c r="H5" s="7" t="inlineStr">
        <is>
          <t>kg</t>
        </is>
      </c>
      <c r="I5" s="7" t="n">
        <v>3000</v>
      </c>
      <c r="J5" s="7" t="n">
        <v>2400</v>
      </c>
      <c r="K5" s="7" t="n">
        <v>3600</v>
      </c>
      <c r="L5" s="7" t="n"/>
      <c r="M5" s="7" t="inlineStr">
        <is>
          <t>triangular</t>
        </is>
      </c>
      <c r="N5" s="7" t="n"/>
      <c r="O5" s="7" t="inlineStr">
        <is>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t>
        </is>
      </c>
      <c r="P5" s="7" t="inlineStr">
        <is>
          <t>partner estimate</t>
        </is>
      </c>
      <c r="Q5" s="7" t="inlineStr">
        <is>
          <t xml:space="preserve">Kept from the tool preset; plausible for a small bast-fibre line. | Scaled-up: left blank on purpose, because the prototype already runs on an industrial line. </t>
        </is>
      </c>
    </row>
    <row r="6" ht="16" customHeight="1">
      <c r="A6" s="7" t="inlineStr">
        <is>
          <t>raw_knit</t>
        </is>
      </c>
      <c r="B6" s="7" t="inlineStr">
        <is>
          <t>manufacturing</t>
        </is>
      </c>
      <c r="C6" s="7" t="inlineStr">
        <is>
          <t>production</t>
        </is>
      </c>
      <c r="D6" s="7" t="inlineStr">
        <is>
          <t>Carding &amp; roving</t>
        </is>
      </c>
      <c r="E6" s="7" t="n"/>
      <c r="F6" s="7" t="inlineStr">
        <is>
          <t>power</t>
        </is>
      </c>
      <c r="G6" s="8" t="inlineStr">
        <is>
          <t>Electric power the machine draws while running</t>
        </is>
      </c>
      <c r="H6" s="7" t="inlineStr">
        <is>
          <t>kW</t>
        </is>
      </c>
      <c r="I6" s="7" t="n">
        <v>12</v>
      </c>
      <c r="J6" s="7" t="n">
        <v>9.6</v>
      </c>
      <c r="K6" s="7" t="n">
        <v>14.4</v>
      </c>
      <c r="L6" s="7" t="n"/>
      <c r="M6" s="7" t="inlineStr">
        <is>
          <t>triangular</t>
        </is>
      </c>
      <c r="N6" s="7" t="n"/>
      <c r="O6" s="7" t="inlineStr">
        <is>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t>
        </is>
      </c>
      <c r="P6" s="7" t="inlineStr">
        <is>
          <t>partner estimate</t>
        </is>
      </c>
      <c r="Q6" s="7" t="inlineStr">
        <is>
          <t xml:space="preserve">Energy check: 12 kW / 15 kg/h = 0.8 kWh/kg, in the range of card + draw + rove for coarse fibre (~0.5-1 kWh/kg, assumption). | Scaled-up: left blank on purpose, because the prototype already runs on an industrial line. </t>
        </is>
      </c>
    </row>
    <row r="7" ht="16" customHeight="1">
      <c r="A7" s="7" t="inlineStr">
        <is>
          <t>raw_knit</t>
        </is>
      </c>
      <c r="B7" s="7" t="inlineStr">
        <is>
          <t>manufacturing</t>
        </is>
      </c>
      <c r="C7" s="7" t="inlineStr">
        <is>
          <t>production</t>
        </is>
      </c>
      <c r="D7" s="7" t="inlineStr">
        <is>
          <t>Carding &amp; roving</t>
        </is>
      </c>
      <c r="E7" s="7" t="n"/>
      <c r="F7" s="7" t="inlineStr">
        <is>
          <t>output rate</t>
        </is>
      </c>
      <c r="G7" s="8" t="inlineStr">
        <is>
          <t>Mass of material the machine processes per hour</t>
        </is>
      </c>
      <c r="H7" s="7" t="inlineStr">
        <is>
          <t>kg/hr</t>
        </is>
      </c>
      <c r="I7" s="7" t="n">
        <v>15</v>
      </c>
      <c r="J7" s="7" t="n">
        <v>10</v>
      </c>
      <c r="K7" s="7" t="n">
        <v>25</v>
      </c>
      <c r="L7" s="7" t="n"/>
      <c r="M7" s="7" t="inlineStr">
        <is>
          <t>triangular</t>
        </is>
      </c>
      <c r="N7" s="7" t="n"/>
      <c r="O7" s="7" t="inlineStr">
        <is>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t>
        </is>
      </c>
      <c r="P7" s="7" t="inlineStr">
        <is>
          <t>partner estimate</t>
        </is>
      </c>
      <c r="Q7" s="7" t="inlineStr">
        <is>
          <t xml:space="preserve">Bast-fibre cards are slower than cotton cards; larger lines run 50+ kg/h (assumption). | Scaled-up: left blank on purpose, because the prototype already runs on an industrial line. </t>
        </is>
      </c>
    </row>
    <row r="8" ht="16" customHeight="1">
      <c r="A8" s="7" t="inlineStr">
        <is>
          <t>raw_knit</t>
        </is>
      </c>
      <c r="B8" s="7" t="inlineStr">
        <is>
          <t>manufacturing</t>
        </is>
      </c>
      <c r="C8" s="7" t="inlineStr">
        <is>
          <t>production</t>
        </is>
      </c>
      <c r="D8" s="7" t="inlineStr">
        <is>
          <t>Carding &amp; roving</t>
        </is>
      </c>
      <c r="E8" s="7" t="n"/>
      <c r="F8" s="7" t="inlineStr">
        <is>
          <t>machine lifetime</t>
        </is>
      </c>
      <c r="G8" s="8" t="inlineStr">
        <is>
          <t>Operating hours before the machine is worn out</t>
        </is>
      </c>
      <c r="H8" s="7" t="inlineStr">
        <is>
          <t>hrs</t>
        </is>
      </c>
      <c r="I8" s="7" t="n">
        <v>50000</v>
      </c>
      <c r="J8" s="7" t="n">
        <v>40000</v>
      </c>
      <c r="K8" s="7" t="n">
        <v>60000</v>
      </c>
      <c r="L8" s="7" t="n"/>
      <c r="M8" s="7" t="inlineStr">
        <is>
          <t>triangular</t>
        </is>
      </c>
      <c r="N8" s="7" t="n"/>
      <c r="O8" s="7" t="inlineStr">
        <is>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t>
        </is>
      </c>
      <c r="P8" s="7" t="inlineStr">
        <is>
          <t>partner estimate</t>
        </is>
      </c>
      <c r="Q8" s="7" t="inlineStr">
        <is>
          <t xml:space="preserve">Kept. | Scaled-up: left blank on purpose, because the prototype already runs on an industrial line. </t>
        </is>
      </c>
    </row>
    <row r="9" ht="32" customHeight="1">
      <c r="A9" s="7" t="inlineStr">
        <is>
          <t>raw_knit</t>
        </is>
      </c>
      <c r="B9" s="7" t="inlineStr">
        <is>
          <t>manufacturing</t>
        </is>
      </c>
      <c r="C9" s="7" t="inlineStr">
        <is>
          <t>production</t>
        </is>
      </c>
      <c r="D9" s="7" t="inlineStr">
        <is>
          <t>Carding &amp; roving</t>
        </is>
      </c>
      <c r="E9" s="7" t="n"/>
      <c r="F9" s="7" t="inlineStr">
        <is>
          <t>process yield</t>
        </is>
      </c>
      <c r="G9" s="8" t="inlineStr">
        <is>
          <t>Share of the material entering this step that leaves it as usable output (the rest is waste)</t>
        </is>
      </c>
      <c r="H9" s="7" t="inlineStr">
        <is>
          <t>%</t>
        </is>
      </c>
      <c r="I9" s="7" t="n">
        <v>85</v>
      </c>
      <c r="J9" s="7" t="n">
        <v>70</v>
      </c>
      <c r="K9" s="7" t="n">
        <v>95</v>
      </c>
      <c r="L9" s="7" t="n"/>
      <c r="M9" s="7" t="inlineStr">
        <is>
          <t>triangular</t>
        </is>
      </c>
      <c r="N9" s="7" t="n"/>
      <c r="O9" s="7" t="inlineStr">
        <is>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t>
        </is>
      </c>
      <c r="P9" s="7" t="inlineStr">
        <is>
          <t>partner estimate</t>
        </is>
      </c>
      <c r="Q9" s="7" t="inlineStr">
        <is>
          <t>Kept 85%.</t>
        </is>
      </c>
    </row>
    <row r="10" ht="16" customHeight="1">
      <c r="A10" s="7" t="inlineStr">
        <is>
          <t>raw_knit</t>
        </is>
      </c>
      <c r="B10" s="7" t="inlineStr">
        <is>
          <t>manufacturing</t>
        </is>
      </c>
      <c r="C10" s="7" t="inlineStr">
        <is>
          <t>production</t>
        </is>
      </c>
      <c r="D10" s="7" t="inlineStr">
        <is>
          <t>Carding &amp; roving</t>
        </is>
      </c>
      <c r="E10" s="7" t="n"/>
      <c r="F10" s="7" t="inlineStr">
        <is>
          <t>machine source</t>
        </is>
      </c>
      <c r="G10" s="8" t="inlineStr">
        <is>
          <t>Whether the machine is new (virgin) or reused/recycled (recycled)</t>
        </is>
      </c>
      <c r="H10" s="7" t="inlineStr">
        <is>
          <t>-</t>
        </is>
      </c>
      <c r="I10" s="7" t="inlineStr">
        <is>
          <t>virgin</t>
        </is>
      </c>
      <c r="J10" s="7" t="n"/>
      <c r="K10" s="7" t="n"/>
      <c r="L10" s="7" t="n"/>
      <c r="M10" s="7" t="inlineStr">
        <is>
          <t>choice</t>
        </is>
      </c>
      <c r="N10" s="7" t="inlineStr">
        <is>
          <t>virgin;recycled</t>
        </is>
      </c>
      <c r="O10" s="7" t="inlineStr">
        <is>
          <t>Assumption: all machinery is bought new (virgin)</t>
        </is>
      </c>
      <c r="P10" s="7" t="inlineStr">
        <is>
          <t>partner estimate</t>
        </is>
      </c>
      <c r="Q10" s="7" t="inlineStr">
        <is>
          <t>Value stays virgin.</t>
        </is>
      </c>
    </row>
    <row r="11" ht="16" customHeight="1">
      <c r="A11" s="7" t="inlineStr">
        <is>
          <t>raw_knit</t>
        </is>
      </c>
      <c r="B11" s="7" t="inlineStr">
        <is>
          <t>manufacturing</t>
        </is>
      </c>
      <c r="C11" s="7" t="inlineStr">
        <is>
          <t>production</t>
        </is>
      </c>
      <c r="D11" s="7" t="inlineStr">
        <is>
          <t>Spinning</t>
        </is>
      </c>
      <c r="E11" s="7" t="n"/>
      <c r="F11" s="7" t="inlineStr">
        <is>
          <t>machine weight</t>
        </is>
      </c>
      <c r="G11" s="8" t="inlineStr">
        <is>
          <t>Weight of the machine used in this step (used to account for machine wear)</t>
        </is>
      </c>
      <c r="H11" s="7" t="inlineStr">
        <is>
          <t>kg</t>
        </is>
      </c>
      <c r="I11" s="7" t="n">
        <v>1500</v>
      </c>
      <c r="J11" s="7" t="n">
        <v>1200</v>
      </c>
      <c r="K11" s="7" t="n">
        <v>1800</v>
      </c>
      <c r="L11" s="7" t="n"/>
      <c r="M11" s="7" t="inlineStr">
        <is>
          <t>triangular</t>
        </is>
      </c>
      <c r="N11" s="7" t="n"/>
      <c r="O11"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t>
        </is>
      </c>
      <c r="P11" s="7" t="inlineStr">
        <is>
          <t>partner estimate</t>
        </is>
      </c>
      <c r="Q11" s="7" t="inlineStr">
        <is>
          <t xml:space="preserve">Was 800 kg. | Scaled-up: left blank on purpose, because the prototype already runs on an industrial line. </t>
        </is>
      </c>
    </row>
    <row r="12" ht="16" customHeight="1">
      <c r="A12" s="7" t="inlineStr">
        <is>
          <t>raw_knit</t>
        </is>
      </c>
      <c r="B12" s="7" t="inlineStr">
        <is>
          <t>manufacturing</t>
        </is>
      </c>
      <c r="C12" s="7" t="inlineStr">
        <is>
          <t>production</t>
        </is>
      </c>
      <c r="D12" s="7" t="inlineStr">
        <is>
          <t>Spinning</t>
        </is>
      </c>
      <c r="E12" s="7" t="n"/>
      <c r="F12" s="7" t="inlineStr">
        <is>
          <t>power</t>
        </is>
      </c>
      <c r="G12" s="8" t="inlineStr">
        <is>
          <t>Electric power the machine draws while running</t>
        </is>
      </c>
      <c r="H12" s="7" t="inlineStr">
        <is>
          <t>kW</t>
        </is>
      </c>
      <c r="I12" s="7" t="n">
        <v>5</v>
      </c>
      <c r="J12" s="7" t="n">
        <v>4</v>
      </c>
      <c r="K12" s="7" t="n">
        <v>6</v>
      </c>
      <c r="L12" s="7" t="n"/>
      <c r="M12" s="7" t="inlineStr">
        <is>
          <t>triangular</t>
        </is>
      </c>
      <c r="N12" s="7" t="n"/>
      <c r="O12"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t>
        </is>
      </c>
      <c r="P12" s="7" t="inlineStr">
        <is>
          <t>partner estimate</t>
        </is>
      </c>
      <c r="Q12" s="7" t="inlineStr">
        <is>
          <t xml:space="preserve">Kept. | Scaled-up: left blank on purpose, because the prototype already runs on an industrial line. </t>
        </is>
      </c>
    </row>
    <row r="13" ht="16" customHeight="1">
      <c r="A13" s="7" t="inlineStr">
        <is>
          <t>raw_knit</t>
        </is>
      </c>
      <c r="B13" s="7" t="inlineStr">
        <is>
          <t>manufacturing</t>
        </is>
      </c>
      <c r="C13" s="7" t="inlineStr">
        <is>
          <t>production</t>
        </is>
      </c>
      <c r="D13" s="7" t="inlineStr">
        <is>
          <t>Spinning</t>
        </is>
      </c>
      <c r="E13" s="7" t="n"/>
      <c r="F13" s="7" t="inlineStr">
        <is>
          <t>output rate</t>
        </is>
      </c>
      <c r="G13" s="8" t="inlineStr">
        <is>
          <t>Mass of material the machine processes per hour</t>
        </is>
      </c>
      <c r="H13" s="7" t="inlineStr">
        <is>
          <t>kg/hr</t>
        </is>
      </c>
      <c r="I13" s="7" t="n">
        <v>6</v>
      </c>
      <c r="J13" s="7" t="n">
        <v>4</v>
      </c>
      <c r="K13" s="7" t="n">
        <v>9</v>
      </c>
      <c r="L13" s="7" t="n"/>
      <c r="M13" s="7" t="inlineStr">
        <is>
          <t>triangular</t>
        </is>
      </c>
      <c r="N13" s="7" t="n"/>
      <c r="O13"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t>
        </is>
      </c>
      <c r="P13" s="7" t="inlineStr">
        <is>
          <t>partner estimate</t>
        </is>
      </c>
      <c r="Q13" s="7" t="inlineStr">
        <is>
          <t xml:space="preserve">Was 8 kg/h. | Scaled-up: left blank on purpose, because the prototype already runs on an industrial line. </t>
        </is>
      </c>
    </row>
    <row r="14" ht="16" customHeight="1">
      <c r="A14" s="7" t="inlineStr">
        <is>
          <t>raw_knit</t>
        </is>
      </c>
      <c r="B14" s="7" t="inlineStr">
        <is>
          <t>manufacturing</t>
        </is>
      </c>
      <c r="C14" s="7" t="inlineStr">
        <is>
          <t>production</t>
        </is>
      </c>
      <c r="D14" s="7" t="inlineStr">
        <is>
          <t>Spinning</t>
        </is>
      </c>
      <c r="E14" s="7" t="n"/>
      <c r="F14" s="7" t="inlineStr">
        <is>
          <t>machine lifetime</t>
        </is>
      </c>
      <c r="G14" s="8" t="inlineStr">
        <is>
          <t>Operating hours before the machine is worn out</t>
        </is>
      </c>
      <c r="H14" s="7" t="inlineStr">
        <is>
          <t>hrs</t>
        </is>
      </c>
      <c r="I14" s="7" t="n">
        <v>50000</v>
      </c>
      <c r="J14" s="7" t="n">
        <v>40000</v>
      </c>
      <c r="K14" s="7" t="n">
        <v>60000</v>
      </c>
      <c r="L14" s="7" t="n"/>
      <c r="M14" s="7" t="inlineStr">
        <is>
          <t>triangular</t>
        </is>
      </c>
      <c r="N14" s="7" t="n"/>
      <c r="O14"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t>
        </is>
      </c>
      <c r="P14" s="7" t="inlineStr">
        <is>
          <t>partner estimate</t>
        </is>
      </c>
      <c r="Q14" s="7" t="inlineStr">
        <is>
          <t xml:space="preserve">Kept. | Scaled-up: left blank on purpose, because the prototype already runs on an industrial line. </t>
        </is>
      </c>
    </row>
    <row r="15" ht="32" customHeight="1">
      <c r="A15" s="7" t="inlineStr">
        <is>
          <t>raw_knit</t>
        </is>
      </c>
      <c r="B15" s="7" t="inlineStr">
        <is>
          <t>manufacturing</t>
        </is>
      </c>
      <c r="C15" s="7" t="inlineStr">
        <is>
          <t>production</t>
        </is>
      </c>
      <c r="D15" s="7" t="inlineStr">
        <is>
          <t>Spinning</t>
        </is>
      </c>
      <c r="E15" s="7" t="n"/>
      <c r="F15" s="7" t="inlineStr">
        <is>
          <t>process yield</t>
        </is>
      </c>
      <c r="G15" s="8" t="inlineStr">
        <is>
          <t>Share of the material entering this step that leaves it as usable output (the rest is waste)</t>
        </is>
      </c>
      <c r="H15" s="7" t="inlineStr">
        <is>
          <t>%</t>
        </is>
      </c>
      <c r="I15" s="7" t="n">
        <v>95</v>
      </c>
      <c r="J15" s="7" t="n">
        <v>88</v>
      </c>
      <c r="K15" s="7" t="n">
        <v>100</v>
      </c>
      <c r="L15" s="7" t="n"/>
      <c r="M15" s="7" t="inlineStr">
        <is>
          <t>triangular</t>
        </is>
      </c>
      <c r="N15" s="7" t="n"/>
      <c r="O15"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t>
        </is>
      </c>
      <c r="P15" s="7" t="inlineStr">
        <is>
          <t>partner estimate</t>
        </is>
      </c>
      <c r="Q15" s="7" t="inlineStr">
        <is>
          <t>Was 98%.</t>
        </is>
      </c>
    </row>
    <row r="16" ht="16" customHeight="1">
      <c r="A16" s="7" t="inlineStr">
        <is>
          <t>raw_knit</t>
        </is>
      </c>
      <c r="B16" s="7" t="inlineStr">
        <is>
          <t>manufacturing</t>
        </is>
      </c>
      <c r="C16" s="7" t="inlineStr">
        <is>
          <t>production</t>
        </is>
      </c>
      <c r="D16" s="7" t="inlineStr">
        <is>
          <t>Spinning</t>
        </is>
      </c>
      <c r="E16" s="7" t="n"/>
      <c r="F16" s="7" t="inlineStr">
        <is>
          <t>machine source</t>
        </is>
      </c>
      <c r="G16" s="8" t="inlineStr">
        <is>
          <t>Whether the machine is new (virgin) or reused/recycled (recycled)</t>
        </is>
      </c>
      <c r="H16" s="7" t="inlineStr">
        <is>
          <t>-</t>
        </is>
      </c>
      <c r="I16" s="7" t="inlineStr">
        <is>
          <t>virgin</t>
        </is>
      </c>
      <c r="J16" s="7" t="n"/>
      <c r="K16" s="7" t="n"/>
      <c r="L16" s="7" t="n"/>
      <c r="M16" s="7" t="inlineStr">
        <is>
          <t>choice</t>
        </is>
      </c>
      <c r="N16" s="7" t="inlineStr">
        <is>
          <t>virgin;recycled</t>
        </is>
      </c>
      <c r="O16" s="7" t="inlineStr">
        <is>
          <t>Assumption: all machinery is bought new (virgin)</t>
        </is>
      </c>
      <c r="P16" s="7" t="inlineStr">
        <is>
          <t>partner estimate</t>
        </is>
      </c>
      <c r="Q16" s="7" t="inlineStr">
        <is>
          <t>Value stays virgin.</t>
        </is>
      </c>
    </row>
    <row r="17" ht="16" customHeight="1">
      <c r="A17" s="7" t="inlineStr">
        <is>
          <t>raw_knit</t>
        </is>
      </c>
      <c r="B17" s="7" t="inlineStr">
        <is>
          <t>manufacturing</t>
        </is>
      </c>
      <c r="C17" s="7" t="inlineStr">
        <is>
          <t>production</t>
        </is>
      </c>
      <c r="D17" s="7" t="inlineStr">
        <is>
          <t>CNC knitting</t>
        </is>
      </c>
      <c r="E17" s="7" t="n"/>
      <c r="F17" s="7" t="inlineStr">
        <is>
          <t>machine weight</t>
        </is>
      </c>
      <c r="G17" s="8" t="inlineStr">
        <is>
          <t>Weight of the machine used in this step (used to account for machine wear)</t>
        </is>
      </c>
      <c r="H17" s="7" t="inlineStr">
        <is>
          <t>kg</t>
        </is>
      </c>
      <c r="I17" s="7" t="n">
        <v>1200</v>
      </c>
      <c r="J17" s="7" t="n">
        <v>1000</v>
      </c>
      <c r="K17" s="7" t="n">
        <v>1500</v>
      </c>
      <c r="L17" s="7" t="n">
        <v>1900</v>
      </c>
      <c r="M17" s="7" t="inlineStr">
        <is>
          <t>triangular</t>
        </is>
      </c>
      <c r="N17" s="7" t="n"/>
      <c r="O17" s="7" t="inlineStr">
        <is>
          <t xml:space="preserve">PROTOTYPE machinery assumed: electronic flat-bed CNC knitting machine of the Stoll CMS class (127 cm / 50 in working width, 3 systems, gauge E5-E20; Stoll CMS 530 ki page) in a fabrication lab. ~1.2 t estimated for the 127 cm width; a wider (244 cm) used Stoll CMS is listed at 1,900 kg (Exapro). SCALED-UP machine assumed: the same machine type at industrial scale, a wider (~244 cm) multi-system flat-bed knitting machine in a knitting mill; a used Stoll CMS of this class weighs 1,900 kg (Exapro listing). </t>
        </is>
      </c>
      <c r="P17" s="7" t="inlineStr">
        <is>
          <t>partner estimate</t>
        </is>
      </c>
      <c r="Q17" s="7" t="inlineStr">
        <is>
          <t>Was 1500 kg (scaled-up 2000).</t>
        </is>
      </c>
    </row>
    <row r="18" ht="16" customHeight="1">
      <c r="A18" s="7" t="inlineStr">
        <is>
          <t>raw_knit</t>
        </is>
      </c>
      <c r="B18" s="7" t="inlineStr">
        <is>
          <t>manufacturing</t>
        </is>
      </c>
      <c r="C18" s="7" t="inlineStr">
        <is>
          <t>production</t>
        </is>
      </c>
      <c r="D18" s="7" t="inlineStr">
        <is>
          <t>CNC knitting</t>
        </is>
      </c>
      <c r="E18" s="7" t="n"/>
      <c r="F18" s="7" t="inlineStr">
        <is>
          <t>power</t>
        </is>
      </c>
      <c r="G18" s="8" t="inlineStr">
        <is>
          <t>Electric power the machine draws while running</t>
        </is>
      </c>
      <c r="H18" s="7" t="inlineStr">
        <is>
          <t>kW</t>
        </is>
      </c>
      <c r="I18" s="7" t="n">
        <v>2</v>
      </c>
      <c r="J18" s="7" t="n">
        <v>1.5</v>
      </c>
      <c r="K18" s="7" t="n">
        <v>3</v>
      </c>
      <c r="L18" s="7" t="n">
        <v>3</v>
      </c>
      <c r="M18" s="7" t="inlineStr">
        <is>
          <t>triangular</t>
        </is>
      </c>
      <c r="N18" s="7" t="n"/>
      <c r="O18" s="7" t="inlineStr">
        <is>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SCALED-UP machine assumed: the same machine type at industrial scale, a wider (~244 cm) multi-system flat-bed knitting machine in a knitting mill; a used Stoll CMS of this class weighs 1,900 kg (Exapro listing). 3 kW: wider bed and more systems, average draw assumed.</t>
        </is>
      </c>
      <c r="P18" s="7" t="inlineStr">
        <is>
          <t>partner estimate</t>
        </is>
      </c>
      <c r="Q18" s="7" t="inlineStr">
        <is>
          <t>Scaled-up was 4 kW.</t>
        </is>
      </c>
    </row>
    <row r="19" ht="16" customHeight="1">
      <c r="A19" s="7" t="inlineStr">
        <is>
          <t>raw_knit</t>
        </is>
      </c>
      <c r="B19" s="7" t="inlineStr">
        <is>
          <t>manufacturing</t>
        </is>
      </c>
      <c r="C19" s="7" t="inlineStr">
        <is>
          <t>production</t>
        </is>
      </c>
      <c r="D19" s="7" t="inlineStr">
        <is>
          <t>CNC knitting</t>
        </is>
      </c>
      <c r="E19" s="7" t="n"/>
      <c r="F19" s="7" t="inlineStr">
        <is>
          <t>output rate</t>
        </is>
      </c>
      <c r="G19" s="8" t="inlineStr">
        <is>
          <t>Mass of material the machine processes per hour</t>
        </is>
      </c>
      <c r="H19" s="7" t="inlineStr">
        <is>
          <t>kg/hr</t>
        </is>
      </c>
      <c r="I19" s="7" t="n">
        <v>1.5</v>
      </c>
      <c r="J19" s="7" t="n">
        <v>1</v>
      </c>
      <c r="K19" s="7" t="n">
        <v>2.5</v>
      </c>
      <c r="L19" s="7" t="n">
        <v>5</v>
      </c>
      <c r="M19" s="7" t="inlineStr">
        <is>
          <t>triangular</t>
        </is>
      </c>
      <c r="N19" s="7" t="n"/>
      <c r="O19" s="7" t="inlineStr">
        <is>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SCALED-UP machine assumed: the same machine type at industrial scale, a wider (~244 cm) multi-system flat-bed knitting machine in a knitting mill; a used Stoll CMS of this class weighs 1,900 kg (Exapro listing). ~5 kg/h: ~2x the working width and 4 instead of 3 systems, run at high utilisation = 0.6 kWh/kg.</t>
        </is>
      </c>
      <c r="P19" s="7" t="inlineStr">
        <is>
          <t>partner estimate</t>
        </is>
      </c>
      <c r="Q19" s="7" t="inlineStr">
        <is>
          <t>Scaled-up was 1.5 kg/h, lower than the prototype, which cannot be right for an industrial machine.</t>
        </is>
      </c>
    </row>
    <row r="20" ht="16" customHeight="1">
      <c r="A20" s="7" t="inlineStr">
        <is>
          <t>raw_knit</t>
        </is>
      </c>
      <c r="B20" s="7" t="inlineStr">
        <is>
          <t>manufacturing</t>
        </is>
      </c>
      <c r="C20" s="7" t="inlineStr">
        <is>
          <t>production</t>
        </is>
      </c>
      <c r="D20" s="7" t="inlineStr">
        <is>
          <t>CNC knitting</t>
        </is>
      </c>
      <c r="E20" s="7" t="n"/>
      <c r="F20" s="7" t="inlineStr">
        <is>
          <t>machine lifetime</t>
        </is>
      </c>
      <c r="G20" s="8" t="inlineStr">
        <is>
          <t>Operating hours before the machine is worn out</t>
        </is>
      </c>
      <c r="H20" s="7" t="inlineStr">
        <is>
          <t>hrs</t>
        </is>
      </c>
      <c r="I20" s="7" t="n">
        <v>15000</v>
      </c>
      <c r="J20" s="7" t="n">
        <v>8000</v>
      </c>
      <c r="K20" s="7" t="n">
        <v>25000</v>
      </c>
      <c r="L20" s="7" t="n">
        <v>50000</v>
      </c>
      <c r="M20" s="7" t="inlineStr">
        <is>
          <t>triangular</t>
        </is>
      </c>
      <c r="N20" s="7" t="n"/>
      <c r="O20" s="7" t="inlineStr">
        <is>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SCALED-UP machine assumed: the same machine type at industrial scale, a wider (~244 cm) multi-system flat-bed knitting machine in a knitting mill; a used Stoll CMS of this class weighs 1,900 kg (Exapro listing). Mill lifetime 50,000 h (12 y x 4,000-4,500 h/y).</t>
        </is>
      </c>
      <c r="P20" s="7" t="inlineStr">
        <is>
          <t>partner estimate</t>
        </is>
      </c>
      <c r="Q20" s="7" t="inlineStr">
        <is>
          <t>Scaled-up kept at 50,000 h.</t>
        </is>
      </c>
    </row>
    <row r="21" ht="32" customHeight="1">
      <c r="A21" s="7" t="inlineStr">
        <is>
          <t>raw_knit</t>
        </is>
      </c>
      <c r="B21" s="7" t="inlineStr">
        <is>
          <t>manufacturing</t>
        </is>
      </c>
      <c r="C21" s="7" t="inlineStr">
        <is>
          <t>production</t>
        </is>
      </c>
      <c r="D21" s="7" t="inlineStr">
        <is>
          <t>CNC knitting</t>
        </is>
      </c>
      <c r="E21" s="7" t="n"/>
      <c r="F21" s="7" t="inlineStr">
        <is>
          <t>process yield</t>
        </is>
      </c>
      <c r="G21" s="8" t="inlineStr">
        <is>
          <t>Share of the material entering this step that leaves it as usable output (the rest is waste)</t>
        </is>
      </c>
      <c r="H21" s="7" t="inlineStr">
        <is>
          <t>%</t>
        </is>
      </c>
      <c r="I21" s="7" t="n">
        <v>95</v>
      </c>
      <c r="J21" s="7" t="n">
        <v>85</v>
      </c>
      <c r="K21" s="7" t="n">
        <v>100</v>
      </c>
      <c r="L21" s="7" t="n"/>
      <c r="M21" s="7" t="inlineStr">
        <is>
          <t>triangular</t>
        </is>
      </c>
      <c r="N21" s="7" t="n"/>
      <c r="O21" s="7" t="inlineStr">
        <is>
          <t>PROTOTYPE machinery assumed: electronic flat-bed CNC knitting machine of the Stoll CMS class (127 cm / 50 in working width, 3 systems, gauge E5-E20; Stoll CMS 530 ki page) in a fabrication lab. Yarn breaks, edge trimming and start-up/test rows ~5% (assumption).</t>
        </is>
      </c>
      <c r="P21" s="7" t="inlineStr">
        <is>
          <t>partner estimate</t>
        </is>
      </c>
      <c r="Q21" s="7" t="inlineStr">
        <is>
          <t>Was 98%.</t>
        </is>
      </c>
    </row>
    <row r="22" ht="16" customHeight="1">
      <c r="A22" s="7" t="inlineStr">
        <is>
          <t>raw_knit</t>
        </is>
      </c>
      <c r="B22" s="7" t="inlineStr">
        <is>
          <t>manufacturing</t>
        </is>
      </c>
      <c r="C22" s="7" t="inlineStr">
        <is>
          <t>production</t>
        </is>
      </c>
      <c r="D22" s="7" t="inlineStr">
        <is>
          <t>CNC knitting</t>
        </is>
      </c>
      <c r="E22" s="7" t="n"/>
      <c r="F22" s="7" t="inlineStr">
        <is>
          <t>machine source</t>
        </is>
      </c>
      <c r="G22" s="8" t="inlineStr">
        <is>
          <t>Whether the machine is new (virgin) or reused/recycled (recycled)</t>
        </is>
      </c>
      <c r="H22" s="7" t="inlineStr">
        <is>
          <t>-</t>
        </is>
      </c>
      <c r="I22" s="7" t="inlineStr">
        <is>
          <t>virgin</t>
        </is>
      </c>
      <c r="J22" s="7" t="n"/>
      <c r="K22" s="7" t="n"/>
      <c r="L22" s="7" t="n"/>
      <c r="M22" s="7" t="inlineStr">
        <is>
          <t>choice</t>
        </is>
      </c>
      <c r="N22" s="7" t="inlineStr">
        <is>
          <t>virgin;recycled</t>
        </is>
      </c>
      <c r="O22" s="7" t="inlineStr">
        <is>
          <t>Assumption: all machinery is bought new (virgin)</t>
        </is>
      </c>
      <c r="P22" s="7" t="inlineStr">
        <is>
          <t>partner estimate</t>
        </is>
      </c>
      <c r="Q22" s="7" t="inlineStr">
        <is>
          <t>Value stays virgin.</t>
        </is>
      </c>
    </row>
    <row r="23" ht="16" customHeight="1">
      <c r="A23" s="7" t="inlineStr">
        <is>
          <t>raw_knit</t>
        </is>
      </c>
      <c r="B23" s="7" t="inlineStr">
        <is>
          <t>manufacturing</t>
        </is>
      </c>
      <c r="C23" s="7" t="inlineStr">
        <is>
          <t>repair</t>
        </is>
      </c>
      <c r="D23" s="7" t="inlineStr">
        <is>
          <t>Carding &amp; roving</t>
        </is>
      </c>
      <c r="E23" s="7" t="n"/>
      <c r="F23" s="7" t="inlineStr">
        <is>
          <t>machine weight</t>
        </is>
      </c>
      <c r="G23" s="8" t="inlineStr">
        <is>
          <t>Weight of the machine used in this step (used to account for machine wear)</t>
        </is>
      </c>
      <c r="H23" s="7" t="inlineStr">
        <is>
          <t>kg</t>
        </is>
      </c>
      <c r="I23" s="7" t="n">
        <v>3000</v>
      </c>
      <c r="J23" s="7" t="n">
        <v>2400</v>
      </c>
      <c r="K23" s="7" t="n">
        <v>3600</v>
      </c>
      <c r="L23" s="7" t="n"/>
      <c r="M23" s="7" t="inlineStr">
        <is>
          <t>triangular</t>
        </is>
      </c>
      <c r="N23" s="7" t="n"/>
      <c r="O23" s="7" t="inlineStr">
        <is>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 Repair uses the same machine as production (repair panels are made on the same lines).</t>
        </is>
      </c>
      <c r="P23" s="7" t="inlineStr">
        <is>
          <t>partner estimate</t>
        </is>
      </c>
      <c r="Q23" s="7" t="inlineStr">
        <is>
          <t>Kept from the tool preset; plausible for a small bast-fibre line.</t>
        </is>
      </c>
    </row>
    <row r="24" ht="16" customHeight="1">
      <c r="A24" s="7" t="inlineStr">
        <is>
          <t>raw_knit</t>
        </is>
      </c>
      <c r="B24" s="7" t="inlineStr">
        <is>
          <t>manufacturing</t>
        </is>
      </c>
      <c r="C24" s="7" t="inlineStr">
        <is>
          <t>repair</t>
        </is>
      </c>
      <c r="D24" s="7" t="inlineStr">
        <is>
          <t>Carding &amp; roving</t>
        </is>
      </c>
      <c r="E24" s="7" t="n"/>
      <c r="F24" s="7" t="inlineStr">
        <is>
          <t>power</t>
        </is>
      </c>
      <c r="G24" s="8" t="inlineStr">
        <is>
          <t>Electric power the machine draws while running</t>
        </is>
      </c>
      <c r="H24" s="7" t="inlineStr">
        <is>
          <t>kW</t>
        </is>
      </c>
      <c r="I24" s="7" t="n">
        <v>12</v>
      </c>
      <c r="J24" s="7" t="n">
        <v>9.6</v>
      </c>
      <c r="K24" s="7" t="n">
        <v>14.4</v>
      </c>
      <c r="L24" s="7" t="n"/>
      <c r="M24" s="7" t="inlineStr">
        <is>
          <t>triangular</t>
        </is>
      </c>
      <c r="N24" s="7" t="n"/>
      <c r="O24" s="7" t="inlineStr">
        <is>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 Repair uses the same machine as production (repair panels are made on the same lines).</t>
        </is>
      </c>
      <c r="P24" s="7" t="inlineStr">
        <is>
          <t>partner estimate</t>
        </is>
      </c>
      <c r="Q24" s="7" t="inlineStr">
        <is>
          <t>Energy check: 12 kW / 15 kg/h = 0.8 kWh/kg, in the range of card + draw + rove for coarse fibre (~0.5-1 kWh/kg, assumption).</t>
        </is>
      </c>
    </row>
    <row r="25" ht="16" customHeight="1">
      <c r="A25" s="7" t="inlineStr">
        <is>
          <t>raw_knit</t>
        </is>
      </c>
      <c r="B25" s="7" t="inlineStr">
        <is>
          <t>manufacturing</t>
        </is>
      </c>
      <c r="C25" s="7" t="inlineStr">
        <is>
          <t>repair</t>
        </is>
      </c>
      <c r="D25" s="7" t="inlineStr">
        <is>
          <t>Carding &amp; roving</t>
        </is>
      </c>
      <c r="E25" s="7" t="n"/>
      <c r="F25" s="7" t="inlineStr">
        <is>
          <t>output rate</t>
        </is>
      </c>
      <c r="G25" s="8" t="inlineStr">
        <is>
          <t>Mass of material the machine processes per hour</t>
        </is>
      </c>
      <c r="H25" s="7" t="inlineStr">
        <is>
          <t>kg/hr</t>
        </is>
      </c>
      <c r="I25" s="7" t="n">
        <v>15</v>
      </c>
      <c r="J25" s="7" t="n">
        <v>10</v>
      </c>
      <c r="K25" s="7" t="n">
        <v>25</v>
      </c>
      <c r="L25" s="7" t="n"/>
      <c r="M25" s="7" t="inlineStr">
        <is>
          <t>triangular</t>
        </is>
      </c>
      <c r="N25" s="7" t="n"/>
      <c r="O25" s="7" t="inlineStr">
        <is>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 Repair uses the same machine as production (repair panels are made on the same lines).</t>
        </is>
      </c>
      <c r="P25" s="7" t="inlineStr">
        <is>
          <t>partner estimate</t>
        </is>
      </c>
      <c r="Q25" s="7" t="inlineStr">
        <is>
          <t>Bast-fibre cards are slower than cotton cards; larger lines run 50+ kg/h (assumption).</t>
        </is>
      </c>
    </row>
    <row r="26" ht="16" customHeight="1">
      <c r="A26" s="7" t="inlineStr">
        <is>
          <t>raw_knit</t>
        </is>
      </c>
      <c r="B26" s="7" t="inlineStr">
        <is>
          <t>manufacturing</t>
        </is>
      </c>
      <c r="C26" s="7" t="inlineStr">
        <is>
          <t>repair</t>
        </is>
      </c>
      <c r="D26" s="7" t="inlineStr">
        <is>
          <t>Carding &amp; roving</t>
        </is>
      </c>
      <c r="E26" s="7" t="n"/>
      <c r="F26" s="7" t="inlineStr">
        <is>
          <t>machine lifetime</t>
        </is>
      </c>
      <c r="G26" s="8" t="inlineStr">
        <is>
          <t>Operating hours before the machine is worn out</t>
        </is>
      </c>
      <c r="H26" s="7" t="inlineStr">
        <is>
          <t>hrs</t>
        </is>
      </c>
      <c r="I26" s="7" t="n">
        <v>50000</v>
      </c>
      <c r="J26" s="7" t="n">
        <v>40000</v>
      </c>
      <c r="K26" s="7" t="n">
        <v>60000</v>
      </c>
      <c r="L26" s="7" t="n"/>
      <c r="M26" s="7" t="inlineStr">
        <is>
          <t>triangular</t>
        </is>
      </c>
      <c r="N26" s="7" t="n"/>
      <c r="O26" s="7" t="inlineStr">
        <is>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 Repair uses the same machine as production (repair panels are made on the same lines).</t>
        </is>
      </c>
      <c r="P26" s="7" t="inlineStr">
        <is>
          <t>partner estimate</t>
        </is>
      </c>
      <c r="Q26" s="7" t="inlineStr">
        <is>
          <t>Kept.</t>
        </is>
      </c>
    </row>
    <row r="27" ht="32" customHeight="1">
      <c r="A27" s="7" t="inlineStr">
        <is>
          <t>raw_knit</t>
        </is>
      </c>
      <c r="B27" s="7" t="inlineStr">
        <is>
          <t>manufacturing</t>
        </is>
      </c>
      <c r="C27" s="7" t="inlineStr">
        <is>
          <t>repair</t>
        </is>
      </c>
      <c r="D27" s="7" t="inlineStr">
        <is>
          <t>Carding &amp; roving</t>
        </is>
      </c>
      <c r="E27" s="7" t="n"/>
      <c r="F27" s="7" t="inlineStr">
        <is>
          <t>process yield</t>
        </is>
      </c>
      <c r="G27" s="8" t="inlineStr">
        <is>
          <t>Share of the material entering this step that leaves it as usable output (the rest is waste)</t>
        </is>
      </c>
      <c r="H27" s="7" t="inlineStr">
        <is>
          <t>%</t>
        </is>
      </c>
      <c r="I27" s="7" t="n">
        <v>85</v>
      </c>
      <c r="J27" s="7" t="n">
        <v>70</v>
      </c>
      <c r="K27" s="7" t="n">
        <v>95</v>
      </c>
      <c r="L27" s="7" t="n"/>
      <c r="M27" s="7" t="inlineStr">
        <is>
          <t>triangular</t>
        </is>
      </c>
      <c r="N27" s="7" t="n"/>
      <c r="O27" s="7" t="inlineStr">
        <is>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 Repair uses the same machine as production (repair panels are made on the same lines).</t>
        </is>
      </c>
      <c r="P27" s="7" t="inlineStr">
        <is>
          <t>partner estimate</t>
        </is>
      </c>
      <c r="Q27" s="7" t="inlineStr">
        <is>
          <t>Kept 85%.</t>
        </is>
      </c>
    </row>
    <row r="28" ht="16" customHeight="1">
      <c r="A28" s="7" t="inlineStr">
        <is>
          <t>raw_knit</t>
        </is>
      </c>
      <c r="B28" s="7" t="inlineStr">
        <is>
          <t>manufacturing</t>
        </is>
      </c>
      <c r="C28" s="7" t="inlineStr">
        <is>
          <t>repair</t>
        </is>
      </c>
      <c r="D28" s="7" t="inlineStr">
        <is>
          <t>Carding &amp; roving</t>
        </is>
      </c>
      <c r="E28" s="7" t="n"/>
      <c r="F28" s="7" t="inlineStr">
        <is>
          <t>machine source</t>
        </is>
      </c>
      <c r="G28" s="8" t="inlineStr">
        <is>
          <t>Whether the machine is new (virgin) or reused/recycled (recycled)</t>
        </is>
      </c>
      <c r="H28" s="7" t="inlineStr">
        <is>
          <t>-</t>
        </is>
      </c>
      <c r="I28" s="7" t="inlineStr">
        <is>
          <t>virgin</t>
        </is>
      </c>
      <c r="J28" s="7" t="n"/>
      <c r="K28" s="7" t="n"/>
      <c r="L28" s="7" t="n"/>
      <c r="M28" s="7" t="inlineStr">
        <is>
          <t>choice</t>
        </is>
      </c>
      <c r="N28" s="7" t="inlineStr">
        <is>
          <t>virgin;recycled</t>
        </is>
      </c>
      <c r="O28" s="7" t="inlineStr">
        <is>
          <t>Assumption: all machinery is bought new (virgin)</t>
        </is>
      </c>
      <c r="P28" s="7" t="inlineStr">
        <is>
          <t>partner estimate</t>
        </is>
      </c>
      <c r="Q28" s="7" t="inlineStr">
        <is>
          <t>Value stays virgin.</t>
        </is>
      </c>
    </row>
    <row r="29" ht="16" customHeight="1">
      <c r="A29" s="7" t="inlineStr">
        <is>
          <t>raw_knit</t>
        </is>
      </c>
      <c r="B29" s="7" t="inlineStr">
        <is>
          <t>manufacturing</t>
        </is>
      </c>
      <c r="C29" s="7" t="inlineStr">
        <is>
          <t>repair</t>
        </is>
      </c>
      <c r="D29" s="7" t="inlineStr">
        <is>
          <t>Spinning</t>
        </is>
      </c>
      <c r="E29" s="7" t="n"/>
      <c r="F29" s="7" t="inlineStr">
        <is>
          <t>machine weight</t>
        </is>
      </c>
      <c r="G29" s="8" t="inlineStr">
        <is>
          <t>Weight of the machine used in this step (used to account for machine wear)</t>
        </is>
      </c>
      <c r="H29" s="7" t="inlineStr">
        <is>
          <t>kg</t>
        </is>
      </c>
      <c r="I29" s="7" t="n">
        <v>1500</v>
      </c>
      <c r="J29" s="7" t="n">
        <v>1200</v>
      </c>
      <c r="K29" s="7" t="n">
        <v>1800</v>
      </c>
      <c r="L29" s="7" t="n"/>
      <c r="M29" s="7" t="inlineStr">
        <is>
          <t>triangular</t>
        </is>
      </c>
      <c r="N29" s="7" t="n"/>
      <c r="O29"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 Repair uses the same machine as production (repair panels are made on the same lines).</t>
        </is>
      </c>
      <c r="P29" s="7" t="inlineStr">
        <is>
          <t>partner estimate</t>
        </is>
      </c>
      <c r="Q29" s="7" t="inlineStr">
        <is>
          <t>Was 800 kg.</t>
        </is>
      </c>
    </row>
    <row r="30" ht="16" customHeight="1">
      <c r="A30" s="7" t="inlineStr">
        <is>
          <t>raw_knit</t>
        </is>
      </c>
      <c r="B30" s="7" t="inlineStr">
        <is>
          <t>manufacturing</t>
        </is>
      </c>
      <c r="C30" s="7" t="inlineStr">
        <is>
          <t>repair</t>
        </is>
      </c>
      <c r="D30" s="7" t="inlineStr">
        <is>
          <t>Spinning</t>
        </is>
      </c>
      <c r="E30" s="7" t="n"/>
      <c r="F30" s="7" t="inlineStr">
        <is>
          <t>power</t>
        </is>
      </c>
      <c r="G30" s="8" t="inlineStr">
        <is>
          <t>Electric power the machine draws while running</t>
        </is>
      </c>
      <c r="H30" s="7" t="inlineStr">
        <is>
          <t>kW</t>
        </is>
      </c>
      <c r="I30" s="7" t="n">
        <v>5</v>
      </c>
      <c r="J30" s="7" t="n">
        <v>4</v>
      </c>
      <c r="K30" s="7" t="n">
        <v>6</v>
      </c>
      <c r="L30" s="7" t="n"/>
      <c r="M30" s="7" t="inlineStr">
        <is>
          <t>triangular</t>
        </is>
      </c>
      <c r="N30" s="7" t="n"/>
      <c r="O30"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 Repair uses the same machine as production (repair panels are made on the same lines).</t>
        </is>
      </c>
      <c r="P30" s="7" t="inlineStr">
        <is>
          <t>partner estimate</t>
        </is>
      </c>
      <c r="Q30" s="7" t="inlineStr">
        <is>
          <t>Kept.</t>
        </is>
      </c>
    </row>
    <row r="31" ht="16" customHeight="1">
      <c r="A31" s="7" t="inlineStr">
        <is>
          <t>raw_knit</t>
        </is>
      </c>
      <c r="B31" s="7" t="inlineStr">
        <is>
          <t>manufacturing</t>
        </is>
      </c>
      <c r="C31" s="7" t="inlineStr">
        <is>
          <t>repair</t>
        </is>
      </c>
      <c r="D31" s="7" t="inlineStr">
        <is>
          <t>Spinning</t>
        </is>
      </c>
      <c r="E31" s="7" t="n"/>
      <c r="F31" s="7" t="inlineStr">
        <is>
          <t>output rate</t>
        </is>
      </c>
      <c r="G31" s="8" t="inlineStr">
        <is>
          <t>Mass of material the machine processes per hour</t>
        </is>
      </c>
      <c r="H31" s="7" t="inlineStr">
        <is>
          <t>kg/hr</t>
        </is>
      </c>
      <c r="I31" s="7" t="n">
        <v>6</v>
      </c>
      <c r="J31" s="7" t="n">
        <v>4</v>
      </c>
      <c r="K31" s="7" t="n">
        <v>9</v>
      </c>
      <c r="L31" s="7" t="n"/>
      <c r="M31" s="7" t="inlineStr">
        <is>
          <t>triangular</t>
        </is>
      </c>
      <c r="N31" s="7" t="n"/>
      <c r="O31"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 Repair uses the same machine as production (repair panels are made on the same lines).</t>
        </is>
      </c>
      <c r="P31" s="7" t="inlineStr">
        <is>
          <t>partner estimate</t>
        </is>
      </c>
      <c r="Q31" s="7" t="inlineStr">
        <is>
          <t>Was 8 kg/h.</t>
        </is>
      </c>
    </row>
    <row r="32" ht="16" customHeight="1">
      <c r="A32" s="7" t="inlineStr">
        <is>
          <t>raw_knit</t>
        </is>
      </c>
      <c r="B32" s="7" t="inlineStr">
        <is>
          <t>manufacturing</t>
        </is>
      </c>
      <c r="C32" s="7" t="inlineStr">
        <is>
          <t>repair</t>
        </is>
      </c>
      <c r="D32" s="7" t="inlineStr">
        <is>
          <t>Spinning</t>
        </is>
      </c>
      <c r="E32" s="7" t="n"/>
      <c r="F32" s="7" t="inlineStr">
        <is>
          <t>machine lifetime</t>
        </is>
      </c>
      <c r="G32" s="8" t="inlineStr">
        <is>
          <t>Operating hours before the machine is worn out</t>
        </is>
      </c>
      <c r="H32" s="7" t="inlineStr">
        <is>
          <t>hrs</t>
        </is>
      </c>
      <c r="I32" s="7" t="n">
        <v>50000</v>
      </c>
      <c r="J32" s="7" t="n">
        <v>40000</v>
      </c>
      <c r="K32" s="7" t="n">
        <v>60000</v>
      </c>
      <c r="L32" s="7" t="n"/>
      <c r="M32" s="7" t="inlineStr">
        <is>
          <t>triangular</t>
        </is>
      </c>
      <c r="N32" s="7" t="n"/>
      <c r="O32"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 Repair uses the same machine as production (repair panels are made on the same lines).</t>
        </is>
      </c>
      <c r="P32" s="7" t="inlineStr">
        <is>
          <t>partner estimate</t>
        </is>
      </c>
      <c r="Q32" s="7" t="inlineStr">
        <is>
          <t>Kept.</t>
        </is>
      </c>
    </row>
    <row r="33" ht="32" customHeight="1">
      <c r="A33" s="7" t="inlineStr">
        <is>
          <t>raw_knit</t>
        </is>
      </c>
      <c r="B33" s="7" t="inlineStr">
        <is>
          <t>manufacturing</t>
        </is>
      </c>
      <c r="C33" s="7" t="inlineStr">
        <is>
          <t>repair</t>
        </is>
      </c>
      <c r="D33" s="7" t="inlineStr">
        <is>
          <t>Spinning</t>
        </is>
      </c>
      <c r="E33" s="7" t="n"/>
      <c r="F33" s="7" t="inlineStr">
        <is>
          <t>process yield</t>
        </is>
      </c>
      <c r="G33" s="8" t="inlineStr">
        <is>
          <t>Share of the material entering this step that leaves it as usable output (the rest is waste)</t>
        </is>
      </c>
      <c r="H33" s="7" t="inlineStr">
        <is>
          <t>%</t>
        </is>
      </c>
      <c r="I33" s="7" t="n">
        <v>95</v>
      </c>
      <c r="J33" s="7" t="n">
        <v>88</v>
      </c>
      <c r="K33" s="7" t="n">
        <v>100</v>
      </c>
      <c r="L33" s="7" t="n"/>
      <c r="M33" s="7" t="inlineStr">
        <is>
          <t>triangular</t>
        </is>
      </c>
      <c r="N33" s="7" t="n"/>
      <c r="O33" s="7" t="inlineStr">
        <is>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 Repair uses the same machine as production (repair panels are made on the same lines).</t>
        </is>
      </c>
      <c r="P33" s="7" t="inlineStr">
        <is>
          <t>partner estimate</t>
        </is>
      </c>
      <c r="Q33" s="7" t="inlineStr">
        <is>
          <t>Was 98%.</t>
        </is>
      </c>
    </row>
    <row r="34" ht="16" customHeight="1">
      <c r="A34" s="7" t="inlineStr">
        <is>
          <t>raw_knit</t>
        </is>
      </c>
      <c r="B34" s="7" t="inlineStr">
        <is>
          <t>manufacturing</t>
        </is>
      </c>
      <c r="C34" s="7" t="inlineStr">
        <is>
          <t>repair</t>
        </is>
      </c>
      <c r="D34" s="7" t="inlineStr">
        <is>
          <t>Spinning</t>
        </is>
      </c>
      <c r="E34" s="7" t="n"/>
      <c r="F34" s="7" t="inlineStr">
        <is>
          <t>machine source</t>
        </is>
      </c>
      <c r="G34" s="8" t="inlineStr">
        <is>
          <t>Whether the machine is new (virgin) or reused/recycled (recycled)</t>
        </is>
      </c>
      <c r="H34" s="7" t="inlineStr">
        <is>
          <t>-</t>
        </is>
      </c>
      <c r="I34" s="7" t="inlineStr">
        <is>
          <t>virgin</t>
        </is>
      </c>
      <c r="J34" s="7" t="n"/>
      <c r="K34" s="7" t="n"/>
      <c r="L34" s="7" t="n"/>
      <c r="M34" s="7" t="inlineStr">
        <is>
          <t>choice</t>
        </is>
      </c>
      <c r="N34" s="7" t="inlineStr">
        <is>
          <t>virgin;recycled</t>
        </is>
      </c>
      <c r="O34" s="7" t="inlineStr">
        <is>
          <t>Assumption: all machinery is bought new (virgin)</t>
        </is>
      </c>
      <c r="P34" s="7" t="inlineStr">
        <is>
          <t>partner estimate</t>
        </is>
      </c>
      <c r="Q34" s="7" t="inlineStr">
        <is>
          <t>Value stays virgin.</t>
        </is>
      </c>
    </row>
    <row r="35" ht="16" customHeight="1">
      <c r="A35" s="7" t="inlineStr">
        <is>
          <t>raw_knit</t>
        </is>
      </c>
      <c r="B35" s="7" t="inlineStr">
        <is>
          <t>manufacturing</t>
        </is>
      </c>
      <c r="C35" s="7" t="inlineStr">
        <is>
          <t>repair</t>
        </is>
      </c>
      <c r="D35" s="7" t="inlineStr">
        <is>
          <t>CNC knitting</t>
        </is>
      </c>
      <c r="E35" s="7" t="n"/>
      <c r="F35" s="7" t="inlineStr">
        <is>
          <t>machine weight</t>
        </is>
      </c>
      <c r="G35" s="8" t="inlineStr">
        <is>
          <t>Weight of the machine used in this step (used to account for machine wear)</t>
        </is>
      </c>
      <c r="H35" s="7" t="inlineStr">
        <is>
          <t>kg</t>
        </is>
      </c>
      <c r="I35" s="7" t="n">
        <v>1200</v>
      </c>
      <c r="J35" s="7" t="n">
        <v>1000</v>
      </c>
      <c r="K35" s="7" t="n">
        <v>1500</v>
      </c>
      <c r="L35" s="7" t="n"/>
      <c r="M35" s="7" t="inlineStr">
        <is>
          <t>triangular</t>
        </is>
      </c>
      <c r="N35" s="7" t="n"/>
      <c r="O35" s="7" t="inlineStr">
        <is>
          <t>PROTOTYPE machinery assumed: electronic flat-bed CNC knitting machine of the Stoll CMS class (127 cm / 50 in working width, 3 systems, gauge E5-E20; Stoll CMS 530 ki page) in a fabrication lab. ~1.2 t estimated for the 127 cm width; a wider (244 cm) used Stoll CMS is listed at 1,900 kg (Exapro). Repair uses the same machine as production (repair panels are made on the same lines).</t>
        </is>
      </c>
      <c r="P35" s="7" t="inlineStr">
        <is>
          <t>partner estimate</t>
        </is>
      </c>
      <c r="Q35" s="7" t="inlineStr">
        <is>
          <t>Was 1500 kg.</t>
        </is>
      </c>
    </row>
    <row r="36" ht="16" customHeight="1">
      <c r="A36" s="7" t="inlineStr">
        <is>
          <t>raw_knit</t>
        </is>
      </c>
      <c r="B36" s="7" t="inlineStr">
        <is>
          <t>manufacturing</t>
        </is>
      </c>
      <c r="C36" s="7" t="inlineStr">
        <is>
          <t>repair</t>
        </is>
      </c>
      <c r="D36" s="7" t="inlineStr">
        <is>
          <t>CNC knitting</t>
        </is>
      </c>
      <c r="E36" s="7" t="n"/>
      <c r="F36" s="7" t="inlineStr">
        <is>
          <t>power</t>
        </is>
      </c>
      <c r="G36" s="8" t="inlineStr">
        <is>
          <t>Electric power the machine draws while running</t>
        </is>
      </c>
      <c r="H36" s="7" t="inlineStr">
        <is>
          <t>kW</t>
        </is>
      </c>
      <c r="I36" s="7" t="n">
        <v>2</v>
      </c>
      <c r="J36" s="7" t="n">
        <v>1.5</v>
      </c>
      <c r="K36" s="7" t="n">
        <v>3</v>
      </c>
      <c r="L36" s="7" t="n"/>
      <c r="M36" s="7" t="inlineStr">
        <is>
          <t>triangular</t>
        </is>
      </c>
      <c r="N36" s="7" t="n"/>
      <c r="O36" s="7" t="inlineStr">
        <is>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Repair uses the same machine as production (repair panels are made on the same lines).</t>
        </is>
      </c>
      <c r="P36" s="7" t="inlineStr">
        <is>
          <t>partner estimate</t>
        </is>
      </c>
      <c r="Q36" s="7" t="inlineStr">
        <is>
          <t>Was 4 kW.</t>
        </is>
      </c>
    </row>
    <row r="37" ht="16" customHeight="1">
      <c r="A37" s="7" t="inlineStr">
        <is>
          <t>raw_knit</t>
        </is>
      </c>
      <c r="B37" s="7" t="inlineStr">
        <is>
          <t>manufacturing</t>
        </is>
      </c>
      <c r="C37" s="7" t="inlineStr">
        <is>
          <t>repair</t>
        </is>
      </c>
      <c r="D37" s="7" t="inlineStr">
        <is>
          <t>CNC knitting</t>
        </is>
      </c>
      <c r="E37" s="7" t="n"/>
      <c r="F37" s="7" t="inlineStr">
        <is>
          <t>output rate</t>
        </is>
      </c>
      <c r="G37" s="8" t="inlineStr">
        <is>
          <t>Mass of material the machine processes per hour</t>
        </is>
      </c>
      <c r="H37" s="7" t="inlineStr">
        <is>
          <t>kg/hr</t>
        </is>
      </c>
      <c r="I37" s="7" t="n">
        <v>1.5</v>
      </c>
      <c r="J37" s="7" t="n">
        <v>1</v>
      </c>
      <c r="K37" s="7" t="n">
        <v>2.5</v>
      </c>
      <c r="L37" s="7" t="n"/>
      <c r="M37" s="7" t="inlineStr">
        <is>
          <t>triangular</t>
        </is>
      </c>
      <c r="N37" s="7" t="n"/>
      <c r="O37" s="7" t="inlineStr">
        <is>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Repair uses the same machine as production (repair panels are made on the same lines).</t>
        </is>
      </c>
      <c r="P37" s="7" t="inlineStr">
        <is>
          <t>partner estimate</t>
        </is>
      </c>
      <c r="Q37" s="7" t="inlineStr">
        <is>
          <t>Was 2 kg/h. Energy: 2 kW / 1.5 kg/h = 1.3 kWh/kg.</t>
        </is>
      </c>
    </row>
    <row r="38" ht="16" customHeight="1">
      <c r="A38" s="7" t="inlineStr">
        <is>
          <t>raw_knit</t>
        </is>
      </c>
      <c r="B38" s="7" t="inlineStr">
        <is>
          <t>manufacturing</t>
        </is>
      </c>
      <c r="C38" s="7" t="inlineStr">
        <is>
          <t>repair</t>
        </is>
      </c>
      <c r="D38" s="7" t="inlineStr">
        <is>
          <t>CNC knitting</t>
        </is>
      </c>
      <c r="E38" s="7" t="n"/>
      <c r="F38" s="7" t="inlineStr">
        <is>
          <t>machine lifetime</t>
        </is>
      </c>
      <c r="G38" s="8" t="inlineStr">
        <is>
          <t>Operating hours before the machine is worn out</t>
        </is>
      </c>
      <c r="H38" s="7" t="inlineStr">
        <is>
          <t>hrs</t>
        </is>
      </c>
      <c r="I38" s="7" t="n">
        <v>15000</v>
      </c>
      <c r="J38" s="7" t="n">
        <v>8000</v>
      </c>
      <c r="K38" s="7" t="n">
        <v>25000</v>
      </c>
      <c r="L38" s="7" t="n"/>
      <c r="M38" s="7" t="inlineStr">
        <is>
          <t>triangular</t>
        </is>
      </c>
      <c r="N38" s="7" t="n"/>
      <c r="O38" s="7" t="inlineStr">
        <is>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Repair uses the same machine as production (repair panels are made on the same lines).</t>
        </is>
      </c>
      <c r="P38" s="7" t="inlineStr">
        <is>
          <t>partner estimate</t>
        </is>
      </c>
      <c r="Q38" s="7" t="inlineStr">
        <is>
          <t>Was 50000 h (mill-scale utilisation).</t>
        </is>
      </c>
    </row>
    <row r="39" ht="32" customHeight="1">
      <c r="A39" s="7" t="inlineStr">
        <is>
          <t>raw_knit</t>
        </is>
      </c>
      <c r="B39" s="7" t="inlineStr">
        <is>
          <t>manufacturing</t>
        </is>
      </c>
      <c r="C39" s="7" t="inlineStr">
        <is>
          <t>repair</t>
        </is>
      </c>
      <c r="D39" s="7" t="inlineStr">
        <is>
          <t>CNC knitting</t>
        </is>
      </c>
      <c r="E39" s="7" t="n"/>
      <c r="F39" s="7" t="inlineStr">
        <is>
          <t>process yield</t>
        </is>
      </c>
      <c r="G39" s="8" t="inlineStr">
        <is>
          <t>Share of the material entering this step that leaves it as usable output (the rest is waste)</t>
        </is>
      </c>
      <c r="H39" s="7" t="inlineStr">
        <is>
          <t>%</t>
        </is>
      </c>
      <c r="I39" s="7" t="n">
        <v>95</v>
      </c>
      <c r="J39" s="7" t="n">
        <v>85</v>
      </c>
      <c r="K39" s="7" t="n">
        <v>100</v>
      </c>
      <c r="L39" s="7" t="n"/>
      <c r="M39" s="7" t="inlineStr">
        <is>
          <t>triangular</t>
        </is>
      </c>
      <c r="N39" s="7" t="n"/>
      <c r="O39" s="7" t="inlineStr">
        <is>
          <t>PROTOTYPE machinery assumed: electronic flat-bed CNC knitting machine of the Stoll CMS class (127 cm / 50 in working width, 3 systems, gauge E5-E20; Stoll CMS 530 ki page) in a fabrication lab. Yarn breaks, edge trimming and start-up/test rows ~5% (assumption). Repair uses the same machine as production (repair panels are made on the same lines).</t>
        </is>
      </c>
      <c r="P39" s="7" t="inlineStr">
        <is>
          <t>partner estimate</t>
        </is>
      </c>
      <c r="Q39" s="7" t="inlineStr">
        <is>
          <t>Was 98%.</t>
        </is>
      </c>
    </row>
    <row r="40" ht="16" customHeight="1">
      <c r="A40" s="7" t="inlineStr">
        <is>
          <t>raw_knit</t>
        </is>
      </c>
      <c r="B40" s="7" t="inlineStr">
        <is>
          <t>manufacturing</t>
        </is>
      </c>
      <c r="C40" s="7" t="inlineStr">
        <is>
          <t>repair</t>
        </is>
      </c>
      <c r="D40" s="7" t="inlineStr">
        <is>
          <t>CNC knitting</t>
        </is>
      </c>
      <c r="E40" s="7" t="n"/>
      <c r="F40" s="7" t="inlineStr">
        <is>
          <t>machine source</t>
        </is>
      </c>
      <c r="G40" s="8" t="inlineStr">
        <is>
          <t>Whether the machine is new (virgin) or reused/recycled (recycled)</t>
        </is>
      </c>
      <c r="H40" s="7" t="inlineStr">
        <is>
          <t>-</t>
        </is>
      </c>
      <c r="I40" s="7" t="inlineStr">
        <is>
          <t>virgin</t>
        </is>
      </c>
      <c r="J40" s="7" t="n"/>
      <c r="K40" s="7" t="n"/>
      <c r="L40" s="7" t="n"/>
      <c r="M40" s="7" t="inlineStr">
        <is>
          <t>choice</t>
        </is>
      </c>
      <c r="N40" s="7" t="inlineStr">
        <is>
          <t>virgin;recycled</t>
        </is>
      </c>
      <c r="O40" s="7" t="inlineStr">
        <is>
          <t>Assumption: all machinery is bought new (virgin)</t>
        </is>
      </c>
      <c r="P40" s="7" t="inlineStr">
        <is>
          <t>partner estimate</t>
        </is>
      </c>
      <c r="Q40" s="7" t="inlineStr">
        <is>
          <t>Value stays virgin.</t>
        </is>
      </c>
    </row>
    <row r="41" ht="16" customHeight="1">
      <c r="A41" s="7" t="inlineStr">
        <is>
          <t>raw_knit</t>
        </is>
      </c>
      <c r="B41" s="7" t="inlineStr">
        <is>
          <t>circularity</t>
        </is>
      </c>
      <c r="C41" s="7" t="inlineStr">
        <is>
          <t>use</t>
        </is>
      </c>
      <c r="D41" s="7" t="inlineStr">
        <is>
          <t>product</t>
        </is>
      </c>
      <c r="E41" s="7" t="n"/>
      <c r="F41" s="7" t="inlineStr">
        <is>
          <t>expected lifetime</t>
        </is>
      </c>
      <c r="G41" s="8" t="inlineStr">
        <is>
          <t>Years the product lasts before any repair</t>
        </is>
      </c>
      <c r="H41" s="7" t="inlineStr">
        <is>
          <t>yrs</t>
        </is>
      </c>
      <c r="I41" s="7" t="n">
        <v>15</v>
      </c>
      <c r="J41" s="7" t="n">
        <v>8</v>
      </c>
      <c r="K41" s="7" t="n">
        <v>20</v>
      </c>
      <c r="L41" s="7" t="n"/>
      <c r="M41" s="7" t="inlineStr">
        <is>
          <t>triangular</t>
        </is>
      </c>
      <c r="N41" s="7" t="n"/>
      <c r="O41" s="7" t="inlineStr">
        <is>
          <t>Engineering judgement; PVC-coated polyester membranes last ~15-20 y in service (Birdair, ETS), untreated hemp is less UV/mould-resistant outdoors but fine when sheltered</t>
        </is>
      </c>
      <c r="P41" s="7" t="inlineStr">
        <is>
          <t>partner estimate</t>
        </is>
      </c>
      <c r="Q41" s="7" t="inlineStr">
        <is>
          <t>Widened from 12-18 to 8-20 y because exposure is unknown (indoor/covered: 20+ y, exposed: ~5-10 y). Replace when the use case is fixed.</t>
        </is>
      </c>
    </row>
    <row r="42" ht="16" customHeight="1">
      <c r="A42" s="7" t="inlineStr">
        <is>
          <t>raw_knit</t>
        </is>
      </c>
      <c r="B42" s="7" t="inlineStr">
        <is>
          <t>circularity</t>
        </is>
      </c>
      <c r="C42" s="7" t="inlineStr">
        <is>
          <t>use</t>
        </is>
      </c>
      <c r="D42" s="7" t="inlineStr">
        <is>
          <t>product</t>
        </is>
      </c>
      <c r="E42" s="7" t="n"/>
      <c r="F42" s="7" t="inlineStr">
        <is>
          <t>lifetime extension per repair</t>
        </is>
      </c>
      <c r="G42" s="8" t="inlineStr">
        <is>
          <t>Years added to the product's life by one repair</t>
        </is>
      </c>
      <c r="H42" s="7" t="inlineStr">
        <is>
          <t>yrs</t>
        </is>
      </c>
      <c r="I42" s="7" t="n">
        <v>7.5</v>
      </c>
      <c r="J42" s="7" t="n">
        <v>5</v>
      </c>
      <c r="K42" s="7" t="n">
        <v>10</v>
      </c>
      <c r="L42" s="7" t="n"/>
      <c r="M42" s="7" t="inlineStr">
        <is>
          <t>triangular</t>
        </is>
      </c>
      <c r="N42" s="7" t="n"/>
      <c r="O42" s="7" t="inlineStr">
        <is>
          <t>Engineering judgement: a repair fixes local damage, not the ageing of the rest of the fabric</t>
        </is>
      </c>
      <c r="P42" s="7" t="inlineStr">
        <is>
          <t>partner estimate</t>
        </is>
      </c>
      <c r="Q42" s="7" t="inlineStr">
        <is>
          <t>Was 10 y. Set to about half of the expected lifetime (7.5 y).</t>
        </is>
      </c>
    </row>
    <row r="43" ht="16" customHeight="1">
      <c r="A43" s="7" t="inlineStr">
        <is>
          <t>raw_knit</t>
        </is>
      </c>
      <c r="B43" s="7" t="inlineStr">
        <is>
          <t>circularity</t>
        </is>
      </c>
      <c r="C43" s="7" t="inlineStr">
        <is>
          <t>repair</t>
        </is>
      </c>
      <c r="D43" s="7" t="inlineStr">
        <is>
          <t>repair material</t>
        </is>
      </c>
      <c r="E43" s="7" t="n"/>
      <c r="F43" s="7" t="inlineStr">
        <is>
          <t>share of product mass per repair</t>
        </is>
      </c>
      <c r="G43" s="8" t="inlineStr">
        <is>
          <t>Mass of material added per repair, as a share of the product mass</t>
        </is>
      </c>
      <c r="H43" s="7" t="inlineStr">
        <is>
          <t>%</t>
        </is>
      </c>
      <c r="I43" s="7" t="n">
        <v>10</v>
      </c>
      <c r="J43" s="7" t="n">
        <v>5</v>
      </c>
      <c r="K43" s="7" t="n">
        <v>15</v>
      </c>
      <c r="L43" s="7" t="n"/>
      <c r="M43" s="7" t="inlineStr">
        <is>
          <t>triangular</t>
        </is>
      </c>
      <c r="N43" s="7" t="n"/>
      <c r="O43" s="7" t="inlineStr">
        <is>
          <t>Engineering judgement: patching/replacing the damaged ~10% of the membrane area</t>
        </is>
      </c>
      <c r="P43" s="7" t="inlineStr">
        <is>
          <t>partner estimate</t>
        </is>
      </c>
      <c r="Q43" s="7" t="inlineStr">
        <is>
          <t>Range widened to 5-15%.</t>
        </is>
      </c>
    </row>
    <row r="44" ht="16" customHeight="1">
      <c r="A44" s="7" t="inlineStr">
        <is>
          <t>raw_knit</t>
        </is>
      </c>
      <c r="B44" s="7" t="inlineStr">
        <is>
          <t>circularity</t>
        </is>
      </c>
      <c r="C44" s="7" t="inlineStr">
        <is>
          <t>end-of-life</t>
        </is>
      </c>
      <c r="D44" s="7" t="inlineStr">
        <is>
          <t>waste</t>
        </is>
      </c>
      <c r="E44" s="7" t="inlineStr">
        <is>
          <t>composted</t>
        </is>
      </c>
      <c r="F44" s="7" t="inlineStr">
        <is>
          <t>share of waste</t>
        </is>
      </c>
      <c r="G44" s="8" t="inlineStr">
        <is>
          <t>Share of the product's end-of-life mass that goes to this route (the routes add up to 100 %): composted</t>
        </is>
      </c>
      <c r="H44" s="7" t="inlineStr">
        <is>
          <t>%</t>
        </is>
      </c>
      <c r="I44" s="7" t="n">
        <v>0</v>
      </c>
      <c r="J44" s="7" t="n">
        <v>0</v>
      </c>
      <c r="K44" s="7" t="n">
        <v>0</v>
      </c>
      <c r="L44" s="7" t="n">
        <v>0</v>
      </c>
      <c r="M44" s="7" t="inlineStr">
        <is>
          <t>fixed</t>
        </is>
      </c>
      <c r="N44" s="7" t="n"/>
      <c r="O44" s="7"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4" s="7" t="inlineStr">
        <is>
          <t>partner estimate</t>
        </is>
      </c>
      <c r="Q44" s="7" t="inlineStr">
        <is>
          <t>Hemp is compostable in principle, but no textile composting route exists at scale; modelled as 0. NOTE: methods.md says the scaled-up variant leaves end of life unchanged, so the scaled_up values on these rows may not be read by the model.</t>
        </is>
      </c>
    </row>
    <row r="45" ht="32" customHeight="1">
      <c r="A45" s="7" t="inlineStr">
        <is>
          <t>raw_knit</t>
        </is>
      </c>
      <c r="B45" s="7" t="inlineStr">
        <is>
          <t>circularity</t>
        </is>
      </c>
      <c r="C45" s="7" t="inlineStr">
        <is>
          <t>end-of-life</t>
        </is>
      </c>
      <c r="D45" s="7" t="inlineStr">
        <is>
          <t>waste</t>
        </is>
      </c>
      <c r="E45" s="7" t="inlineStr">
        <is>
          <t>recycled_open</t>
        </is>
      </c>
      <c r="F45" s="7" t="inlineStr">
        <is>
          <t>share of waste</t>
        </is>
      </c>
      <c r="G45" s="8" t="inlineStr">
        <is>
          <t>Share of the product's end-of-life mass that goes to this route (the routes add up to 100 %): recycled (open loop)</t>
        </is>
      </c>
      <c r="H45" s="7" t="inlineStr">
        <is>
          <t>%</t>
        </is>
      </c>
      <c r="I45" s="7" t="n">
        <v>25</v>
      </c>
      <c r="J45" s="7" t="n">
        <v>10</v>
      </c>
      <c r="K45" s="7" t="n">
        <v>40</v>
      </c>
      <c r="L45" s="7" t="n">
        <v>35</v>
      </c>
      <c r="M45" s="7" t="inlineStr">
        <is>
          <t>triangular</t>
        </is>
      </c>
      <c r="N45" s="7" t="n"/>
      <c r="O45" s="7"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5" s="7" t="inlineStr">
        <is>
          <t>partner estimate</t>
        </is>
      </c>
      <c r="Q45" s="7" t="inlineStr">
        <is>
          <t>Typical: ~27% of textile waste is not incinerated/landfilled (100-73%); nearly all of it is open-loop (rags, insulation), fibre-to-fibre is negligible (JRC). Scaled-up: mandatory separate collection and ~2x recycling capacity by 2030-35 (JRC) raise open-loop recycling.</t>
        </is>
      </c>
    </row>
    <row r="46" ht="32" customHeight="1">
      <c r="A46" s="7" t="inlineStr">
        <is>
          <t>raw_knit</t>
        </is>
      </c>
      <c r="B46" s="7" t="inlineStr">
        <is>
          <t>circularity</t>
        </is>
      </c>
      <c r="C46" s="7" t="inlineStr">
        <is>
          <t>end-of-life</t>
        </is>
      </c>
      <c r="D46" s="7" t="inlineStr">
        <is>
          <t>waste</t>
        </is>
      </c>
      <c r="E46" s="7" t="inlineStr">
        <is>
          <t>recycled_closed</t>
        </is>
      </c>
      <c r="F46" s="7" t="inlineStr">
        <is>
          <t>share of waste</t>
        </is>
      </c>
      <c r="G46" s="8" t="inlineStr">
        <is>
          <t>Share of the product's end-of-life mass that goes to this route (the routes add up to 100 %): recycled (closed loop)</t>
        </is>
      </c>
      <c r="H46" s="7" t="inlineStr">
        <is>
          <t>%</t>
        </is>
      </c>
      <c r="I46" s="7" t="n">
        <v>2</v>
      </c>
      <c r="J46" s="7" t="n">
        <v>0</v>
      </c>
      <c r="K46" s="7" t="n">
        <v>10</v>
      </c>
      <c r="L46" s="7" t="n">
        <v>25</v>
      </c>
      <c r="M46" s="7" t="inlineStr">
        <is>
          <t>triangular</t>
        </is>
      </c>
      <c r="N46" s="7" t="n"/>
      <c r="O46" s="7"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6" s="7" t="inlineStr">
        <is>
          <t>partner estimate</t>
        </is>
      </c>
      <c r="Q46" s="7" t="inlineStr">
        <is>
          <t>Typical: fibre-to-fibre recycling is still emerging in the EU (JRC). Scaled-up: a single-fibre, uncoated hemp product is ideal feedstock for fibre-to-fibre recycling with a producer take-back (scenario, RAW design intent was 80%).</t>
        </is>
      </c>
    </row>
    <row r="47" ht="32" customHeight="1">
      <c r="A47" s="7" t="inlineStr">
        <is>
          <t>raw_knit</t>
        </is>
      </c>
      <c r="B47" s="7" t="inlineStr">
        <is>
          <t>circularity</t>
        </is>
      </c>
      <c r="C47" s="7" t="inlineStr">
        <is>
          <t>end-of-life</t>
        </is>
      </c>
      <c r="D47" s="7" t="inlineStr">
        <is>
          <t>waste</t>
        </is>
      </c>
      <c r="E47" s="7" t="inlineStr">
        <is>
          <t>incinerated</t>
        </is>
      </c>
      <c r="F47" s="7" t="inlineStr">
        <is>
          <t>share of waste</t>
        </is>
      </c>
      <c r="G47" s="8" t="inlineStr">
        <is>
          <t>Share of the product's end-of-life mass that goes to this route (the routes add up to 100 %): incinerated with energy recovery</t>
        </is>
      </c>
      <c r="H47" s="7" t="inlineStr">
        <is>
          <t>%</t>
        </is>
      </c>
      <c r="I47" s="7" t="n">
        <v>40</v>
      </c>
      <c r="J47" s="7" t="n">
        <v>25</v>
      </c>
      <c r="K47" s="7" t="n">
        <v>55</v>
      </c>
      <c r="L47" s="7" t="n">
        <v>30</v>
      </c>
      <c r="M47" s="7" t="inlineStr">
        <is>
          <t>triangular</t>
        </is>
      </c>
      <c r="N47" s="7" t="n"/>
      <c r="O47" s="7"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7" s="7" t="inlineStr">
        <is>
          <t>partner estimate</t>
        </is>
      </c>
      <c r="Q47" s="7" t="inlineStr">
        <is>
          <t>Typical: 73% landfill+incineration split ~55:45 (EEA). Scaled-up: falls as recycling grows.</t>
        </is>
      </c>
    </row>
    <row r="48" ht="32" customHeight="1">
      <c r="A48" s="7" t="inlineStr">
        <is>
          <t>raw_knit</t>
        </is>
      </c>
      <c r="B48" s="7" t="inlineStr">
        <is>
          <t>circularity</t>
        </is>
      </c>
      <c r="C48" s="7" t="inlineStr">
        <is>
          <t>end-of-life</t>
        </is>
      </c>
      <c r="D48" s="7" t="inlineStr">
        <is>
          <t>waste</t>
        </is>
      </c>
      <c r="E48" s="7" t="inlineStr">
        <is>
          <t>landfilled</t>
        </is>
      </c>
      <c r="F48" s="7" t="inlineStr">
        <is>
          <t>share of waste</t>
        </is>
      </c>
      <c r="G48" s="8" t="inlineStr">
        <is>
          <t>Share of the product's end-of-life mass that goes to this route (the routes add up to 100 %): landfilled</t>
        </is>
      </c>
      <c r="H48" s="7" t="inlineStr">
        <is>
          <t>%</t>
        </is>
      </c>
      <c r="I48" s="7" t="n">
        <v>33</v>
      </c>
      <c r="J48" s="7" t="n">
        <v>15</v>
      </c>
      <c r="K48" s="7" t="n">
        <v>45</v>
      </c>
      <c r="L48" s="7" t="n">
        <v>10</v>
      </c>
      <c r="M48" s="7" t="inlineStr">
        <is>
          <t>triangular</t>
        </is>
      </c>
      <c r="N48" s="7" t="n"/>
      <c r="O48" s="7" t="inlineStr">
        <is>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is>
      </c>
      <c r="P48" s="7" t="inlineStr">
        <is>
          <t>partner estimate</t>
        </is>
      </c>
      <c r="Q48" s="7" t="inlineStr">
        <is>
          <t>Typical: the other ~45% of the 73% (EEA). Scaled-up: 10% respects the Landfill Directive limit for 2035 (general knowledge, not re-checked online).</t>
        </is>
      </c>
    </row>
    <row r="49" ht="32" customHeight="1">
      <c r="A49" s="7" t="inlineStr">
        <is>
          <t>raw_knit</t>
        </is>
      </c>
      <c r="B49" s="7" t="inlineStr">
        <is>
          <t>location</t>
        </is>
      </c>
      <c r="C49" s="7" t="inlineStr">
        <is>
          <t>general</t>
        </is>
      </c>
      <c r="D49" s="7" t="inlineStr">
        <is>
          <t>product</t>
        </is>
      </c>
      <c r="E49" s="7" t="n"/>
      <c r="F49" s="7" t="inlineStr">
        <is>
          <t>location</t>
        </is>
      </c>
      <c r="G49" s="8" t="inlineStr">
        <is>
          <t>Country whose electricity mix is used for every process step, and whose grid is displaced by energy recovered at end of life</t>
        </is>
      </c>
      <c r="H49" s="7" t="inlineStr">
        <is>
          <t>country code</t>
        </is>
      </c>
      <c r="I49" s="7" t="inlineStr">
        <is>
          <t>NL</t>
        </is>
      </c>
      <c r="J49" s="7" t="n"/>
      <c r="K49" s="7" t="n"/>
      <c r="L49" s="7" t="n"/>
      <c r="M49" s="7" t="inlineStr">
        <is>
          <t>choice</t>
        </is>
      </c>
      <c r="N49" s="7" t="n"/>
      <c r="O49" s="7" t="inlineStr">
        <is>
          <t>Model choice: Netherlands (RAW project location); electricity mix and heat/electricity credit of incineration use the NL grid</t>
        </is>
      </c>
      <c r="P49" s="7" t="inlineStr">
        <is>
          <t>partner estimate</t>
        </is>
      </c>
      <c r="Q49" s="7" t="inlineStr">
        <is>
          <t>Change on study_setup / choices if you model another country.</t>
        </is>
      </c>
    </row>
    <row r="50" ht="32" customHeight="1"/>
  </sheetData>
  <conditionalFormatting sqref="I2:I256">
    <cfRule type="expression" priority="3" dxfId="0">
      <formula>AND($F2&lt;&gt;"",$I2="")</formula>
    </cfRule>
  </conditionalFormatting>
  <conditionalFormatting sqref="I2:P256">
    <cfRule type="expression" priority="1" dxfId="1">
      <formula>$P2="placeholder"</formula>
    </cfRule>
  </conditionalFormatting>
  <conditionalFormatting sqref="J2:K256">
    <cfRule type="expression" priority="2" dxfId="0">
      <formula>AND(OR($M2="triangular",$M2="uniform"),OR($J2="",$K2=""))</formula>
    </cfRule>
  </conditionalFormatting>
  <dataValidations count="4">
    <dataValidation sqref="B2:B256" showDropDown="0" showInputMessage="0" showErrorMessage="1" allowBlank="1" type="list">
      <formula1>"design,manufacturing,circularity,location"</formula1>
    </dataValidation>
    <dataValidation sqref="C2:C256" showDropDown="0" showInputMessage="0" showErrorMessage="1" allowBlank="1" type="list">
      <formula1>"product size,production,repair,use,end-of-life,general"</formula1>
    </dataValidation>
    <dataValidation sqref="M2:M256" showDropDown="0" showInputMessage="0" showErrorMessage="1" allowBlank="1" type="list">
      <formula1>"fixed,triangular,uniform,choice,combination"</formula1>
    </dataValidation>
    <dataValidation sqref="P2:P256" showDropDown="0" showInputMessage="0" showErrorMessage="1" allowBlank="1" type="list">
      <formula1>"placeholder,partner estimate,measured,literature"</formula1>
    </dataValidation>
  </dataValidations>
  <pageMargins left="0.75" right="0.75" top="1" bottom="1" header="0.5" footer="0.5"/>
</worksheet>
</file>

<file path=xl/worksheets/sheet8.xml><?xml version="1.0" encoding="utf-8"?>
<worksheet xmlns="http://schemas.openxmlformats.org/spreadsheetml/2006/main">
  <sheetPr>
    <tabColor rgb="FF76A5AF"/>
    <outlinePr summaryBelow="1" summaryRight="1"/>
    <pageSetUpPr/>
  </sheetPr>
  <dimension ref="A1:Q39"/>
  <sheetViews>
    <sheetView workbookViewId="0">
      <pane xSplit="6" ySplit="1" topLeftCell="G2" activePane="bottomRight" state="frozen"/>
      <selection pane="topRight" activeCell="A1" sqref="A1"/>
      <selection pane="bottomLeft" activeCell="A1" sqref="A1"/>
      <selection pane="bottomRight" activeCell="G24" sqref="G24"/>
    </sheetView>
  </sheetViews>
  <sheetFormatPr baseColWidth="10" defaultColWidth="8.83203125" defaultRowHeight="15"/>
  <cols>
    <col width="12" customWidth="1" min="1" max="1"/>
    <col width="15" customWidth="1" min="2" max="2"/>
    <col width="13" customWidth="1" min="3" max="3"/>
    <col width="22" customWidth="1" min="4" max="4"/>
    <col width="17" customWidth="1" min="5" max="5"/>
    <col width="34" customWidth="1" min="6" max="6"/>
    <col width="60" customWidth="1" min="7" max="7"/>
    <col width="14" customWidth="1" min="8" max="8"/>
    <col width="9" customWidth="1" min="9" max="10"/>
    <col width="13" customWidth="1" min="11" max="12"/>
    <col width="17" customWidth="1" min="13" max="13"/>
    <col width="40" customWidth="1" min="14" max="14"/>
    <col width="13" customWidth="1" min="15" max="15"/>
    <col width="40" customWidth="1" min="16" max="16"/>
  </cols>
  <sheetData>
    <row r="1">
      <c r="A1" s="6" t="inlineStr">
        <is>
          <t>case</t>
        </is>
      </c>
      <c r="B1" s="6" t="inlineStr">
        <is>
          <t>group</t>
        </is>
      </c>
      <c r="C1" s="6" t="inlineStr">
        <is>
          <t>stage</t>
        </is>
      </c>
      <c r="D1" s="6" t="inlineStr">
        <is>
          <t>item</t>
        </is>
      </c>
      <c r="E1" s="6" t="inlineStr">
        <is>
          <t>qualifier</t>
        </is>
      </c>
      <c r="F1" s="6" t="inlineStr">
        <is>
          <t>parameter</t>
        </is>
      </c>
      <c r="G1" s="6" t="inlineStr">
        <is>
          <t>description</t>
        </is>
      </c>
      <c r="H1" s="6" t="inlineStr">
        <is>
          <t>unit</t>
        </is>
      </c>
      <c r="I1" s="6" t="inlineStr">
        <is>
          <t>typical</t>
        </is>
      </c>
      <c r="J1" s="6" t="inlineStr">
        <is>
          <t>min</t>
        </is>
      </c>
      <c r="K1" s="6" t="inlineStr">
        <is>
          <t>max</t>
        </is>
      </c>
      <c r="L1" s="6" t="inlineStr">
        <is>
          <t>scaled_up</t>
        </is>
      </c>
      <c r="M1" s="6" t="inlineStr">
        <is>
          <t>distribution</t>
        </is>
      </c>
      <c r="N1" s="6" t="inlineStr">
        <is>
          <t>choices</t>
        </is>
      </c>
      <c r="O1" s="6" t="inlineStr">
        <is>
          <t>source</t>
        </is>
      </c>
      <c r="P1" s="6" t="inlineStr">
        <is>
          <t>status</t>
        </is>
      </c>
      <c r="Q1" s="6" t="inlineStr">
        <is>
          <t>comments</t>
        </is>
      </c>
    </row>
    <row r="2" ht="16" customHeight="1">
      <c r="A2" s="7" t="inlineStr">
        <is>
          <t>raw_timber</t>
        </is>
      </c>
      <c r="B2" s="7" t="inlineStr">
        <is>
          <t>design</t>
        </is>
      </c>
      <c r="C2" s="7" t="inlineStr">
        <is>
          <t>product size</t>
        </is>
      </c>
      <c r="D2" s="7" t="inlineStr">
        <is>
          <t>product</t>
        </is>
      </c>
      <c r="E2" s="7" t="n"/>
      <c r="F2" s="7" t="inlineStr">
        <is>
          <t>depth_ratio</t>
        </is>
      </c>
      <c r="G2" s="7" t="inlineStr">
        <is>
          <t>Beam span divided by beam depth</t>
        </is>
      </c>
      <c r="H2" s="7" t="inlineStr">
        <is>
          <t>-</t>
        </is>
      </c>
      <c r="I2" s="7" t="n">
        <v>20</v>
      </c>
      <c r="J2" s="7" t="n">
        <v>16</v>
      </c>
      <c r="K2" s="7" t="n">
        <v>24</v>
      </c>
      <c r="L2" s="7" t="n"/>
      <c r="M2" s="7" t="inlineStr">
        <is>
          <t>triangular</t>
        </is>
      </c>
      <c r="N2" s="7" t="n"/>
      <c r="O2" s="7" t="inlineStr">
        <is>
          <t>product_LCIs formula (previous version of the sheet)</t>
        </is>
      </c>
      <c r="P2" s="7" t="inlineStr">
        <is>
          <t>placeholder</t>
        </is>
      </c>
      <c r="Q2" s="7" t="n"/>
    </row>
    <row r="3" ht="16" customHeight="1">
      <c r="A3" s="7" t="inlineStr">
        <is>
          <t>raw_timber</t>
        </is>
      </c>
      <c r="B3" s="7" t="inlineStr">
        <is>
          <t>design</t>
        </is>
      </c>
      <c r="C3" s="7" t="inlineStr">
        <is>
          <t>product size</t>
        </is>
      </c>
      <c r="D3" s="7" t="inlineStr">
        <is>
          <t>product</t>
        </is>
      </c>
      <c r="E3" s="7" t="n"/>
      <c r="F3" s="7" t="inlineStr">
        <is>
          <t>width_ratio</t>
        </is>
      </c>
      <c r="G3" s="7" t="inlineStr">
        <is>
          <t>Beam depth divided by beam width</t>
        </is>
      </c>
      <c r="H3" s="7" t="inlineStr">
        <is>
          <t>-</t>
        </is>
      </c>
      <c r="I3" s="7" t="n">
        <v>3</v>
      </c>
      <c r="J3" s="7" t="n">
        <v>2.4</v>
      </c>
      <c r="K3" s="7" t="n">
        <v>3.6</v>
      </c>
      <c r="L3" s="7" t="n"/>
      <c r="M3" s="7" t="inlineStr">
        <is>
          <t>triangular</t>
        </is>
      </c>
      <c r="N3" s="7" t="n"/>
      <c r="O3" s="7" t="inlineStr">
        <is>
          <t>product_LCIs formula (previous version of the sheet)</t>
        </is>
      </c>
      <c r="P3" s="7" t="inlineStr">
        <is>
          <t>placeholder</t>
        </is>
      </c>
      <c r="Q3" s="7" t="n"/>
    </row>
    <row r="4" ht="16" customHeight="1">
      <c r="A4" s="7" t="inlineStr">
        <is>
          <t>raw_timber</t>
        </is>
      </c>
      <c r="B4" s="7" t="inlineStr">
        <is>
          <t>design</t>
        </is>
      </c>
      <c r="C4" s="7" t="inlineStr">
        <is>
          <t>product size</t>
        </is>
      </c>
      <c r="D4" s="7" t="inlineStr">
        <is>
          <t>product</t>
        </is>
      </c>
      <c r="E4" s="7" t="n"/>
      <c r="F4" s="7" t="inlineStr">
        <is>
          <t>density</t>
        </is>
      </c>
      <c r="G4" s="7" t="inlineStr">
        <is>
          <t>Density of the finished timber beam</t>
        </is>
      </c>
      <c r="H4" s="7" t="inlineStr">
        <is>
          <t>kg/m3</t>
        </is>
      </c>
      <c r="I4" s="7" t="n">
        <v>480</v>
      </c>
      <c r="J4" s="7" t="n">
        <v>384</v>
      </c>
      <c r="K4" s="7" t="n">
        <v>576</v>
      </c>
      <c r="L4" s="7" t="n"/>
      <c r="M4" s="7" t="inlineStr">
        <is>
          <t>triangular</t>
        </is>
      </c>
      <c r="N4" s="7" t="n"/>
      <c r="O4" s="7" t="inlineStr">
        <is>
          <t>product_LCIs formula (previous version of the sheet)</t>
        </is>
      </c>
      <c r="P4" s="7" t="inlineStr">
        <is>
          <t>placeholder</t>
        </is>
      </c>
      <c r="Q4" s="7" t="n"/>
    </row>
    <row r="5" ht="32" customHeight="1">
      <c r="A5" s="7" t="inlineStr">
        <is>
          <t>raw_timber</t>
        </is>
      </c>
      <c r="B5" s="7" t="inlineStr">
        <is>
          <t>design</t>
        </is>
      </c>
      <c r="C5" s="7" t="inlineStr">
        <is>
          <t>production</t>
        </is>
      </c>
      <c r="D5" s="7" t="inlineStr">
        <is>
          <t>Hard wood</t>
        </is>
      </c>
      <c r="E5" s="7" t="inlineStr">
        <is>
          <t>recycled</t>
        </is>
      </c>
      <c r="F5" s="7" t="inlineStr">
        <is>
          <t>share of input mass</t>
        </is>
      </c>
      <c r="G5" s="8" t="inlineStr">
        <is>
          <t>Share of the production input mass made of this material (recycled); the shares of one stage add up to 100 %</t>
        </is>
      </c>
      <c r="H5" s="7" t="inlineStr">
        <is>
          <t>%</t>
        </is>
      </c>
      <c r="I5" s="7" t="n">
        <v>100</v>
      </c>
      <c r="J5" s="7" t="n">
        <v>80</v>
      </c>
      <c r="K5" s="7" t="n">
        <v>100</v>
      </c>
      <c r="L5" s="7" t="n"/>
      <c r="M5" s="7" t="inlineStr">
        <is>
          <t>triangular</t>
        </is>
      </c>
      <c r="N5" s="7" t="n"/>
      <c r="O5" s="7" t="n"/>
      <c r="P5" s="7" t="inlineStr">
        <is>
          <t>placeholder</t>
        </is>
      </c>
      <c r="Q5" s="7" t="n"/>
    </row>
    <row r="6" ht="32" customHeight="1">
      <c r="A6" s="7" t="inlineStr">
        <is>
          <t>raw_timber</t>
        </is>
      </c>
      <c r="B6" s="7" t="inlineStr">
        <is>
          <t>design</t>
        </is>
      </c>
      <c r="C6" s="7" t="inlineStr">
        <is>
          <t>repair</t>
        </is>
      </c>
      <c r="D6" s="7" t="inlineStr">
        <is>
          <t>Hard wood</t>
        </is>
      </c>
      <c r="E6" s="7" t="inlineStr">
        <is>
          <t>recycled</t>
        </is>
      </c>
      <c r="F6" s="7" t="inlineStr">
        <is>
          <t>share of input mass</t>
        </is>
      </c>
      <c r="G6" s="8" t="inlineStr">
        <is>
          <t>Share of the repair input mass made of this material (recycled); the shares of one stage add up to 100 %</t>
        </is>
      </c>
      <c r="H6" s="7" t="inlineStr">
        <is>
          <t>%</t>
        </is>
      </c>
      <c r="I6" s="7" t="n">
        <v>100</v>
      </c>
      <c r="J6" s="7" t="n">
        <v>80</v>
      </c>
      <c r="K6" s="7" t="n">
        <v>100</v>
      </c>
      <c r="L6" s="7" t="n"/>
      <c r="M6" s="7" t="inlineStr">
        <is>
          <t>triangular</t>
        </is>
      </c>
      <c r="N6" s="7" t="n"/>
      <c r="O6" s="7" t="n"/>
      <c r="P6" s="7" t="inlineStr">
        <is>
          <t>placeholder</t>
        </is>
      </c>
      <c r="Q6" s="7" t="n"/>
    </row>
    <row r="7" ht="16" customHeight="1">
      <c r="A7" s="7" t="inlineStr">
        <is>
          <t>raw_timber</t>
        </is>
      </c>
      <c r="B7" s="7" t="inlineStr">
        <is>
          <t>manufacturing</t>
        </is>
      </c>
      <c r="C7" s="7" t="inlineStr">
        <is>
          <t>production</t>
        </is>
      </c>
      <c r="D7" s="7" t="inlineStr">
        <is>
          <t>Scanning</t>
        </is>
      </c>
      <c r="E7" s="7" t="n"/>
      <c r="F7" s="7" t="inlineStr">
        <is>
          <t>machine weight</t>
        </is>
      </c>
      <c r="G7" s="8" t="inlineStr">
        <is>
          <t>Weight of the machine used in this step (used to account for machine wear)</t>
        </is>
      </c>
      <c r="H7" s="7" t="inlineStr">
        <is>
          <t>kg</t>
        </is>
      </c>
      <c r="I7" s="7" t="n">
        <v>2000</v>
      </c>
      <c r="J7" s="7" t="n">
        <v>1600</v>
      </c>
      <c r="K7" s="7" t="n">
        <v>2400</v>
      </c>
      <c r="L7" s="7" t="n"/>
      <c r="M7" s="7" t="inlineStr">
        <is>
          <t>triangular</t>
        </is>
      </c>
      <c r="N7" s="7" t="n"/>
      <c r="O7" s="7" t="inlineStr">
        <is>
          <t>HTML tool preset (placeholder)</t>
        </is>
      </c>
      <c r="P7" s="7" t="inlineStr">
        <is>
          <t>placeholder</t>
        </is>
      </c>
      <c r="Q7" s="7" t="n"/>
    </row>
    <row r="8" ht="16" customHeight="1">
      <c r="A8" s="7" t="inlineStr">
        <is>
          <t>raw_timber</t>
        </is>
      </c>
      <c r="B8" s="7" t="inlineStr">
        <is>
          <t>manufacturing</t>
        </is>
      </c>
      <c r="C8" s="7" t="inlineStr">
        <is>
          <t>production</t>
        </is>
      </c>
      <c r="D8" s="7" t="inlineStr">
        <is>
          <t>Scanning</t>
        </is>
      </c>
      <c r="E8" s="7" t="n"/>
      <c r="F8" s="7" t="inlineStr">
        <is>
          <t>power</t>
        </is>
      </c>
      <c r="G8" s="8" t="inlineStr">
        <is>
          <t>Electric power the machine draws while running</t>
        </is>
      </c>
      <c r="H8" s="7" t="inlineStr">
        <is>
          <t>kW</t>
        </is>
      </c>
      <c r="I8" s="7" t="n">
        <v>10</v>
      </c>
      <c r="J8" s="7" t="n">
        <v>8</v>
      </c>
      <c r="K8" s="7" t="n">
        <v>12</v>
      </c>
      <c r="L8" s="7" t="n"/>
      <c r="M8" s="7" t="inlineStr">
        <is>
          <t>triangular</t>
        </is>
      </c>
      <c r="N8" s="7" t="n"/>
      <c r="O8" s="7" t="inlineStr">
        <is>
          <t>HTML tool preset (placeholder)</t>
        </is>
      </c>
      <c r="P8" s="7" t="inlineStr">
        <is>
          <t>placeholder</t>
        </is>
      </c>
      <c r="Q8" s="7" t="n"/>
    </row>
    <row r="9" ht="16" customHeight="1">
      <c r="A9" s="7" t="inlineStr">
        <is>
          <t>raw_timber</t>
        </is>
      </c>
      <c r="B9" s="7" t="inlineStr">
        <is>
          <t>manufacturing</t>
        </is>
      </c>
      <c r="C9" s="7" t="inlineStr">
        <is>
          <t>production</t>
        </is>
      </c>
      <c r="D9" s="7" t="inlineStr">
        <is>
          <t>Scanning</t>
        </is>
      </c>
      <c r="E9" s="7" t="n"/>
      <c r="F9" s="7" t="inlineStr">
        <is>
          <t>output rate</t>
        </is>
      </c>
      <c r="G9" s="8" t="inlineStr">
        <is>
          <t>Mass of material the machine processes per hour</t>
        </is>
      </c>
      <c r="H9" s="7" t="inlineStr">
        <is>
          <t>kg/hr</t>
        </is>
      </c>
      <c r="I9" s="7" t="n">
        <v>600</v>
      </c>
      <c r="J9" s="7" t="n">
        <v>480</v>
      </c>
      <c r="K9" s="7" t="n">
        <v>720</v>
      </c>
      <c r="L9" s="7" t="n"/>
      <c r="M9" s="7" t="inlineStr">
        <is>
          <t>triangular</t>
        </is>
      </c>
      <c r="N9" s="7" t="n"/>
      <c r="O9" s="7" t="inlineStr">
        <is>
          <t>HTML tool preset (placeholder)</t>
        </is>
      </c>
      <c r="P9" s="7" t="inlineStr">
        <is>
          <t>placeholder</t>
        </is>
      </c>
      <c r="Q9" s="7" t="n"/>
    </row>
    <row r="10" ht="16" customHeight="1">
      <c r="A10" s="7" t="inlineStr">
        <is>
          <t>raw_timber</t>
        </is>
      </c>
      <c r="B10" s="7" t="inlineStr">
        <is>
          <t>manufacturing</t>
        </is>
      </c>
      <c r="C10" s="7" t="inlineStr">
        <is>
          <t>production</t>
        </is>
      </c>
      <c r="D10" s="7" t="inlineStr">
        <is>
          <t>Scanning</t>
        </is>
      </c>
      <c r="E10" s="7" t="n"/>
      <c r="F10" s="7" t="inlineStr">
        <is>
          <t>machine lifetime</t>
        </is>
      </c>
      <c r="G10" s="8" t="inlineStr">
        <is>
          <t>Operating hours before the machine is worn out</t>
        </is>
      </c>
      <c r="H10" s="7" t="inlineStr">
        <is>
          <t>hrs</t>
        </is>
      </c>
      <c r="I10" s="7" t="n">
        <v>40000</v>
      </c>
      <c r="J10" s="7" t="n">
        <v>32000</v>
      </c>
      <c r="K10" s="7" t="n">
        <v>48000</v>
      </c>
      <c r="L10" s="7" t="n"/>
      <c r="M10" s="7" t="inlineStr">
        <is>
          <t>triangular</t>
        </is>
      </c>
      <c r="N10" s="7" t="n"/>
      <c r="O10" s="7" t="inlineStr">
        <is>
          <t>HTML tool preset (placeholder)</t>
        </is>
      </c>
      <c r="P10" s="7" t="inlineStr">
        <is>
          <t>placeholder</t>
        </is>
      </c>
      <c r="Q10" s="7" t="n"/>
    </row>
    <row r="11" ht="32" customHeight="1">
      <c r="A11" s="7" t="inlineStr">
        <is>
          <t>raw_timber</t>
        </is>
      </c>
      <c r="B11" s="7" t="inlineStr">
        <is>
          <t>manufacturing</t>
        </is>
      </c>
      <c r="C11" s="7" t="inlineStr">
        <is>
          <t>production</t>
        </is>
      </c>
      <c r="D11" s="7" t="inlineStr">
        <is>
          <t>Scanning</t>
        </is>
      </c>
      <c r="E11" s="7" t="n"/>
      <c r="F11" s="7" t="inlineStr">
        <is>
          <t>process yield</t>
        </is>
      </c>
      <c r="G11" s="8" t="inlineStr">
        <is>
          <t>Share of the material entering this step that leaves it as usable output (the rest is waste)</t>
        </is>
      </c>
      <c r="H11" s="7" t="inlineStr">
        <is>
          <t>%</t>
        </is>
      </c>
      <c r="I11" s="7" t="n">
        <v>100</v>
      </c>
      <c r="J11" s="7" t="n">
        <v>80</v>
      </c>
      <c r="K11" s="7" t="n">
        <v>100</v>
      </c>
      <c r="L11" s="7" t="n"/>
      <c r="M11" s="7" t="inlineStr">
        <is>
          <t>triangular</t>
        </is>
      </c>
      <c r="N11" s="7" t="n"/>
      <c r="O11" s="7" t="inlineStr">
        <is>
          <t>HTML tool preset (placeholder)</t>
        </is>
      </c>
      <c r="P11" s="7" t="inlineStr">
        <is>
          <t>placeholder</t>
        </is>
      </c>
      <c r="Q11" s="7" t="n"/>
    </row>
    <row r="12" ht="16" customHeight="1">
      <c r="A12" s="7" t="inlineStr">
        <is>
          <t>raw_timber</t>
        </is>
      </c>
      <c r="B12" s="7" t="inlineStr">
        <is>
          <t>manufacturing</t>
        </is>
      </c>
      <c r="C12" s="7" t="inlineStr">
        <is>
          <t>production</t>
        </is>
      </c>
      <c r="D12" s="7" t="inlineStr">
        <is>
          <t>Scanning</t>
        </is>
      </c>
      <c r="E12" s="7" t="n"/>
      <c r="F12" s="7" t="inlineStr">
        <is>
          <t>machine source</t>
        </is>
      </c>
      <c r="G12" s="8" t="inlineStr">
        <is>
          <t>Whether the machine is new (virgin) or reused/recycled (recycled)</t>
        </is>
      </c>
      <c r="H12" s="7" t="inlineStr">
        <is>
          <t>-</t>
        </is>
      </c>
      <c r="I12" s="7" t="inlineStr">
        <is>
          <t>virgin</t>
        </is>
      </c>
      <c r="J12" s="7" t="n"/>
      <c r="K12" s="7" t="n"/>
      <c r="L12" s="7" t="n"/>
      <c r="M12" s="7" t="inlineStr">
        <is>
          <t>choice</t>
        </is>
      </c>
      <c r="N12" s="7" t="inlineStr">
        <is>
          <t>virgin;recycled</t>
        </is>
      </c>
      <c r="O12" s="7" t="n"/>
      <c r="P12" s="7" t="inlineStr">
        <is>
          <t>placeholder</t>
        </is>
      </c>
      <c r="Q12" s="7" t="n"/>
    </row>
    <row r="13" ht="16" customHeight="1">
      <c r="A13" s="7" t="inlineStr">
        <is>
          <t>raw_timber</t>
        </is>
      </c>
      <c r="B13" s="7" t="inlineStr">
        <is>
          <t>manufacturing</t>
        </is>
      </c>
      <c r="C13" s="7" t="inlineStr">
        <is>
          <t>production</t>
        </is>
      </c>
      <c r="D13" s="7" t="inlineStr">
        <is>
          <t>CNC milling</t>
        </is>
      </c>
      <c r="E13" s="7" t="n"/>
      <c r="F13" s="7" t="inlineStr">
        <is>
          <t>machine weight</t>
        </is>
      </c>
      <c r="G13" s="8" t="inlineStr">
        <is>
          <t>Weight of the machine used in this step (used to account for machine wear)</t>
        </is>
      </c>
      <c r="H13" s="7" t="inlineStr">
        <is>
          <t>kg</t>
        </is>
      </c>
      <c r="I13" s="7" t="n">
        <v>1200</v>
      </c>
      <c r="J13" s="7" t="n">
        <v>960</v>
      </c>
      <c r="K13" s="7" t="n">
        <v>1440</v>
      </c>
      <c r="L13" s="7" t="n">
        <v>5000</v>
      </c>
      <c r="M13" s="7" t="inlineStr">
        <is>
          <t>triangular</t>
        </is>
      </c>
      <c r="N13" s="7" t="n"/>
      <c r="O13" s="7" t="inlineStr">
        <is>
          <t>HTML tool preset (placeholder)</t>
        </is>
      </c>
      <c r="P13" s="7" t="inlineStr">
        <is>
          <t>placeholder</t>
        </is>
      </c>
      <c r="Q13" s="7" t="n"/>
    </row>
    <row r="14" ht="16" customHeight="1">
      <c r="A14" s="7" t="inlineStr">
        <is>
          <t>raw_timber</t>
        </is>
      </c>
      <c r="B14" s="7" t="inlineStr">
        <is>
          <t>manufacturing</t>
        </is>
      </c>
      <c r="C14" s="7" t="inlineStr">
        <is>
          <t>production</t>
        </is>
      </c>
      <c r="D14" s="7" t="inlineStr">
        <is>
          <t>CNC milling</t>
        </is>
      </c>
      <c r="E14" s="7" t="n"/>
      <c r="F14" s="7" t="inlineStr">
        <is>
          <t>power</t>
        </is>
      </c>
      <c r="G14" s="8" t="inlineStr">
        <is>
          <t>Electric power the machine draws while running</t>
        </is>
      </c>
      <c r="H14" s="7" t="inlineStr">
        <is>
          <t>kW</t>
        </is>
      </c>
      <c r="I14" s="7" t="n">
        <v>10</v>
      </c>
      <c r="J14" s="7" t="n">
        <v>8</v>
      </c>
      <c r="K14" s="7" t="n">
        <v>12</v>
      </c>
      <c r="L14" s="7" t="n">
        <v>20</v>
      </c>
      <c r="M14" s="7" t="inlineStr">
        <is>
          <t>triangular</t>
        </is>
      </c>
      <c r="N14" s="7" t="n"/>
      <c r="O14" s="7" t="inlineStr">
        <is>
          <t>HTML tool preset (placeholder)</t>
        </is>
      </c>
      <c r="P14" s="7" t="inlineStr">
        <is>
          <t>placeholder</t>
        </is>
      </c>
      <c r="Q14" s="7" t="n"/>
    </row>
    <row r="15" ht="16" customHeight="1">
      <c r="A15" s="7" t="inlineStr">
        <is>
          <t>raw_timber</t>
        </is>
      </c>
      <c r="B15" s="7" t="inlineStr">
        <is>
          <t>manufacturing</t>
        </is>
      </c>
      <c r="C15" s="7" t="inlineStr">
        <is>
          <t>production</t>
        </is>
      </c>
      <c r="D15" s="7" t="inlineStr">
        <is>
          <t>CNC milling</t>
        </is>
      </c>
      <c r="E15" s="7" t="n"/>
      <c r="F15" s="7" t="inlineStr">
        <is>
          <t>output rate</t>
        </is>
      </c>
      <c r="G15" s="8" t="inlineStr">
        <is>
          <t>Mass of material the machine processes per hour</t>
        </is>
      </c>
      <c r="H15" s="7" t="inlineStr">
        <is>
          <t>kg/hr</t>
        </is>
      </c>
      <c r="I15" s="7" t="n">
        <v>30</v>
      </c>
      <c r="J15" s="7" t="n">
        <v>24</v>
      </c>
      <c r="K15" s="7" t="n">
        <v>36</v>
      </c>
      <c r="L15" s="7" t="n">
        <v>10</v>
      </c>
      <c r="M15" s="7" t="inlineStr">
        <is>
          <t>triangular</t>
        </is>
      </c>
      <c r="N15" s="7" t="n"/>
      <c r="O15" s="7" t="inlineStr">
        <is>
          <t>HTML tool preset (placeholder)</t>
        </is>
      </c>
      <c r="P15" s="7" t="inlineStr">
        <is>
          <t>placeholder</t>
        </is>
      </c>
      <c r="Q15" s="7" t="n"/>
    </row>
    <row r="16" ht="16" customHeight="1">
      <c r="A16" s="7" t="inlineStr">
        <is>
          <t>raw_timber</t>
        </is>
      </c>
      <c r="B16" s="7" t="inlineStr">
        <is>
          <t>manufacturing</t>
        </is>
      </c>
      <c r="C16" s="7" t="inlineStr">
        <is>
          <t>production</t>
        </is>
      </c>
      <c r="D16" s="7" t="inlineStr">
        <is>
          <t>CNC milling</t>
        </is>
      </c>
      <c r="E16" s="7" t="n"/>
      <c r="F16" s="7" t="inlineStr">
        <is>
          <t>machine lifetime</t>
        </is>
      </c>
      <c r="G16" s="8" t="inlineStr">
        <is>
          <t>Operating hours before the machine is worn out</t>
        </is>
      </c>
      <c r="H16" s="7" t="inlineStr">
        <is>
          <t>hrs</t>
        </is>
      </c>
      <c r="I16" s="7" t="n">
        <v>40000</v>
      </c>
      <c r="J16" s="7" t="n">
        <v>32000</v>
      </c>
      <c r="K16" s="7" t="n">
        <v>48000</v>
      </c>
      <c r="L16" s="7" t="n">
        <v>70000</v>
      </c>
      <c r="M16" s="7" t="inlineStr">
        <is>
          <t>triangular</t>
        </is>
      </c>
      <c r="N16" s="7" t="n"/>
      <c r="O16" s="7" t="inlineStr">
        <is>
          <t>HTML tool preset (placeholder)</t>
        </is>
      </c>
      <c r="P16" s="7" t="inlineStr">
        <is>
          <t>placeholder</t>
        </is>
      </c>
      <c r="Q16" s="7" t="n"/>
    </row>
    <row r="17" ht="32" customHeight="1">
      <c r="A17" s="7" t="inlineStr">
        <is>
          <t>raw_timber</t>
        </is>
      </c>
      <c r="B17" s="7" t="inlineStr">
        <is>
          <t>manufacturing</t>
        </is>
      </c>
      <c r="C17" s="7" t="inlineStr">
        <is>
          <t>production</t>
        </is>
      </c>
      <c r="D17" s="7" t="inlineStr">
        <is>
          <t>CNC milling</t>
        </is>
      </c>
      <c r="E17" s="7" t="n"/>
      <c r="F17" s="7" t="inlineStr">
        <is>
          <t>process yield</t>
        </is>
      </c>
      <c r="G17" s="8" t="inlineStr">
        <is>
          <t>Share of the material entering this step that leaves it as usable output (the rest is waste)</t>
        </is>
      </c>
      <c r="H17" s="7" t="inlineStr">
        <is>
          <t>%</t>
        </is>
      </c>
      <c r="I17" s="7" t="n">
        <v>90</v>
      </c>
      <c r="J17" s="7" t="n">
        <v>72</v>
      </c>
      <c r="K17" s="7" t="n">
        <v>100</v>
      </c>
      <c r="L17" s="7" t="n"/>
      <c r="M17" s="7" t="inlineStr">
        <is>
          <t>triangular</t>
        </is>
      </c>
      <c r="N17" s="7" t="n"/>
      <c r="O17" s="7" t="inlineStr">
        <is>
          <t>HTML tool preset (placeholder)</t>
        </is>
      </c>
      <c r="P17" s="7" t="inlineStr">
        <is>
          <t>placeholder</t>
        </is>
      </c>
      <c r="Q17" s="7" t="n"/>
    </row>
    <row r="18" ht="16" customHeight="1">
      <c r="A18" s="7" t="inlineStr">
        <is>
          <t>raw_timber</t>
        </is>
      </c>
      <c r="B18" s="7" t="inlineStr">
        <is>
          <t>manufacturing</t>
        </is>
      </c>
      <c r="C18" s="7" t="inlineStr">
        <is>
          <t>production</t>
        </is>
      </c>
      <c r="D18" s="7" t="inlineStr">
        <is>
          <t>CNC milling</t>
        </is>
      </c>
      <c r="E18" s="7" t="n"/>
      <c r="F18" s="7" t="inlineStr">
        <is>
          <t>machine source</t>
        </is>
      </c>
      <c r="G18" s="8" t="inlineStr">
        <is>
          <t>Whether the machine is new (virgin) or reused/recycled (recycled)</t>
        </is>
      </c>
      <c r="H18" s="7" t="inlineStr">
        <is>
          <t>-</t>
        </is>
      </c>
      <c r="I18" s="7" t="inlineStr">
        <is>
          <t>virgin</t>
        </is>
      </c>
      <c r="J18" s="7" t="n"/>
      <c r="K18" s="7" t="n"/>
      <c r="L18" s="7" t="n"/>
      <c r="M18" s="7" t="inlineStr">
        <is>
          <t>choice</t>
        </is>
      </c>
      <c r="N18" s="7" t="inlineStr">
        <is>
          <t>virgin;recycled</t>
        </is>
      </c>
      <c r="O18" s="7" t="n"/>
      <c r="P18" s="7" t="inlineStr">
        <is>
          <t>placeholder</t>
        </is>
      </c>
      <c r="Q18" s="7" t="n"/>
    </row>
    <row r="19" ht="16" customHeight="1">
      <c r="A19" s="7" t="inlineStr">
        <is>
          <t>raw_timber</t>
        </is>
      </c>
      <c r="B19" s="7" t="inlineStr">
        <is>
          <t>manufacturing</t>
        </is>
      </c>
      <c r="C19" s="7" t="inlineStr">
        <is>
          <t>repair</t>
        </is>
      </c>
      <c r="D19" s="7" t="inlineStr">
        <is>
          <t>Scanning</t>
        </is>
      </c>
      <c r="E19" s="7" t="n"/>
      <c r="F19" s="7" t="inlineStr">
        <is>
          <t>machine weight</t>
        </is>
      </c>
      <c r="G19" s="8" t="inlineStr">
        <is>
          <t>Weight of the machine used in this step (used to account for machine wear)</t>
        </is>
      </c>
      <c r="H19" s="7" t="inlineStr">
        <is>
          <t>kg</t>
        </is>
      </c>
      <c r="I19" s="7" t="n">
        <v>2000</v>
      </c>
      <c r="J19" s="7" t="n">
        <v>1600</v>
      </c>
      <c r="K19" s="7" t="n">
        <v>2400</v>
      </c>
      <c r="L19" s="7" t="n"/>
      <c r="M19" s="7" t="inlineStr">
        <is>
          <t>triangular</t>
        </is>
      </c>
      <c r="N19" s="7" t="n"/>
      <c r="O19" s="7" t="inlineStr">
        <is>
          <t>HTML tool preset (placeholder)</t>
        </is>
      </c>
      <c r="P19" s="7" t="inlineStr">
        <is>
          <t>placeholder</t>
        </is>
      </c>
      <c r="Q19" s="7" t="n"/>
    </row>
    <row r="20" ht="16" customHeight="1">
      <c r="A20" s="7" t="inlineStr">
        <is>
          <t>raw_timber</t>
        </is>
      </c>
      <c r="B20" s="7" t="inlineStr">
        <is>
          <t>manufacturing</t>
        </is>
      </c>
      <c r="C20" s="7" t="inlineStr">
        <is>
          <t>repair</t>
        </is>
      </c>
      <c r="D20" s="7" t="inlineStr">
        <is>
          <t>Scanning</t>
        </is>
      </c>
      <c r="E20" s="7" t="n"/>
      <c r="F20" s="7" t="inlineStr">
        <is>
          <t>power</t>
        </is>
      </c>
      <c r="G20" s="8" t="inlineStr">
        <is>
          <t>Electric power the machine draws while running</t>
        </is>
      </c>
      <c r="H20" s="7" t="inlineStr">
        <is>
          <t>kW</t>
        </is>
      </c>
      <c r="I20" s="7" t="n">
        <v>10</v>
      </c>
      <c r="J20" s="7" t="n">
        <v>8</v>
      </c>
      <c r="K20" s="7" t="n">
        <v>12</v>
      </c>
      <c r="L20" s="7" t="n"/>
      <c r="M20" s="7" t="inlineStr">
        <is>
          <t>triangular</t>
        </is>
      </c>
      <c r="N20" s="7" t="n"/>
      <c r="O20" s="7" t="inlineStr">
        <is>
          <t>HTML tool preset (placeholder)</t>
        </is>
      </c>
      <c r="P20" s="7" t="inlineStr">
        <is>
          <t>placeholder</t>
        </is>
      </c>
      <c r="Q20" s="7" t="n"/>
    </row>
    <row r="21" ht="16" customHeight="1">
      <c r="A21" s="7" t="inlineStr">
        <is>
          <t>raw_timber</t>
        </is>
      </c>
      <c r="B21" s="7" t="inlineStr">
        <is>
          <t>manufacturing</t>
        </is>
      </c>
      <c r="C21" s="7" t="inlineStr">
        <is>
          <t>repair</t>
        </is>
      </c>
      <c r="D21" s="7" t="inlineStr">
        <is>
          <t>Scanning</t>
        </is>
      </c>
      <c r="E21" s="7" t="n"/>
      <c r="F21" s="7" t="inlineStr">
        <is>
          <t>output rate</t>
        </is>
      </c>
      <c r="G21" s="8" t="inlineStr">
        <is>
          <t>Mass of material the machine processes per hour</t>
        </is>
      </c>
      <c r="H21" s="7" t="inlineStr">
        <is>
          <t>kg/hr</t>
        </is>
      </c>
      <c r="I21" s="7" t="n">
        <v>600</v>
      </c>
      <c r="J21" s="7" t="n">
        <v>480</v>
      </c>
      <c r="K21" s="7" t="n">
        <v>720</v>
      </c>
      <c r="L21" s="7" t="n"/>
      <c r="M21" s="7" t="inlineStr">
        <is>
          <t>triangular</t>
        </is>
      </c>
      <c r="N21" s="7" t="n"/>
      <c r="O21" s="7" t="inlineStr">
        <is>
          <t>HTML tool preset (placeholder)</t>
        </is>
      </c>
      <c r="P21" s="7" t="inlineStr">
        <is>
          <t>placeholder</t>
        </is>
      </c>
      <c r="Q21" s="7" t="n"/>
    </row>
    <row r="22" ht="16" customHeight="1">
      <c r="A22" s="7" t="inlineStr">
        <is>
          <t>raw_timber</t>
        </is>
      </c>
      <c r="B22" s="7" t="inlineStr">
        <is>
          <t>manufacturing</t>
        </is>
      </c>
      <c r="C22" s="7" t="inlineStr">
        <is>
          <t>repair</t>
        </is>
      </c>
      <c r="D22" s="7" t="inlineStr">
        <is>
          <t>Scanning</t>
        </is>
      </c>
      <c r="E22" s="7" t="n"/>
      <c r="F22" s="7" t="inlineStr">
        <is>
          <t>machine lifetime</t>
        </is>
      </c>
      <c r="G22" s="8" t="inlineStr">
        <is>
          <t>Operating hours before the machine is worn out</t>
        </is>
      </c>
      <c r="H22" s="7" t="inlineStr">
        <is>
          <t>hrs</t>
        </is>
      </c>
      <c r="I22" s="7" t="n">
        <v>40000</v>
      </c>
      <c r="J22" s="7" t="n">
        <v>32000</v>
      </c>
      <c r="K22" s="7" t="n">
        <v>48000</v>
      </c>
      <c r="L22" s="7" t="n"/>
      <c r="M22" s="7" t="inlineStr">
        <is>
          <t>triangular</t>
        </is>
      </c>
      <c r="N22" s="7" t="n"/>
      <c r="O22" s="7" t="inlineStr">
        <is>
          <t>HTML tool preset (placeholder)</t>
        </is>
      </c>
      <c r="P22" s="7" t="inlineStr">
        <is>
          <t>placeholder</t>
        </is>
      </c>
      <c r="Q22" s="7" t="n"/>
    </row>
    <row r="23" ht="32" customHeight="1">
      <c r="A23" s="7" t="inlineStr">
        <is>
          <t>raw_timber</t>
        </is>
      </c>
      <c r="B23" s="7" t="inlineStr">
        <is>
          <t>manufacturing</t>
        </is>
      </c>
      <c r="C23" s="7" t="inlineStr">
        <is>
          <t>repair</t>
        </is>
      </c>
      <c r="D23" s="7" t="inlineStr">
        <is>
          <t>Scanning</t>
        </is>
      </c>
      <c r="E23" s="7" t="n"/>
      <c r="F23" s="7" t="inlineStr">
        <is>
          <t>process yield</t>
        </is>
      </c>
      <c r="G23" s="8" t="inlineStr">
        <is>
          <t>Share of the material entering this step that leaves it as usable output (the rest is waste)</t>
        </is>
      </c>
      <c r="H23" s="7" t="inlineStr">
        <is>
          <t>%</t>
        </is>
      </c>
      <c r="I23" s="7" t="n">
        <v>100</v>
      </c>
      <c r="J23" s="7" t="n">
        <v>80</v>
      </c>
      <c r="K23" s="7" t="n">
        <v>100</v>
      </c>
      <c r="L23" s="7" t="n"/>
      <c r="M23" s="7" t="inlineStr">
        <is>
          <t>triangular</t>
        </is>
      </c>
      <c r="N23" s="7" t="n"/>
      <c r="O23" s="7" t="inlineStr">
        <is>
          <t>HTML tool preset (placeholder)</t>
        </is>
      </c>
      <c r="P23" s="7" t="inlineStr">
        <is>
          <t>placeholder</t>
        </is>
      </c>
      <c r="Q23" s="7" t="n"/>
    </row>
    <row r="24" ht="16" customHeight="1">
      <c r="A24" s="7" t="inlineStr">
        <is>
          <t>raw_timber</t>
        </is>
      </c>
      <c r="B24" s="7" t="inlineStr">
        <is>
          <t>manufacturing</t>
        </is>
      </c>
      <c r="C24" s="7" t="inlineStr">
        <is>
          <t>repair</t>
        </is>
      </c>
      <c r="D24" s="7" t="inlineStr">
        <is>
          <t>Scanning</t>
        </is>
      </c>
      <c r="E24" s="7" t="n"/>
      <c r="F24" s="7" t="inlineStr">
        <is>
          <t>machine source</t>
        </is>
      </c>
      <c r="G24" s="8" t="inlineStr">
        <is>
          <t>Whether the machine is new (virgin) or reused/recycled (recycled)</t>
        </is>
      </c>
      <c r="H24" s="7" t="inlineStr">
        <is>
          <t>-</t>
        </is>
      </c>
      <c r="I24" s="7" t="inlineStr">
        <is>
          <t>virgin</t>
        </is>
      </c>
      <c r="J24" s="7" t="n"/>
      <c r="K24" s="7" t="n"/>
      <c r="L24" s="7" t="n"/>
      <c r="M24" s="7" t="inlineStr">
        <is>
          <t>choice</t>
        </is>
      </c>
      <c r="N24" s="7" t="inlineStr">
        <is>
          <t>virgin;recycled</t>
        </is>
      </c>
      <c r="O24" s="7" t="n"/>
      <c r="P24" s="7" t="inlineStr">
        <is>
          <t>placeholder</t>
        </is>
      </c>
      <c r="Q24" s="7" t="n"/>
    </row>
    <row r="25" ht="16" customHeight="1">
      <c r="A25" s="7" t="inlineStr">
        <is>
          <t>raw_timber</t>
        </is>
      </c>
      <c r="B25" s="7" t="inlineStr">
        <is>
          <t>manufacturing</t>
        </is>
      </c>
      <c r="C25" s="7" t="inlineStr">
        <is>
          <t>repair</t>
        </is>
      </c>
      <c r="D25" s="7" t="inlineStr">
        <is>
          <t>CNC milling</t>
        </is>
      </c>
      <c r="E25" s="7" t="n"/>
      <c r="F25" s="7" t="inlineStr">
        <is>
          <t>machine weight</t>
        </is>
      </c>
      <c r="G25" s="8" t="inlineStr">
        <is>
          <t>Weight of the machine used in this step (used to account for machine wear)</t>
        </is>
      </c>
      <c r="H25" s="7" t="inlineStr">
        <is>
          <t>kg</t>
        </is>
      </c>
      <c r="I25" s="7" t="n">
        <v>1200</v>
      </c>
      <c r="J25" s="7" t="n">
        <v>960</v>
      </c>
      <c r="K25" s="7" t="n">
        <v>1440</v>
      </c>
      <c r="L25" s="7" t="n"/>
      <c r="M25" s="7" t="inlineStr">
        <is>
          <t>triangular</t>
        </is>
      </c>
      <c r="N25" s="7" t="n"/>
      <c r="O25" s="7" t="inlineStr">
        <is>
          <t>HTML tool preset (placeholder)</t>
        </is>
      </c>
      <c r="P25" s="7" t="inlineStr">
        <is>
          <t>placeholder</t>
        </is>
      </c>
      <c r="Q25" s="7" t="n"/>
    </row>
    <row r="26" ht="16" customHeight="1">
      <c r="A26" s="7" t="inlineStr">
        <is>
          <t>raw_timber</t>
        </is>
      </c>
      <c r="B26" s="7" t="inlineStr">
        <is>
          <t>manufacturing</t>
        </is>
      </c>
      <c r="C26" s="7" t="inlineStr">
        <is>
          <t>repair</t>
        </is>
      </c>
      <c r="D26" s="7" t="inlineStr">
        <is>
          <t>CNC milling</t>
        </is>
      </c>
      <c r="E26" s="7" t="n"/>
      <c r="F26" s="7" t="inlineStr">
        <is>
          <t>power</t>
        </is>
      </c>
      <c r="G26" s="8" t="inlineStr">
        <is>
          <t>Electric power the machine draws while running</t>
        </is>
      </c>
      <c r="H26" s="7" t="inlineStr">
        <is>
          <t>kW</t>
        </is>
      </c>
      <c r="I26" s="7" t="n">
        <v>10</v>
      </c>
      <c r="J26" s="7" t="n">
        <v>8</v>
      </c>
      <c r="K26" s="7" t="n">
        <v>12</v>
      </c>
      <c r="L26" s="7" t="n"/>
      <c r="M26" s="7" t="inlineStr">
        <is>
          <t>triangular</t>
        </is>
      </c>
      <c r="N26" s="7" t="n"/>
      <c r="O26" s="7" t="inlineStr">
        <is>
          <t>HTML tool preset (placeholder)</t>
        </is>
      </c>
      <c r="P26" s="7" t="inlineStr">
        <is>
          <t>placeholder</t>
        </is>
      </c>
      <c r="Q26" s="7" t="n"/>
    </row>
    <row r="27" ht="16" customHeight="1">
      <c r="A27" s="7" t="inlineStr">
        <is>
          <t>raw_timber</t>
        </is>
      </c>
      <c r="B27" s="7" t="inlineStr">
        <is>
          <t>manufacturing</t>
        </is>
      </c>
      <c r="C27" s="7" t="inlineStr">
        <is>
          <t>repair</t>
        </is>
      </c>
      <c r="D27" s="7" t="inlineStr">
        <is>
          <t>CNC milling</t>
        </is>
      </c>
      <c r="E27" s="7" t="n"/>
      <c r="F27" s="7" t="inlineStr">
        <is>
          <t>output rate</t>
        </is>
      </c>
      <c r="G27" s="8" t="inlineStr">
        <is>
          <t>Mass of material the machine processes per hour</t>
        </is>
      </c>
      <c r="H27" s="7" t="inlineStr">
        <is>
          <t>kg/hr</t>
        </is>
      </c>
      <c r="I27" s="7" t="n">
        <v>30</v>
      </c>
      <c r="J27" s="7" t="n">
        <v>24</v>
      </c>
      <c r="K27" s="7" t="n">
        <v>36</v>
      </c>
      <c r="L27" s="7" t="n"/>
      <c r="M27" s="7" t="inlineStr">
        <is>
          <t>triangular</t>
        </is>
      </c>
      <c r="N27" s="7" t="n"/>
      <c r="O27" s="7" t="inlineStr">
        <is>
          <t>HTML tool preset (placeholder)</t>
        </is>
      </c>
      <c r="P27" s="7" t="inlineStr">
        <is>
          <t>placeholder</t>
        </is>
      </c>
      <c r="Q27" s="7" t="n"/>
    </row>
    <row r="28" ht="16" customHeight="1">
      <c r="A28" s="7" t="inlineStr">
        <is>
          <t>raw_timber</t>
        </is>
      </c>
      <c r="B28" s="7" t="inlineStr">
        <is>
          <t>manufacturing</t>
        </is>
      </c>
      <c r="C28" s="7" t="inlineStr">
        <is>
          <t>repair</t>
        </is>
      </c>
      <c r="D28" s="7" t="inlineStr">
        <is>
          <t>CNC milling</t>
        </is>
      </c>
      <c r="E28" s="7" t="n"/>
      <c r="F28" s="7" t="inlineStr">
        <is>
          <t>machine lifetime</t>
        </is>
      </c>
      <c r="G28" s="8" t="inlineStr">
        <is>
          <t>Operating hours before the machine is worn out</t>
        </is>
      </c>
      <c r="H28" s="7" t="inlineStr">
        <is>
          <t>hrs</t>
        </is>
      </c>
      <c r="I28" s="7" t="n">
        <v>40000</v>
      </c>
      <c r="J28" s="7" t="n">
        <v>32000</v>
      </c>
      <c r="K28" s="7" t="n">
        <v>48000</v>
      </c>
      <c r="L28" s="7" t="n"/>
      <c r="M28" s="7" t="inlineStr">
        <is>
          <t>triangular</t>
        </is>
      </c>
      <c r="N28" s="7" t="n"/>
      <c r="O28" s="7" t="inlineStr">
        <is>
          <t>HTML tool preset (placeholder)</t>
        </is>
      </c>
      <c r="P28" s="7" t="inlineStr">
        <is>
          <t>placeholder</t>
        </is>
      </c>
      <c r="Q28" s="7" t="n"/>
    </row>
    <row r="29" ht="32" customHeight="1">
      <c r="A29" s="7" t="inlineStr">
        <is>
          <t>raw_timber</t>
        </is>
      </c>
      <c r="B29" s="7" t="inlineStr">
        <is>
          <t>manufacturing</t>
        </is>
      </c>
      <c r="C29" s="7" t="inlineStr">
        <is>
          <t>repair</t>
        </is>
      </c>
      <c r="D29" s="7" t="inlineStr">
        <is>
          <t>CNC milling</t>
        </is>
      </c>
      <c r="E29" s="7" t="n"/>
      <c r="F29" s="7" t="inlineStr">
        <is>
          <t>process yield</t>
        </is>
      </c>
      <c r="G29" s="8" t="inlineStr">
        <is>
          <t>Share of the material entering this step that leaves it as usable output (the rest is waste)</t>
        </is>
      </c>
      <c r="H29" s="7" t="inlineStr">
        <is>
          <t>%</t>
        </is>
      </c>
      <c r="I29" s="7" t="n">
        <v>90</v>
      </c>
      <c r="J29" s="7" t="n">
        <v>72</v>
      </c>
      <c r="K29" s="7" t="n">
        <v>100</v>
      </c>
      <c r="L29" s="7" t="n"/>
      <c r="M29" s="7" t="inlineStr">
        <is>
          <t>triangular</t>
        </is>
      </c>
      <c r="N29" s="7" t="n"/>
      <c r="O29" s="7" t="inlineStr">
        <is>
          <t>HTML tool preset (placeholder)</t>
        </is>
      </c>
      <c r="P29" s="7" t="inlineStr">
        <is>
          <t>placeholder</t>
        </is>
      </c>
      <c r="Q29" s="7" t="n"/>
    </row>
    <row r="30" ht="16" customHeight="1">
      <c r="A30" s="7" t="inlineStr">
        <is>
          <t>raw_timber</t>
        </is>
      </c>
      <c r="B30" s="7" t="inlineStr">
        <is>
          <t>manufacturing</t>
        </is>
      </c>
      <c r="C30" s="7" t="inlineStr">
        <is>
          <t>repair</t>
        </is>
      </c>
      <c r="D30" s="7" t="inlineStr">
        <is>
          <t>CNC milling</t>
        </is>
      </c>
      <c r="E30" s="7" t="n"/>
      <c r="F30" s="7" t="inlineStr">
        <is>
          <t>machine source</t>
        </is>
      </c>
      <c r="G30" s="8" t="inlineStr">
        <is>
          <t>Whether the machine is new (virgin) or reused/recycled (recycled)</t>
        </is>
      </c>
      <c r="H30" s="7" t="inlineStr">
        <is>
          <t>-</t>
        </is>
      </c>
      <c r="I30" s="7" t="inlineStr">
        <is>
          <t>virgin</t>
        </is>
      </c>
      <c r="J30" s="7" t="n"/>
      <c r="K30" s="7" t="n"/>
      <c r="L30" s="7" t="n"/>
      <c r="M30" s="7" t="inlineStr">
        <is>
          <t>choice</t>
        </is>
      </c>
      <c r="N30" s="7" t="inlineStr">
        <is>
          <t>virgin;recycled</t>
        </is>
      </c>
      <c r="O30" s="7" t="n"/>
      <c r="P30" s="7" t="inlineStr">
        <is>
          <t>placeholder</t>
        </is>
      </c>
      <c r="Q30" s="7" t="n"/>
    </row>
    <row r="31" ht="16" customHeight="1">
      <c r="A31" s="7" t="inlineStr">
        <is>
          <t>raw_timber</t>
        </is>
      </c>
      <c r="B31" s="7" t="inlineStr">
        <is>
          <t>circularity</t>
        </is>
      </c>
      <c r="C31" s="7" t="inlineStr">
        <is>
          <t>use</t>
        </is>
      </c>
      <c r="D31" s="7" t="inlineStr">
        <is>
          <t>product</t>
        </is>
      </c>
      <c r="E31" s="7" t="n"/>
      <c r="F31" s="7" t="inlineStr">
        <is>
          <t>expected lifetime</t>
        </is>
      </c>
      <c r="G31" s="8" t="inlineStr">
        <is>
          <t>Years the product lasts before any repair</t>
        </is>
      </c>
      <c r="H31" s="7" t="inlineStr">
        <is>
          <t>yrs</t>
        </is>
      </c>
      <c r="I31" s="7" t="n">
        <v>50</v>
      </c>
      <c r="J31" s="7" t="n">
        <v>40</v>
      </c>
      <c r="K31" s="7" t="n">
        <v>60</v>
      </c>
      <c r="L31" s="7" t="n"/>
      <c r="M31" s="7" t="inlineStr">
        <is>
          <t>triangular</t>
        </is>
      </c>
      <c r="N31" s="7" t="n"/>
      <c r="O31" s="7" t="n"/>
      <c r="P31" s="7" t="inlineStr">
        <is>
          <t>placeholder</t>
        </is>
      </c>
      <c r="Q31" s="7" t="n"/>
    </row>
    <row r="32" ht="16" customHeight="1">
      <c r="A32" s="7" t="inlineStr">
        <is>
          <t>raw_timber</t>
        </is>
      </c>
      <c r="B32" s="7" t="inlineStr">
        <is>
          <t>circularity</t>
        </is>
      </c>
      <c r="C32" s="7" t="inlineStr">
        <is>
          <t>use</t>
        </is>
      </c>
      <c r="D32" s="7" t="inlineStr">
        <is>
          <t>product</t>
        </is>
      </c>
      <c r="E32" s="7" t="n"/>
      <c r="F32" s="7" t="inlineStr">
        <is>
          <t>lifetime extension per repair</t>
        </is>
      </c>
      <c r="G32" s="8" t="inlineStr">
        <is>
          <t>Years added to the product's life by one repair</t>
        </is>
      </c>
      <c r="H32" s="7" t="inlineStr">
        <is>
          <t>yrs</t>
        </is>
      </c>
      <c r="I32" s="7" t="n">
        <v>10</v>
      </c>
      <c r="J32" s="7" t="n">
        <v>8</v>
      </c>
      <c r="K32" s="7" t="n">
        <v>12</v>
      </c>
      <c r="L32" s="7" t="n"/>
      <c r="M32" s="7" t="inlineStr">
        <is>
          <t>triangular</t>
        </is>
      </c>
      <c r="N32" s="7" t="n"/>
      <c r="O32" s="7" t="n"/>
      <c r="P32" s="7" t="inlineStr">
        <is>
          <t>placeholder</t>
        </is>
      </c>
      <c r="Q32" s="7" t="n"/>
    </row>
    <row r="33" ht="16" customHeight="1">
      <c r="A33" s="7" t="inlineStr">
        <is>
          <t>raw_timber</t>
        </is>
      </c>
      <c r="B33" s="7" t="inlineStr">
        <is>
          <t>circularity</t>
        </is>
      </c>
      <c r="C33" s="7" t="inlineStr">
        <is>
          <t>repair</t>
        </is>
      </c>
      <c r="D33" s="7" t="inlineStr">
        <is>
          <t>repair material</t>
        </is>
      </c>
      <c r="E33" s="7" t="n"/>
      <c r="F33" s="7" t="inlineStr">
        <is>
          <t>share of product mass per repair</t>
        </is>
      </c>
      <c r="G33" s="8" t="inlineStr">
        <is>
          <t>Mass of material added per repair, as a share of the product mass</t>
        </is>
      </c>
      <c r="H33" s="7" t="inlineStr">
        <is>
          <t>%</t>
        </is>
      </c>
      <c r="I33" s="7" t="n">
        <v>10</v>
      </c>
      <c r="J33" s="7" t="n">
        <v>8</v>
      </c>
      <c r="K33" s="7" t="n">
        <v>12</v>
      </c>
      <c r="L33" s="7" t="n"/>
      <c r="M33" s="7" t="inlineStr">
        <is>
          <t>triangular</t>
        </is>
      </c>
      <c r="N33" s="7" t="n"/>
      <c r="O33" s="7" t="n"/>
      <c r="P33" s="7" t="inlineStr">
        <is>
          <t>placeholder</t>
        </is>
      </c>
      <c r="Q33" s="7" t="n"/>
    </row>
    <row r="34" ht="16" customHeight="1">
      <c r="A34" s="7" t="inlineStr">
        <is>
          <t>raw_timber</t>
        </is>
      </c>
      <c r="B34" s="7" t="inlineStr">
        <is>
          <t>circularity</t>
        </is>
      </c>
      <c r="C34" s="7" t="inlineStr">
        <is>
          <t>end-of-life</t>
        </is>
      </c>
      <c r="D34" s="7" t="inlineStr">
        <is>
          <t>waste</t>
        </is>
      </c>
      <c r="E34" s="7" t="inlineStr">
        <is>
          <t>composted</t>
        </is>
      </c>
      <c r="F34" s="7" t="inlineStr">
        <is>
          <t>share of waste</t>
        </is>
      </c>
      <c r="G34" s="8" t="inlineStr">
        <is>
          <t>Share of the product's end-of-life mass that goes to this route (the routes add up to 100 %): composted</t>
        </is>
      </c>
      <c r="H34" s="7" t="inlineStr">
        <is>
          <t>%</t>
        </is>
      </c>
      <c r="I34" s="7" t="n">
        <v>0</v>
      </c>
      <c r="J34" s="7" t="n">
        <v>0</v>
      </c>
      <c r="K34" s="7" t="n">
        <v>0</v>
      </c>
      <c r="L34" s="7" t="n"/>
      <c r="M34" s="7" t="inlineStr">
        <is>
          <t>fixed</t>
        </is>
      </c>
      <c r="N34" s="7" t="n"/>
      <c r="O34" s="7" t="n"/>
      <c r="P34" s="7" t="inlineStr">
        <is>
          <t>placeholder</t>
        </is>
      </c>
      <c r="Q34" s="7" t="n"/>
    </row>
    <row r="35" ht="32" customHeight="1">
      <c r="A35" s="7" t="inlineStr">
        <is>
          <t>raw_timber</t>
        </is>
      </c>
      <c r="B35" s="7" t="inlineStr">
        <is>
          <t>circularity</t>
        </is>
      </c>
      <c r="C35" s="7" t="inlineStr">
        <is>
          <t>end-of-life</t>
        </is>
      </c>
      <c r="D35" s="7" t="inlineStr">
        <is>
          <t>waste</t>
        </is>
      </c>
      <c r="E35" s="7" t="inlineStr">
        <is>
          <t>recycled_open</t>
        </is>
      </c>
      <c r="F35" s="7" t="inlineStr">
        <is>
          <t>share of waste</t>
        </is>
      </c>
      <c r="G35" s="8" t="inlineStr">
        <is>
          <t>Share of the product's end-of-life mass that goes to this route (the routes add up to 100 %): recycled (open loop)</t>
        </is>
      </c>
      <c r="H35" s="7" t="inlineStr">
        <is>
          <t>%</t>
        </is>
      </c>
      <c r="I35" s="7" t="n">
        <v>0</v>
      </c>
      <c r="J35" s="7" t="n">
        <v>0</v>
      </c>
      <c r="K35" s="7" t="n">
        <v>0</v>
      </c>
      <c r="L35" s="7" t="n"/>
      <c r="M35" s="7" t="inlineStr">
        <is>
          <t>fixed</t>
        </is>
      </c>
      <c r="N35" s="7" t="n"/>
      <c r="O35" s="7" t="n"/>
      <c r="P35" s="7" t="inlineStr">
        <is>
          <t>placeholder</t>
        </is>
      </c>
      <c r="Q35" s="7" t="n"/>
    </row>
    <row r="36" ht="32" customHeight="1">
      <c r="A36" s="7" t="inlineStr">
        <is>
          <t>raw_timber</t>
        </is>
      </c>
      <c r="B36" s="7" t="inlineStr">
        <is>
          <t>circularity</t>
        </is>
      </c>
      <c r="C36" s="7" t="inlineStr">
        <is>
          <t>end-of-life</t>
        </is>
      </c>
      <c r="D36" s="7" t="inlineStr">
        <is>
          <t>waste</t>
        </is>
      </c>
      <c r="E36" s="7" t="inlineStr">
        <is>
          <t>recycled_closed</t>
        </is>
      </c>
      <c r="F36" s="7" t="inlineStr">
        <is>
          <t>share of waste</t>
        </is>
      </c>
      <c r="G36" s="8" t="inlineStr">
        <is>
          <t>Share of the product's end-of-life mass that goes to this route (the routes add up to 100 %): recycled (closed loop)</t>
        </is>
      </c>
      <c r="H36" s="7" t="inlineStr">
        <is>
          <t>%</t>
        </is>
      </c>
      <c r="I36" s="7" t="n">
        <v>20</v>
      </c>
      <c r="J36" s="7" t="n">
        <v>16</v>
      </c>
      <c r="K36" s="7" t="n">
        <v>24</v>
      </c>
      <c r="L36" s="7" t="n"/>
      <c r="M36" s="7" t="inlineStr">
        <is>
          <t>triangular</t>
        </is>
      </c>
      <c r="N36" s="7" t="n"/>
      <c r="O36" s="7" t="n"/>
      <c r="P36" s="7" t="inlineStr">
        <is>
          <t>placeholder</t>
        </is>
      </c>
      <c r="Q36" s="7" t="n"/>
    </row>
    <row r="37" ht="32" customHeight="1">
      <c r="A37" s="7" t="inlineStr">
        <is>
          <t>raw_timber</t>
        </is>
      </c>
      <c r="B37" s="7" t="inlineStr">
        <is>
          <t>circularity</t>
        </is>
      </c>
      <c r="C37" s="7" t="inlineStr">
        <is>
          <t>end-of-life</t>
        </is>
      </c>
      <c r="D37" s="7" t="inlineStr">
        <is>
          <t>waste</t>
        </is>
      </c>
      <c r="E37" s="7" t="inlineStr">
        <is>
          <t>incinerated</t>
        </is>
      </c>
      <c r="F37" s="7" t="inlineStr">
        <is>
          <t>share of waste</t>
        </is>
      </c>
      <c r="G37" s="8" t="inlineStr">
        <is>
          <t>Share of the product's end-of-life mass that goes to this route (the routes add up to 100 %): incinerated with energy recovery</t>
        </is>
      </c>
      <c r="H37" s="7" t="inlineStr">
        <is>
          <t>%</t>
        </is>
      </c>
      <c r="I37" s="7" t="n">
        <v>80</v>
      </c>
      <c r="J37" s="7" t="n">
        <v>64</v>
      </c>
      <c r="K37" s="7" t="n">
        <v>96</v>
      </c>
      <c r="L37" s="7" t="n"/>
      <c r="M37" s="7" t="inlineStr">
        <is>
          <t>triangular</t>
        </is>
      </c>
      <c r="N37" s="7" t="n"/>
      <c r="O37" s="7" t="n"/>
      <c r="P37" s="7" t="inlineStr">
        <is>
          <t>placeholder</t>
        </is>
      </c>
      <c r="Q37" s="7" t="n"/>
    </row>
    <row r="38" ht="32" customHeight="1">
      <c r="A38" s="7" t="inlineStr">
        <is>
          <t>raw_timber</t>
        </is>
      </c>
      <c r="B38" s="7" t="inlineStr">
        <is>
          <t>circularity</t>
        </is>
      </c>
      <c r="C38" s="7" t="inlineStr">
        <is>
          <t>end-of-life</t>
        </is>
      </c>
      <c r="D38" s="7" t="inlineStr">
        <is>
          <t>waste</t>
        </is>
      </c>
      <c r="E38" s="7" t="inlineStr">
        <is>
          <t>landfilled</t>
        </is>
      </c>
      <c r="F38" s="7" t="inlineStr">
        <is>
          <t>share of waste</t>
        </is>
      </c>
      <c r="G38" s="8" t="inlineStr">
        <is>
          <t>Share of the product's end-of-life mass that goes to this route (the routes add up to 100 %): landfilled</t>
        </is>
      </c>
      <c r="H38" s="7" t="inlineStr">
        <is>
          <t>%</t>
        </is>
      </c>
      <c r="I38" s="7" t="n">
        <v>0</v>
      </c>
      <c r="J38" s="7" t="n">
        <v>0</v>
      </c>
      <c r="K38" s="7" t="n">
        <v>0</v>
      </c>
      <c r="L38" s="7" t="n"/>
      <c r="M38" s="7" t="inlineStr">
        <is>
          <t>fixed</t>
        </is>
      </c>
      <c r="N38" s="7" t="n"/>
      <c r="O38" s="7" t="n"/>
      <c r="P38" s="7" t="inlineStr">
        <is>
          <t>placeholder</t>
        </is>
      </c>
      <c r="Q38" s="7" t="n"/>
    </row>
    <row r="39" ht="32" customHeight="1">
      <c r="A39" s="7" t="inlineStr">
        <is>
          <t>raw_timber</t>
        </is>
      </c>
      <c r="B39" s="7" t="inlineStr">
        <is>
          <t>location</t>
        </is>
      </c>
      <c r="C39" s="7" t="inlineStr">
        <is>
          <t>general</t>
        </is>
      </c>
      <c r="D39" s="7" t="inlineStr">
        <is>
          <t>product</t>
        </is>
      </c>
      <c r="E39" s="7" t="n"/>
      <c r="F39" s="7" t="inlineStr">
        <is>
          <t>location</t>
        </is>
      </c>
      <c r="G39" s="8" t="inlineStr">
        <is>
          <t>Country whose electricity mix is used for every process step, and whose grid is displaced by energy recovered at end of life</t>
        </is>
      </c>
      <c r="H39" s="7" t="inlineStr">
        <is>
          <t>country code</t>
        </is>
      </c>
      <c r="I39" s="7" t="inlineStr">
        <is>
          <t>NL</t>
        </is>
      </c>
      <c r="J39" s="7" t="n"/>
      <c r="K39" s="7" t="n"/>
      <c r="L39" s="7" t="n"/>
      <c r="M39" s="7" t="inlineStr">
        <is>
          <t>choice</t>
        </is>
      </c>
      <c r="N39" s="7" t="n"/>
      <c r="O39" s="7" t="n"/>
      <c r="P39" s="7" t="inlineStr">
        <is>
          <t>placeholder</t>
        </is>
      </c>
      <c r="Q39" s="7" t="n"/>
    </row>
    <row r="40" ht="32" customHeight="1"/>
  </sheetData>
  <conditionalFormatting sqref="I2:I244">
    <cfRule type="expression" priority="3" dxfId="0">
      <formula>AND($F2&lt;&gt;"",$I2="")</formula>
    </cfRule>
  </conditionalFormatting>
  <conditionalFormatting sqref="I2:P244">
    <cfRule type="expression" priority="1" dxfId="1">
      <formula>$P2="placeholder"</formula>
    </cfRule>
  </conditionalFormatting>
  <conditionalFormatting sqref="J2:K244">
    <cfRule type="expression" priority="2" dxfId="0">
      <formula>AND(OR($M2="triangular",$M2="uniform"),OR($J2="",$K2=""))</formula>
    </cfRule>
  </conditionalFormatting>
  <dataValidations count="4">
    <dataValidation sqref="B2:B244" showDropDown="0" showInputMessage="0" showErrorMessage="1" allowBlank="1" type="list">
      <formula1>"design,manufacturing,circularity,location"</formula1>
    </dataValidation>
    <dataValidation sqref="C2:C244" showDropDown="0" showInputMessage="0" showErrorMessage="1" allowBlank="1" type="list">
      <formula1>"product size,production,repair,use,end-of-life,general"</formula1>
    </dataValidation>
    <dataValidation sqref="M2:M244" showDropDown="0" showInputMessage="0" showErrorMessage="1" allowBlank="1" type="list">
      <formula1>"fixed,triangular,uniform,choice,combination"</formula1>
    </dataValidation>
    <dataValidation sqref="P2:P244" showDropDown="0" showInputMessage="0" showErrorMessage="1" allowBlank="1" type="list">
      <formula1>"placeholder,partner estimate,measured,literature"</formula1>
    </dataValidation>
  </dataValidations>
  <pageMargins left="0.75" right="0.75" top="1" bottom="1" header="0.5" footer="0.5"/>
</worksheet>
</file>

<file path=xl/worksheets/sheet9.xml><?xml version="1.0" encoding="utf-8"?>
<worksheet xmlns="http://schemas.openxmlformats.org/spreadsheetml/2006/main">
  <sheetPr>
    <tabColor rgb="FF76A5AF"/>
    <outlinePr summaryBelow="1" summaryRight="1"/>
    <pageSetUpPr/>
  </sheetPr>
  <dimension ref="A1:Q30"/>
  <sheetViews>
    <sheetView tabSelected="1" workbookViewId="0">
      <pane xSplit="6" ySplit="1" topLeftCell="G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9" customWidth="1" min="1" max="1"/>
    <col width="15" customWidth="1" min="2" max="2"/>
    <col width="13" customWidth="1" min="3" max="3"/>
    <col width="27" customWidth="1" min="4" max="4"/>
    <col width="17" customWidth="1" min="5" max="5"/>
    <col width="34" customWidth="1" min="6" max="6"/>
    <col width="60" customWidth="1" min="7" max="7"/>
    <col width="14" customWidth="1" min="8" max="8"/>
    <col width="9" customWidth="1" min="9" max="10"/>
    <col width="13" customWidth="1" min="11" max="12"/>
    <col width="17" customWidth="1" min="13" max="13"/>
    <col width="40" customWidth="1" min="14" max="14"/>
    <col width="13" customWidth="1" min="15" max="15"/>
    <col width="40" customWidth="1" min="16" max="16"/>
  </cols>
  <sheetData>
    <row r="1">
      <c r="A1" s="6" t="inlineStr">
        <is>
          <t>case</t>
        </is>
      </c>
      <c r="B1" s="6" t="inlineStr">
        <is>
          <t>group</t>
        </is>
      </c>
      <c r="C1" s="6" t="inlineStr">
        <is>
          <t>stage</t>
        </is>
      </c>
      <c r="D1" s="6" t="inlineStr">
        <is>
          <t>item</t>
        </is>
      </c>
      <c r="E1" s="6" t="inlineStr">
        <is>
          <t>qualifier</t>
        </is>
      </c>
      <c r="F1" s="6" t="inlineStr">
        <is>
          <t>parameter</t>
        </is>
      </c>
      <c r="G1" s="6" t="inlineStr">
        <is>
          <t>description</t>
        </is>
      </c>
      <c r="H1" s="6" t="inlineStr">
        <is>
          <t>unit</t>
        </is>
      </c>
      <c r="I1" s="6" t="inlineStr">
        <is>
          <t>typical</t>
        </is>
      </c>
      <c r="J1" s="6" t="inlineStr">
        <is>
          <t>min</t>
        </is>
      </c>
      <c r="K1" s="6" t="inlineStr">
        <is>
          <t>max</t>
        </is>
      </c>
      <c r="L1" s="6" t="inlineStr">
        <is>
          <t>scaled_up</t>
        </is>
      </c>
      <c r="M1" s="6" t="inlineStr">
        <is>
          <t>distribution</t>
        </is>
      </c>
      <c r="N1" s="6" t="inlineStr">
        <is>
          <t>choices</t>
        </is>
      </c>
      <c r="O1" s="6" t="inlineStr">
        <is>
          <t>source</t>
        </is>
      </c>
      <c r="P1" s="6" t="inlineStr">
        <is>
          <t>status</t>
        </is>
      </c>
      <c r="Q1" s="6" t="inlineStr">
        <is>
          <t>comments</t>
        </is>
      </c>
    </row>
    <row r="2" ht="16" customHeight="1">
      <c r="A2" s="7" t="inlineStr">
        <is>
          <t>raw_cfw</t>
        </is>
      </c>
      <c r="B2" s="7" t="inlineStr">
        <is>
          <t>design</t>
        </is>
      </c>
      <c r="C2" s="7" t="inlineStr">
        <is>
          <t>product size</t>
        </is>
      </c>
      <c r="D2" s="7" t="inlineStr">
        <is>
          <t>product</t>
        </is>
      </c>
      <c r="E2" s="7" t="n"/>
      <c r="F2" s="7" t="inlineStr">
        <is>
          <t>fibre_length_per_span</t>
        </is>
      </c>
      <c r="G2" s="7" t="inlineStr">
        <is>
          <t>Metres of fibre wound per metre of beam span</t>
        </is>
      </c>
      <c r="H2" s="7" t="inlineStr">
        <is>
          <t>m/m</t>
        </is>
      </c>
      <c r="I2" s="7" t="n">
        <v>550</v>
      </c>
      <c r="J2" s="7" t="n">
        <v>400</v>
      </c>
      <c r="K2" s="7" t="n">
        <v>800</v>
      </c>
      <c r="L2" s="7" t="n"/>
      <c r="M2" s="7" t="inlineStr">
        <is>
          <t>triangular</t>
        </is>
      </c>
      <c r="N2" s="7" t="n"/>
      <c r="O2" s="7" t="inlineStr">
        <is>
          <t>Value kept from the earlier sheet ("Stuttgart paper" numbers, original source not traceable). Plausibility check: Duque Estrada et al. 2026, Sci. Rep. 16:8154 (dual-robot CFW flax-timber pavilion): long-span plate = ~3,830 m of total roving over a ~7.5 m span = ~510 m per m of span (a plate, not a beam; width not given). Di Bari et al. 2026, "Unveiling the Environmental Impacts of Coreless Filament Winding" (LCA of a flax/epoxy CFW roving) gives no span or element data.</t>
        </is>
      </c>
      <c r="P2" s="7" t="inlineStr">
        <is>
          <t>partner estimate</t>
        </is>
      </c>
      <c r="Q2" s="7" t="inlineStr">
        <is>
          <t>Metres of ROVING per metre of span, counting every roving. It does not change with the number of rovings wound at the same time: Di Bari and Duque Estrada both define total roving length = length x rovings x passes, so winding 1 roving at a time (our in-line sensing case) instead of 6 (Di Bari) or 12 (Duque Estrada) gives the same 550 m/m and the same beam mass; only the winding TIME changes (see the winding output rate). Range widened from 440-660 to 400-800 m/m because the value depends on the load and design of the beam. Claude has not been able to verify the 550; best check = total roving length and cured mass of the partners' 1 m demonstrator.</t>
        </is>
      </c>
    </row>
    <row r="3" ht="16" customHeight="1">
      <c r="A3" s="7" t="inlineStr">
        <is>
          <t>raw_cfw</t>
        </is>
      </c>
      <c r="B3" s="7" t="inlineStr">
        <is>
          <t>design</t>
        </is>
      </c>
      <c r="C3" s="7" t="inlineStr">
        <is>
          <t>product size</t>
        </is>
      </c>
      <c r="D3" s="7" t="inlineStr">
        <is>
          <t>product</t>
        </is>
      </c>
      <c r="E3" s="7" t="n"/>
      <c r="F3" s="7" t="inlineStr">
        <is>
          <t>fibre_mass_per_length</t>
        </is>
      </c>
      <c r="G3" s="7" t="inlineStr">
        <is>
          <t>Mass of one metre of fibre (incl. resin)</t>
        </is>
      </c>
      <c r="H3" s="7" t="inlineStr">
        <is>
          <t>kg/m</t>
        </is>
      </c>
      <c r="I3" s="7" t="n">
        <v>0.0057</v>
      </c>
      <c r="J3" s="7" t="n">
        <v>0.0048</v>
      </c>
      <c r="K3" s="7" t="n">
        <v>0.016</v>
      </c>
      <c r="L3" s="7" t="n"/>
      <c r="M3" s="7" t="inlineStr">
        <is>
          <t>triangular</t>
        </is>
      </c>
      <c r="N3" s="7" t="n"/>
      <c r="O3" s="7" t="inlineStr">
        <is>
          <t>Di Bari et al. 2026, "Unveiling the Environmental Impacts of Coreless Filament Winding" (LCA of a flax/epoxy CFW roving), Sec. 3.1 and Table 5: flax roving TEX 2400 (2.4 g/m) at a fibre mass ratio of 42% (Eq. 3) = 5.7 g of composite per m of roving (2.4 g fibre + 3.3 g resin at 1.18 g/cm3). Hardener and UV additives excluded, resin loss 0. Check: Di Bari Table 7 gives the resin 1.72e-2 kg CO2e per m of roving; divided by ~5.2 kg CO2e/kg (footprint of the partly bio-based resin implied by Duque Estrada et al. 2026, Sci. Rep. 16:8154: 4,220 kg CO2e/t saving = 44.9% below conventional epoxy) this is ~3.3 g resin per m, which equals what FMR 42% gives for 2.4 g of fibre (2.4 x (1/0.42 - 1) = 3.3 g). Table 5's 13.6 g of resin would give only ~1.3 kg CO2e/kg.</t>
        </is>
      </c>
      <c r="P3" s="7" t="inlineStr">
        <is>
          <t>literature</t>
        </is>
      </c>
      <c r="Q3" s="7" t="inlineStr">
        <is>
          <t>Composite mass per metre of ROVING (fibre + resin) = 0.0057 kg/m, so 1 m of span = 550 m x 0.0057 = 3.1 kg. History: original sheet value 0.006 (unsourced, probably this same Eq. 3); v11/v12 used 0.016 (Table 5: 2.4 g + 13.6 g resin); changed back after the back-calculation in the source column showed that Di Bari's impact results use ~3.3 g resin/m, so Table 5's 13.6 g looks like a typo. Caveat: this is an inference using a resin footprint from a different paper, not proven. CONFLICT with the partners' verbal resin dose (10 ml/m = 11.8 g, i.e. ~14.2 g/m in total, inside the max of this range); Tanya prefers Di Bari over the partners' estimate. Best check: weigh a cured 1 m roving or the partners' demonstrator. Min 0.0048 = ~15% lighter (low resin uptake); max 0.016 = Table 5 reading. Hemp assumed to have the same linear density as Di Bari's flax (TEX 2400); the partners did not give a hemp TEX.</t>
        </is>
      </c>
    </row>
    <row r="4" ht="32" customHeight="1">
      <c r="A4" s="7" t="inlineStr">
        <is>
          <t>raw_cfw</t>
        </is>
      </c>
      <c r="B4" s="7" t="inlineStr">
        <is>
          <t>design</t>
        </is>
      </c>
      <c r="C4" s="7" t="inlineStr">
        <is>
          <t>production</t>
        </is>
      </c>
      <c r="D4" s="7" t="inlineStr">
        <is>
          <t>Hemp fiber</t>
        </is>
      </c>
      <c r="E4" s="7" t="inlineStr">
        <is>
          <t>virgin</t>
        </is>
      </c>
      <c r="F4" s="7" t="inlineStr">
        <is>
          <t>share of input mass</t>
        </is>
      </c>
      <c r="G4" s="8" t="inlineStr">
        <is>
          <t>Share of the production input mass made of this material (virgin); the shares of one stage add up to 100 %</t>
        </is>
      </c>
      <c r="H4" s="7" t="inlineStr">
        <is>
          <t>%</t>
        </is>
      </c>
      <c r="I4" s="7" t="n">
        <v>42</v>
      </c>
      <c r="J4" s="7" t="n">
        <v>15</v>
      </c>
      <c r="K4" s="7" t="n">
        <v>50</v>
      </c>
      <c r="L4" s="7" t="n"/>
      <c r="M4" s="7" t="inlineStr">
        <is>
          <t>triangular</t>
        </is>
      </c>
      <c r="N4" s="7" t="n"/>
      <c r="O4" s="7" t="inlineStr">
        <is>
          <t>Di Bari et al. 2026, "Unveiling the Environmental Impacts of Coreless Filament Winding" (LCA of a flax/epoxy CFW roving), Sec. 4.1: fibre mass ratio (FMR) 42%; lower bound 15% = Table 5 reading (2.4 g fibre / 16 g composite). Check: Di Bari Table 7 gives the resin 1.72e-2 kg CO2e per m of roving; divided by ~5.2 kg CO2e/kg (footprint of the partly bio-based resin implied by Duque Estrada et al. 2026, Sci. Rep. 16:8154: 4,220 kg CO2e/t saving = 44.9% below conventional epoxy) this is ~3.3 g resin per m, which equals what FMR 42% gives for 2.4 g of fibre (2.4 x (1/0.42 - 1) = 3.3 g). Table 5's 13.6 g of resin would give only ~1.3 kg CO2e/kg.</t>
        </is>
      </c>
      <c r="P4" s="7" t="inlineStr">
        <is>
          <t>literature</t>
        </is>
      </c>
      <c r="Q4" s="7" t="inlineStr">
        <is>
          <t>Hemp share = 42%: Di Bari's stated FMR, which their impact results are consistent with (see source). v11/v12 used 15% (Table 5 reading), the original sheet 60%. Hemp replaces Di Bari's flax at the same 2.4 g/m (assumption). Min 15% = Table 5 / partners' resin dose (10 ml/m); max 50% = a little less resin. No coating or extra fillers, as agreed with Tanya.</t>
        </is>
      </c>
    </row>
    <row r="5" ht="32" customHeight="1">
      <c r="A5" s="7" t="inlineStr">
        <is>
          <t>raw_cfw</t>
        </is>
      </c>
      <c r="B5" s="7" t="inlineStr">
        <is>
          <t>design</t>
        </is>
      </c>
      <c r="C5" s="7" t="inlineStr">
        <is>
          <t>production</t>
        </is>
      </c>
      <c r="D5" s="7" t="inlineStr">
        <is>
          <t>Fiber glue (epoxy resin)</t>
        </is>
      </c>
      <c r="E5" s="7" t="inlineStr">
        <is>
          <t>virgin</t>
        </is>
      </c>
      <c r="F5" s="7" t="inlineStr">
        <is>
          <t>share of input mass</t>
        </is>
      </c>
      <c r="G5" s="8" t="inlineStr">
        <is>
          <t>Share of the production input mass made of this material (virgin); the shares of one stage add up to 100 %</t>
        </is>
      </c>
      <c r="H5" s="7" t="inlineStr">
        <is>
          <t>%</t>
        </is>
      </c>
      <c r="I5" s="7" t="n">
        <v>58</v>
      </c>
      <c r="J5" s="7" t="n">
        <v>50</v>
      </c>
      <c r="K5" s="7" t="n">
        <v>85</v>
      </c>
      <c r="L5" s="7" t="n"/>
      <c r="M5" s="7" t="inlineStr">
        <is>
          <t>triangular</t>
        </is>
      </c>
      <c r="N5" s="7" t="n"/>
      <c r="O5" s="7" t="inlineStr">
        <is>
          <t>Di Bari et al. 2026, "Unveiling the Environmental Impacts of Coreless Filament Winding" (LCA of a flax/epoxy CFW roving), Sec. 4.1: FMR 42% means 58% resin by mass (3.3 g per 2.4 g of fibre). Partners: 10 ml/m of non-bio-based resin (= 11.8 g/m) would give ~83%, the upper bound.</t>
        </is>
      </c>
      <c r="P5" s="7" t="inlineStr">
        <is>
          <t>literature</t>
        </is>
      </c>
      <c r="Q5" s="7" t="inlineStr">
        <is>
          <t>Epoxy share = 58% (complement of the hemp share; v11/v12 had 85%). The partners use a non-bio-based epoxy (Di Bari's GreenPoxy 56 is 51% bio-based); only its density (1.18 g/cm3) comes from the paper. The hardener is assumed to be included in the dose (Duque Estrada mix 100:30 by weight; not modelled separately). Check that "Fiber glue (epoxy resin)" on unit_burdens_dataSources is a fossil epoxy. Shares are re-normalised by the model.</t>
        </is>
      </c>
    </row>
    <row r="6" ht="32" customHeight="1">
      <c r="A6" s="7" t="inlineStr">
        <is>
          <t>raw_cfw</t>
        </is>
      </c>
      <c r="B6" s="7" t="inlineStr">
        <is>
          <t>manufacturing</t>
        </is>
      </c>
      <c r="C6" s="7" t="inlineStr">
        <is>
          <t>production</t>
        </is>
      </c>
      <c r="D6" s="7" t="inlineStr">
        <is>
          <t>In-line sensing</t>
        </is>
      </c>
      <c r="E6" s="7" t="n"/>
      <c r="F6" s="7" t="inlineStr">
        <is>
          <t>machine weight</t>
        </is>
      </c>
      <c r="G6" s="8" t="inlineStr">
        <is>
          <t>Weight of the machine used in this step (used to account for machine wear)</t>
        </is>
      </c>
      <c r="H6" s="7" t="inlineStr">
        <is>
          <t>kg</t>
        </is>
      </c>
      <c r="I6" s="7" t="n">
        <v>1</v>
      </c>
      <c r="J6" s="7" t="n">
        <v>0.5</v>
      </c>
      <c r="K6" s="7" t="n">
        <v>2</v>
      </c>
      <c r="L6" s="7" t="n">
        <v>5</v>
      </c>
      <c r="M6" s="7" t="inlineStr">
        <is>
          <t>triangular</t>
        </is>
      </c>
      <c r="N6" s="7" t="n"/>
      <c r="O6" s="7" t="inlineStr">
        <is>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Box + camera + board + mount ~1 kg (Claude estimate); scaled-up ~5 kg (assumption).</t>
        </is>
      </c>
      <c r="P6" s="7" t="inlineStr">
        <is>
          <t>partner estimate</t>
        </is>
      </c>
      <c r="Q6" s="7" t="inlineStr">
        <is>
          <t>Was 800 kg (placeholder for the braiding/rope machine). No braiding/rope machine is included: in-line sensing needs one roving at a time, so the roving is not twisted into a rope (Tanya, partner info). The old "Rope production" step is now this sensing step.</t>
        </is>
      </c>
    </row>
    <row r="7" ht="32" customHeight="1">
      <c r="A7" s="7" t="inlineStr">
        <is>
          <t>raw_cfw</t>
        </is>
      </c>
      <c r="B7" s="7" t="inlineStr">
        <is>
          <t>manufacturing</t>
        </is>
      </c>
      <c r="C7" s="7" t="inlineStr">
        <is>
          <t>production</t>
        </is>
      </c>
      <c r="D7" s="7" t="inlineStr">
        <is>
          <t>In-line sensing</t>
        </is>
      </c>
      <c r="E7" s="7" t="n"/>
      <c r="F7" s="7" t="inlineStr">
        <is>
          <t>power</t>
        </is>
      </c>
      <c r="G7" s="8" t="inlineStr">
        <is>
          <t>Electric power the machine draws while running</t>
        </is>
      </c>
      <c r="H7" s="7" t="inlineStr">
        <is>
          <t>kW</t>
        </is>
      </c>
      <c r="I7" s="7" t="n">
        <v>0.005</v>
      </c>
      <c r="J7" s="7" t="n">
        <v>0.003</v>
      </c>
      <c r="K7" s="7" t="n">
        <v>0.01</v>
      </c>
      <c r="L7" s="7" t="n">
        <v>0.03</v>
      </c>
      <c r="M7" s="7" t="inlineStr">
        <is>
          <t>triangular</t>
        </is>
      </c>
      <c r="N7" s="7" t="n"/>
      <c r="O7" s="7" t="inlineStr">
        <is>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Raspberry-Pi-class board 3-8 W + camera + LED light = ~5 W (typical board specs, not retrieved); scaled-up ~30 W for an industrial camera + edge computer (assumption).</t>
        </is>
      </c>
      <c r="P7" s="7" t="inlineStr">
        <is>
          <t>partner estimate</t>
        </is>
      </c>
      <c r="Q7" s="7" t="inlineStr">
        <is>
          <t>Was 3 kW. ~5 W is negligible next to the robot (0.67 kW); energy check: 0.005 kW / 4.1 kg/h = 1.2 Wh/kg. Scaled-up 30 W is a guess.</t>
        </is>
      </c>
    </row>
    <row r="8" ht="16" customHeight="1">
      <c r="A8" s="7" t="inlineStr">
        <is>
          <t>raw_cfw</t>
        </is>
      </c>
      <c r="B8" s="7" t="inlineStr">
        <is>
          <t>manufacturing</t>
        </is>
      </c>
      <c r="C8" s="7" t="inlineStr">
        <is>
          <t>production</t>
        </is>
      </c>
      <c r="D8" s="7" t="inlineStr">
        <is>
          <t>In-line sensing</t>
        </is>
      </c>
      <c r="E8" s="7" t="n"/>
      <c r="F8" s="7" t="inlineStr">
        <is>
          <t>output rate</t>
        </is>
      </c>
      <c r="G8" s="8" t="inlineStr">
        <is>
          <t>Mass of material the machine processes per hour</t>
        </is>
      </c>
      <c r="H8" s="7" t="inlineStr">
        <is>
          <t>kg/hr</t>
        </is>
      </c>
      <c r="I8" s="7" t="n">
        <v>4.1</v>
      </c>
      <c r="J8" s="7" t="n">
        <v>3.1</v>
      </c>
      <c r="K8" s="7" t="n">
        <v>5.1</v>
      </c>
      <c r="L8" s="7" t="n">
        <v>10.3</v>
      </c>
      <c r="M8" s="7" t="inlineStr">
        <is>
          <t>triangular</t>
        </is>
      </c>
      <c r="N8" s="7" t="n"/>
      <c r="O8" s="7" t="inlineStr">
        <is>
          <t>Partners (verbal): roving passes the sensor at ~20 cm/s. 0.2 m/s x 3600 s/h x 0.0057 kg composite per m of roving (Di Bari Sec. 3.1) = 4.1 kg/h; min/max = 0.15-0.25 m/s; scaled-up 0.5 m/s = 10.3 kg/h (assumption: faster camera/processing, still below Di Bari's 1.0 m/s robot speed).</t>
        </is>
      </c>
      <c r="P8" s="7" t="inlineStr">
        <is>
          <t>partner estimate</t>
        </is>
      </c>
      <c r="Q8" s="7" t="inlineStr">
        <is>
          <t>Was 20 kg/h (placeholder), 11.5 kg/h in v11/v12 (based on 0.016 kg/m). The model counts time per kg of PRODUCT (composite) mass for every step, so the sensor gets the same composite-mass rate as the winding step (the sensor itself only sees the ~1.7 kg/h of dry roving). Scaled-up 0.5 m/s is Claude's assumption.</t>
        </is>
      </c>
    </row>
    <row r="9" ht="16" customHeight="1">
      <c r="A9" s="7" t="inlineStr">
        <is>
          <t>raw_cfw</t>
        </is>
      </c>
      <c r="B9" s="7" t="inlineStr">
        <is>
          <t>manufacturing</t>
        </is>
      </c>
      <c r="C9" s="7" t="inlineStr">
        <is>
          <t>production</t>
        </is>
      </c>
      <c r="D9" s="7" t="inlineStr">
        <is>
          <t>In-line sensing</t>
        </is>
      </c>
      <c r="E9" s="7" t="n"/>
      <c r="F9" s="7" t="inlineStr">
        <is>
          <t>machine lifetime</t>
        </is>
      </c>
      <c r="G9" s="8" t="inlineStr">
        <is>
          <t>Operating hours before the machine is worn out</t>
        </is>
      </c>
      <c r="H9" s="7" t="inlineStr">
        <is>
          <t>hrs</t>
        </is>
      </c>
      <c r="I9" s="7" t="n">
        <v>10000</v>
      </c>
      <c r="J9" s="7" t="n">
        <v>5000</v>
      </c>
      <c r="K9" s="7" t="n">
        <v>20000</v>
      </c>
      <c r="L9" s="7" t="n">
        <v>25000</v>
      </c>
      <c r="M9" s="7" t="inlineStr">
        <is>
          <t>triangular</t>
        </is>
      </c>
      <c r="N9" s="7" t="n"/>
      <c r="O9" s="7" t="inlineStr">
        <is>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Consumer single-board computer/camera used ~1,500 h/y for ~7 y = ~10,000 h (Claude estimate); industrial vision system ~25,000 h (assumption).</t>
        </is>
      </c>
      <c r="P9" s="7" t="inlineStr">
        <is>
          <t>partner estimate</t>
        </is>
      </c>
      <c r="Q9" s="7" t="inlineStr">
        <is>
          <t>Was 50,000 h. Low-cost electronics are not built for a mill duty cycle, so 10,000 h; the effect on results is negligible either way (machine is ~1 kg).</t>
        </is>
      </c>
    </row>
    <row r="10" ht="16" customHeight="1">
      <c r="A10" s="7" t="inlineStr">
        <is>
          <t>raw_cfw</t>
        </is>
      </c>
      <c r="B10" s="7" t="inlineStr">
        <is>
          <t>manufacturing</t>
        </is>
      </c>
      <c r="C10" s="7" t="inlineStr">
        <is>
          <t>production</t>
        </is>
      </c>
      <c r="D10" s="7" t="inlineStr">
        <is>
          <t>In-line sensing</t>
        </is>
      </c>
      <c r="E10" s="7" t="n"/>
      <c r="F10" s="7" t="inlineStr">
        <is>
          <t>process yield</t>
        </is>
      </c>
      <c r="G10" s="8" t="inlineStr">
        <is>
          <t>Share of the material entering this step that leaves it as usable output (the rest is waste)</t>
        </is>
      </c>
      <c r="H10" s="7" t="inlineStr">
        <is>
          <t>%</t>
        </is>
      </c>
      <c r="I10" s="7" t="n">
        <v>100</v>
      </c>
      <c r="J10" s="7" t="n">
        <v>98</v>
      </c>
      <c r="K10" s="7" t="n">
        <v>100</v>
      </c>
      <c r="L10" s="7" t="n"/>
      <c r="M10" s="7" t="inlineStr">
        <is>
          <t>triangular</t>
        </is>
      </c>
      <c r="N10" s="7" t="n"/>
      <c r="O10" s="7" t="inlineStr">
        <is>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The sensor only reads the roving and consumes no material (98% minimum allows for cutting out defective roving; assumption).</t>
        </is>
      </c>
      <c r="P10" s="7" t="inlineStr">
        <is>
          <t>partner estimate</t>
        </is>
      </c>
      <c r="Q10" s="7" t="inlineStr">
        <is>
          <t>Was 95%. Sensing is non-destructive, so no material is lost here.</t>
        </is>
      </c>
    </row>
    <row r="11" ht="16" customHeight="1">
      <c r="A11" s="7" t="inlineStr">
        <is>
          <t>raw_cfw</t>
        </is>
      </c>
      <c r="B11" s="7" t="inlineStr">
        <is>
          <t>manufacturing</t>
        </is>
      </c>
      <c r="C11" s="7" t="inlineStr">
        <is>
          <t>production</t>
        </is>
      </c>
      <c r="D11" s="7" t="inlineStr">
        <is>
          <t>In-line sensing</t>
        </is>
      </c>
      <c r="E11" s="7" t="n"/>
      <c r="F11" s="7" t="inlineStr">
        <is>
          <t>machine source</t>
        </is>
      </c>
      <c r="G11" s="8" t="inlineStr">
        <is>
          <t>Whether the machine is new (virgin) or reused/recycled (recycled)</t>
        </is>
      </c>
      <c r="H11" s="7" t="inlineStr">
        <is>
          <t>-</t>
        </is>
      </c>
      <c r="I11" s="7" t="inlineStr">
        <is>
          <t>virgin</t>
        </is>
      </c>
      <c r="J11" s="7" t="n"/>
      <c r="K11" s="7" t="n"/>
      <c r="L11" s="7" t="n"/>
      <c r="M11" s="7" t="inlineStr">
        <is>
          <t>choice</t>
        </is>
      </c>
      <c r="N11" s="7" t="inlineStr">
        <is>
          <t>virgin;recycled</t>
        </is>
      </c>
      <c r="O11" s="7" t="inlineStr">
        <is>
          <t>Assumed new (virgin) machines.</t>
        </is>
      </c>
      <c r="P11" s="7" t="inlineStr">
        <is>
          <t>partner estimate</t>
        </is>
      </c>
      <c r="Q11" s="7" t="inlineStr">
        <is>
          <t>Kept as virgin: the sensing unit, robot and oven are assumed to be bought new (same convention as the other RAW cases).</t>
        </is>
      </c>
    </row>
    <row r="12" ht="32" customHeight="1">
      <c r="A12" s="7" t="inlineStr">
        <is>
          <t>raw_cfw</t>
        </is>
      </c>
      <c r="B12" s="7" t="inlineStr">
        <is>
          <t>manufacturing</t>
        </is>
      </c>
      <c r="C12" s="7" t="inlineStr">
        <is>
          <t>production</t>
        </is>
      </c>
      <c r="D12" s="7" t="inlineStr">
        <is>
          <t>Coreless filament winding</t>
        </is>
      </c>
      <c r="E12" s="7" t="n"/>
      <c r="F12" s="7" t="inlineStr">
        <is>
          <t>machine weight</t>
        </is>
      </c>
      <c r="G12" s="8" t="inlineStr">
        <is>
          <t>Weight of the machine used in this step (used to account for machine wear)</t>
        </is>
      </c>
      <c r="H12" s="7" t="inlineStr">
        <is>
          <t>kg</t>
        </is>
      </c>
      <c r="I12" s="7" t="n">
        <v>1150</v>
      </c>
      <c r="J12" s="7" t="n">
        <v>1000</v>
      </c>
      <c r="K12" s="7" t="n">
        <v>1300</v>
      </c>
      <c r="L12" s="7" t="n">
        <v>1150</v>
      </c>
      <c r="M12" s="7" t="inlineStr">
        <is>
          <t>triangular</t>
        </is>
      </c>
      <c r="N12" s="7" t="n"/>
      <c r="O12" s="7" t="inlineStr">
        <is>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KUKA KR 210 R2700 weighs 1,111 kg (Exapro used-robot listing) + ~40 kg for end-effector, pump, resin reservoir and controller (Claude estimate). Temporary winding frames are excluded (as in Di Bari). Scaled-up: same robot.</t>
        </is>
      </c>
      <c r="P12" s="7" t="inlineStr">
        <is>
          <t>partner estimate</t>
        </is>
      </c>
      <c r="Q12" s="7" t="inlineStr">
        <is>
          <t>Was 3000 kg (placeholder). Dominated by the robot; the pump (~0.5 kg) is negligible.</t>
        </is>
      </c>
    </row>
    <row r="13" ht="16" customHeight="1">
      <c r="A13" s="7" t="inlineStr">
        <is>
          <t>raw_cfw</t>
        </is>
      </c>
      <c r="B13" s="7" t="inlineStr">
        <is>
          <t>manufacturing</t>
        </is>
      </c>
      <c r="C13" s="7" t="inlineStr">
        <is>
          <t>production</t>
        </is>
      </c>
      <c r="D13" s="7" t="inlineStr">
        <is>
          <t>Coreless filament winding</t>
        </is>
      </c>
      <c r="E13" s="7" t="n"/>
      <c r="F13" s="7" t="inlineStr">
        <is>
          <t>power</t>
        </is>
      </c>
      <c r="G13" s="8" t="inlineStr">
        <is>
          <t>Electric power the machine draws while running</t>
        </is>
      </c>
      <c r="H13" s="7" t="inlineStr">
        <is>
          <t>kW</t>
        </is>
      </c>
      <c r="I13" s="7" t="n">
        <v>0.67</v>
      </c>
      <c r="J13" s="7" t="n">
        <v>0.61</v>
      </c>
      <c r="K13" s="7" t="n">
        <v>0.87</v>
      </c>
      <c r="L13" s="7" t="n">
        <v>0.74</v>
      </c>
      <c r="M13" s="7" t="inlineStr">
        <is>
          <t>triangular</t>
        </is>
      </c>
      <c r="N13" s="7" t="n"/>
      <c r="O13" s="7" t="inlineStr">
        <is>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Di Bari Sec. 3.3: 0.61 kW at 0.041 m/s and 0.85 kW at 1.0 m/s. Linear interpolation to 0.2 m/s = 0.65 kW, + 0.015 kW for the peristaltic pump (Di Bari Table 1: 1.94 Wh/L x ~7 L/h = ~14 W). Scaled-up 0.5 m/s: 0.72 + 0.015 = 0.74 kW.</t>
        </is>
      </c>
      <c r="P13" s="7" t="inlineStr">
        <is>
          <t>partner estimate</t>
        </is>
      </c>
      <c r="Q13" s="7" t="inlineStr">
        <is>
          <t>Was 6 kW. Energy check: 0.67 kW / 0.2 m/s = 3.4e-3 MJ per m of roving, about 4x Di Bari's 0.85e-3 MJ/m, because our robot moves 5x slower (sensor-limited) at almost the same power. Scaled-up 0.74 kW follows from the assumed 0.5 m/s.</t>
        </is>
      </c>
    </row>
    <row r="14" ht="16" customHeight="1">
      <c r="A14" s="7" t="inlineStr">
        <is>
          <t>raw_cfw</t>
        </is>
      </c>
      <c r="B14" s="7" t="inlineStr">
        <is>
          <t>manufacturing</t>
        </is>
      </c>
      <c r="C14" s="7" t="inlineStr">
        <is>
          <t>production</t>
        </is>
      </c>
      <c r="D14" s="7" t="inlineStr">
        <is>
          <t>Coreless filament winding</t>
        </is>
      </c>
      <c r="E14" s="7" t="n"/>
      <c r="F14" s="7" t="inlineStr">
        <is>
          <t>output rate</t>
        </is>
      </c>
      <c r="G14" s="8" t="inlineStr">
        <is>
          <t>Mass of material the machine processes per hour</t>
        </is>
      </c>
      <c r="H14" s="7" t="inlineStr">
        <is>
          <t>kg/hr</t>
        </is>
      </c>
      <c r="I14" s="7" t="n">
        <v>4.1</v>
      </c>
      <c r="J14" s="7" t="n">
        <v>3.1</v>
      </c>
      <c r="K14" s="7" t="n">
        <v>5.1</v>
      </c>
      <c r="L14" s="7" t="n">
        <v>10.3</v>
      </c>
      <c r="M14" s="7" t="inlineStr">
        <is>
          <t>triangular</t>
        </is>
      </c>
      <c r="N14" s="7" t="n"/>
      <c r="O14" s="7" t="inlineStr">
        <is>
          <t>0.2 m/s (partners: speed set by the in-line sensor) x 3600 x 0.0057 kg composite per m of roving (Di Bari Sec. 3.1) = 4.1 kg/h; min/max = 0.15-0.25 m/s; scaled-up 0.5 m/s = 10.3 kg/h (assumption).</t>
        </is>
      </c>
      <c r="P14" s="7" t="inlineStr">
        <is>
          <t>partner estimate</t>
        </is>
      </c>
      <c r="Q14" s="7" t="inlineStr">
        <is>
          <t>Was 4 kg/h (placeholder), 11.5 kg/h in v11/v12. Winding time per metre of span = 550 m / 0.2 m/s = ~46 min, versus ~1.5 min for Di Bari (6 rovings wound together at 1.0 m/s): ~30x longer, of which 6x is one roving instead of six and 5x is the lower speed. Energy check: 0.67 kW / 4.1 kg/h = 0.16 kWh/kg. Scaled-up 0.5 m/s is Claude's assumption.</t>
        </is>
      </c>
    </row>
    <row r="15" ht="16" customHeight="1">
      <c r="A15" s="7" t="inlineStr">
        <is>
          <t>raw_cfw</t>
        </is>
      </c>
      <c r="B15" s="7" t="inlineStr">
        <is>
          <t>manufacturing</t>
        </is>
      </c>
      <c r="C15" s="7" t="inlineStr">
        <is>
          <t>production</t>
        </is>
      </c>
      <c r="D15" s="7" t="inlineStr">
        <is>
          <t>Coreless filament winding</t>
        </is>
      </c>
      <c r="E15" s="7" t="n"/>
      <c r="F15" s="7" t="inlineStr">
        <is>
          <t>machine lifetime</t>
        </is>
      </c>
      <c r="G15" s="8" t="inlineStr">
        <is>
          <t>Operating hours before the machine is worn out</t>
        </is>
      </c>
      <c r="H15" s="7" t="inlineStr">
        <is>
          <t>hrs</t>
        </is>
      </c>
      <c r="I15" s="7" t="n">
        <v>36000</v>
      </c>
      <c r="J15" s="7" t="n">
        <v>30000</v>
      </c>
      <c r="K15" s="7" t="n">
        <v>45000</v>
      </c>
      <c r="L15" s="7" t="n">
        <v>36000</v>
      </c>
      <c r="M15" s="7" t="inlineStr">
        <is>
          <t>triangular</t>
        </is>
      </c>
      <c r="N15" s="7" t="n"/>
      <c r="O15" s="7" t="inlineStr">
        <is>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Robot lifetime 36,000 h from the robot LCA (Robotics 2021) used on lci_raw_biopol.</t>
        </is>
      </c>
      <c r="P15" s="7" t="inlineStr">
        <is>
          <t>partner estimate</t>
        </is>
      </c>
      <c r="Q15" s="7" t="inlineStr">
        <is>
          <t>Was 50,000 h. Same robot lifetime as used for the biopol printing robot; the scaled-up machine is the same robot, so unchanged.</t>
        </is>
      </c>
    </row>
    <row r="16" ht="16" customHeight="1">
      <c r="A16" s="7" t="inlineStr">
        <is>
          <t>raw_cfw</t>
        </is>
      </c>
      <c r="B16" s="7" t="inlineStr">
        <is>
          <t>manufacturing</t>
        </is>
      </c>
      <c r="C16" s="7" t="inlineStr">
        <is>
          <t>production</t>
        </is>
      </c>
      <c r="D16" s="7" t="inlineStr">
        <is>
          <t>Coreless filament winding</t>
        </is>
      </c>
      <c r="E16" s="7" t="n"/>
      <c r="F16" s="7" t="inlineStr">
        <is>
          <t>process yield</t>
        </is>
      </c>
      <c r="G16" s="8" t="inlineStr">
        <is>
          <t>Share of the material entering this step that leaves it as usable output (the rest is waste)</t>
        </is>
      </c>
      <c r="H16" s="7" t="inlineStr">
        <is>
          <t>%</t>
        </is>
      </c>
      <c r="I16" s="7" t="n">
        <v>95</v>
      </c>
      <c r="J16" s="7" t="n">
        <v>90</v>
      </c>
      <c r="K16" s="7" t="n">
        <v>100</v>
      </c>
      <c r="L16" s="7" t="n"/>
      <c r="M16" s="7" t="inlineStr">
        <is>
          <t>triangular</t>
        </is>
      </c>
      <c r="N16" s="7" t="n"/>
      <c r="O16" s="7" t="inlineStr">
        <is>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Claude estimate: resin dripping, roving remaining on the frame anchors and start/end waste; Di Bari set resin loss to 0 (lack of data).</t>
        </is>
      </c>
      <c r="P16" s="7" t="inlineStr">
        <is>
          <t>partner estimate</t>
        </is>
      </c>
      <c r="Q16" s="7" t="inlineStr">
        <is>
          <t>Kept 95%. Di Bari's 0% loss is the upper bound (max 100%); min 90% allows for resin drip and roving wasted at the anchors. No measured loss data exists yet - worth asking the partners.</t>
        </is>
      </c>
    </row>
    <row r="17" ht="16" customHeight="1">
      <c r="A17" s="7" t="inlineStr">
        <is>
          <t>raw_cfw</t>
        </is>
      </c>
      <c r="B17" s="7" t="inlineStr">
        <is>
          <t>manufacturing</t>
        </is>
      </c>
      <c r="C17" s="7" t="inlineStr">
        <is>
          <t>production</t>
        </is>
      </c>
      <c r="D17" s="7" t="inlineStr">
        <is>
          <t>Coreless filament winding</t>
        </is>
      </c>
      <c r="E17" s="7" t="n"/>
      <c r="F17" s="7" t="inlineStr">
        <is>
          <t>machine source</t>
        </is>
      </c>
      <c r="G17" s="8" t="inlineStr">
        <is>
          <t>Whether the machine is new (virgin) or reused/recycled (recycled)</t>
        </is>
      </c>
      <c r="H17" s="7" t="inlineStr">
        <is>
          <t>-</t>
        </is>
      </c>
      <c r="I17" s="7" t="inlineStr">
        <is>
          <t>virgin</t>
        </is>
      </c>
      <c r="J17" s="7" t="n"/>
      <c r="K17" s="7" t="n"/>
      <c r="L17" s="7" t="n"/>
      <c r="M17" s="7" t="inlineStr">
        <is>
          <t>choice</t>
        </is>
      </c>
      <c r="N17" s="7" t="inlineStr">
        <is>
          <t>virgin;recycled</t>
        </is>
      </c>
      <c r="O17" s="7" t="inlineStr">
        <is>
          <t>Assumed new (virgin) machines.</t>
        </is>
      </c>
      <c r="P17" s="7" t="inlineStr">
        <is>
          <t>partner estimate</t>
        </is>
      </c>
      <c r="Q17" s="7" t="inlineStr">
        <is>
          <t>Kept as virgin: the sensing unit, robot and oven are assumed to be bought new (same convention as the other RAW cases).</t>
        </is>
      </c>
    </row>
    <row r="18" ht="32" customHeight="1">
      <c r="A18" s="7" t="inlineStr">
        <is>
          <t>raw_cfw</t>
        </is>
      </c>
      <c r="B18" s="7" t="inlineStr">
        <is>
          <t>manufacturing</t>
        </is>
      </c>
      <c r="C18" s="7" t="inlineStr">
        <is>
          <t>production</t>
        </is>
      </c>
      <c r="D18" s="7" t="inlineStr">
        <is>
          <t>Curing</t>
        </is>
      </c>
      <c r="E18" s="7" t="n"/>
      <c r="F18" s="7" t="inlineStr">
        <is>
          <t>machine weight</t>
        </is>
      </c>
      <c r="G18" s="8" t="inlineStr">
        <is>
          <t>Weight of the machine used in this step (used to account for machine wear)</t>
        </is>
      </c>
      <c r="H18" s="7" t="inlineStr">
        <is>
          <t>kg</t>
        </is>
      </c>
      <c r="I18" s="7" t="n">
        <v>3000</v>
      </c>
      <c r="J18" s="7" t="n">
        <v>2000</v>
      </c>
      <c r="K18" s="7" t="n">
        <v>4000</v>
      </c>
      <c r="L18" s="7" t="n">
        <v>3000</v>
      </c>
      <c r="M18" s="7" t="inlineStr">
        <is>
          <t>triangular</t>
        </is>
      </c>
      <c r="N18" s="7" t="n"/>
      <c r="O18" s="7" t="inlineStr">
        <is>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~75 m2 of insulated oven walls at ~25 kg/m2 + steel frame, heaters and vacuum equipment = ~3,000 kg (Claude estimate; no datasheet). Scaled-up: same oven.</t>
        </is>
      </c>
      <c r="P18" s="7" t="inlineStr">
        <is>
          <t>partner estimate</t>
        </is>
      </c>
      <c r="Q18" s="7" t="inlineStr">
        <is>
          <t>New step (the old sheet had no curing step); Di Bari finds curing is ~45% of the manufacturing GWP, so it must be included. Weight is Claude's guess (wall area 2 x (7.5x2 + 7.5x2.4 + 2x2.4) = 75.6 m2).</t>
        </is>
      </c>
    </row>
    <row r="19" ht="16" customHeight="1">
      <c r="A19" s="7" t="inlineStr">
        <is>
          <t>raw_cfw</t>
        </is>
      </c>
      <c r="B19" s="7" t="inlineStr">
        <is>
          <t>manufacturing</t>
        </is>
      </c>
      <c r="C19" s="7" t="inlineStr">
        <is>
          <t>production</t>
        </is>
      </c>
      <c r="D19" s="7" t="inlineStr">
        <is>
          <t>Curing</t>
        </is>
      </c>
      <c r="E19" s="7" t="n"/>
      <c r="F19" s="7" t="inlineStr">
        <is>
          <t>power</t>
        </is>
      </c>
      <c r="G19" s="8" t="inlineStr">
        <is>
          <t>Electric power the machine draws while running</t>
        </is>
      </c>
      <c r="H19" s="7" t="inlineStr">
        <is>
          <t>kW</t>
        </is>
      </c>
      <c r="I19" s="7" t="n">
        <v>0.61</v>
      </c>
      <c r="J19" s="7" t="n">
        <v>0.2</v>
      </c>
      <c r="K19" s="7" t="n">
        <v>0.8</v>
      </c>
      <c r="L19" s="7" t="n">
        <v>0.61</v>
      </c>
      <c r="M19" s="7" t="inlineStr">
        <is>
          <t>triangular</t>
        </is>
      </c>
      <c r="N19" s="7" t="n"/>
      <c r="O19" s="7" t="inlineStr">
        <is>
          <t>Wall heat loss = U x A x dT = 0.135 W/m2K x 75.6 m2 x 60 K = 0.61 kW for 80 C inside and 20 C outside (Claude calculation from Di Bari Table 3); min 0.2 kW = 40 C profile, max 0.8 kW includes some heat-up. Scaled-up: same oven.</t>
        </is>
      </c>
      <c r="P19" s="7" t="inlineStr">
        <is>
          <t>partner estimate</t>
        </is>
      </c>
      <c r="Q19" s="7" t="inlineStr">
        <is>
          <t>Average electric power while curing. It excludes the heat-up and the vacuum term of Di Bari's model (see output rate for how the total is matched to the paper's per-metre value).</t>
        </is>
      </c>
    </row>
    <row r="20" ht="16" customHeight="1">
      <c r="A20" s="7" t="inlineStr">
        <is>
          <t>raw_cfw</t>
        </is>
      </c>
      <c r="B20" s="7" t="inlineStr">
        <is>
          <t>manufacturing</t>
        </is>
      </c>
      <c r="C20" s="7" t="inlineStr">
        <is>
          <t>production</t>
        </is>
      </c>
      <c r="D20" s="7" t="inlineStr">
        <is>
          <t>Curing</t>
        </is>
      </c>
      <c r="E20" s="7" t="n"/>
      <c r="F20" s="7" t="inlineStr">
        <is>
          <t>output rate</t>
        </is>
      </c>
      <c r="G20" s="8" t="inlineStr">
        <is>
          <t>Mass of material the machine processes per hour</t>
        </is>
      </c>
      <c r="H20" s="7" t="inlineStr">
        <is>
          <t>kg/hr</t>
        </is>
      </c>
      <c r="I20" s="7" t="n">
        <v>1.4</v>
      </c>
      <c r="J20" s="7" t="n">
        <v>0.5</v>
      </c>
      <c r="K20" s="7" t="n">
        <v>2.8</v>
      </c>
      <c r="L20" s="7" t="n">
        <v>1.4</v>
      </c>
      <c r="M20" s="7" t="inlineStr">
        <is>
          <t>triangular</t>
        </is>
      </c>
      <c r="N20" s="7" t="n"/>
      <c r="O20" s="7" t="inlineStr">
        <is>
          <t>Calibrated to Di Bari Table 6: curing 0.91e-2 MJ per m of roving for 8 h at 80 C / 0.0057 kg/m = 1.6 MJ/kg = 0.44 kWh/kg; 0.61 kW / 0.44 kWh/kg = 1.4 kg/h (= ~11 kg or ~1,900 m of roving per 8 h batch). Other profiles: 16 h at 60 C = 0.75e-2 MJ/m gives 1.7 kg/h; 24 h at 40 C = 0.45e-2 MJ/m gives 2.8 kg/h (max). Min 0.5 kg/h = oven only one third full. Scaled-up: same (Di Bari assume a full oven).</t>
        </is>
      </c>
      <c r="P20" s="7" t="inlineStr">
        <is>
          <t>partner estimate</t>
        </is>
      </c>
      <c r="Q20" s="7" t="inlineStr">
        <is>
          <t>Was 3.9 kg/h in v11/v12 (based on 0.016 kg/m; the per-kg energy is higher for the lighter 5.7 g/m roving). Curing profile follows the paper (8 h at 80 C, Tanya: "according to the paper"). Di Bari's per-metre value assumes the oven is full; a 1 m demonstrator (~3 kg) fills a tiny fraction of a 36 m3 oven, so the true prototype energy per kg is higher (covered by the min). Energy check: 0.61 kW / 1.4 kg/h = 0.44 kWh/kg. Prototype and scaled-up are identical because the paper's value already assumes full loading; a low-temperature profile (24 h at 40 C) would halve it.</t>
        </is>
      </c>
    </row>
    <row r="21" ht="16" customHeight="1">
      <c r="A21" s="7" t="inlineStr">
        <is>
          <t>raw_cfw</t>
        </is>
      </c>
      <c r="B21" s="7" t="inlineStr">
        <is>
          <t>manufacturing</t>
        </is>
      </c>
      <c r="C21" s="7" t="inlineStr">
        <is>
          <t>production</t>
        </is>
      </c>
      <c r="D21" s="7" t="inlineStr">
        <is>
          <t>Curing</t>
        </is>
      </c>
      <c r="E21" s="7" t="n"/>
      <c r="F21" s="7" t="inlineStr">
        <is>
          <t>machine lifetime</t>
        </is>
      </c>
      <c r="G21" s="8" t="inlineStr">
        <is>
          <t>Operating hours before the machine is worn out</t>
        </is>
      </c>
      <c r="H21" s="7" t="inlineStr">
        <is>
          <t>hrs</t>
        </is>
      </c>
      <c r="I21" s="7" t="n">
        <v>30000</v>
      </c>
      <c r="J21" s="7" t="n">
        <v>20000</v>
      </c>
      <c r="K21" s="7" t="n">
        <v>50000</v>
      </c>
      <c r="L21" s="7" t="n">
        <v>30000</v>
      </c>
      <c r="M21" s="7" t="inlineStr">
        <is>
          <t>triangular</t>
        </is>
      </c>
      <c r="N21" s="7" t="n"/>
      <c r="O21" s="7" t="inlineStr">
        <is>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8 h batches x ~250 batches/y x ~15 y = ~30,000 h (Claude estimate).</t>
        </is>
      </c>
      <c r="P21" s="7" t="inlineStr">
        <is>
          <t>partner estimate</t>
        </is>
      </c>
      <c r="Q21" s="7" t="inlineStr">
        <is>
          <t>Oven cycles are long (8-24 h) but only a few per week in a lab; same lifetime assumed for scaled-up.</t>
        </is>
      </c>
    </row>
    <row r="22" ht="16" customHeight="1">
      <c r="A22" s="7" t="inlineStr">
        <is>
          <t>raw_cfw</t>
        </is>
      </c>
      <c r="B22" s="7" t="inlineStr">
        <is>
          <t>manufacturing</t>
        </is>
      </c>
      <c r="C22" s="7" t="inlineStr">
        <is>
          <t>production</t>
        </is>
      </c>
      <c r="D22" s="7" t="inlineStr">
        <is>
          <t>Curing</t>
        </is>
      </c>
      <c r="E22" s="7" t="n"/>
      <c r="F22" s="7" t="inlineStr">
        <is>
          <t>process yield</t>
        </is>
      </c>
      <c r="G22" s="8" t="inlineStr">
        <is>
          <t>Share of the material entering this step that leaves it as usable output (the rest is waste)</t>
        </is>
      </c>
      <c r="H22" s="7" t="inlineStr">
        <is>
          <t>%</t>
        </is>
      </c>
      <c r="I22" s="7" t="n">
        <v>100</v>
      </c>
      <c r="J22" s="7" t="n">
        <v>98</v>
      </c>
      <c r="K22" s="7" t="n">
        <v>100</v>
      </c>
      <c r="L22" s="7" t="n"/>
      <c r="M22" s="7" t="inlineStr">
        <is>
          <t>triangular</t>
        </is>
      </c>
      <c r="N22" s="7" t="n"/>
      <c r="O22" s="7" t="inlineStr">
        <is>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Curing does not remove material (Di Bari assume no loss); min 98% allows for trimming of cured overhang (assumption).</t>
        </is>
      </c>
      <c r="P22" s="7" t="inlineStr">
        <is>
          <t>partner estimate</t>
        </is>
      </c>
      <c r="Q22" s="7" t="inlineStr">
        <is>
          <t>Curing is a hold step; the hardened composite stays in the product.</t>
        </is>
      </c>
    </row>
    <row r="23" ht="16" customHeight="1">
      <c r="A23" s="7" t="inlineStr">
        <is>
          <t>raw_cfw</t>
        </is>
      </c>
      <c r="B23" s="7" t="inlineStr">
        <is>
          <t>manufacturing</t>
        </is>
      </c>
      <c r="C23" s="7" t="inlineStr">
        <is>
          <t>production</t>
        </is>
      </c>
      <c r="D23" s="7" t="inlineStr">
        <is>
          <t>Curing</t>
        </is>
      </c>
      <c r="E23" s="7" t="n"/>
      <c r="F23" s="7" t="inlineStr">
        <is>
          <t>machine source</t>
        </is>
      </c>
      <c r="G23" s="8" t="inlineStr">
        <is>
          <t>Whether the machine is new (virgin) or reused/recycled (recycled)</t>
        </is>
      </c>
      <c r="H23" s="7" t="inlineStr">
        <is>
          <t>-</t>
        </is>
      </c>
      <c r="I23" s="7" t="inlineStr">
        <is>
          <t>virgin</t>
        </is>
      </c>
      <c r="J23" s="7" t="n"/>
      <c r="K23" s="7" t="n"/>
      <c r="L23" s="7" t="n"/>
      <c r="M23" s="7" t="inlineStr">
        <is>
          <t>choice</t>
        </is>
      </c>
      <c r="N23" s="7" t="inlineStr">
        <is>
          <t>virgin;recycled</t>
        </is>
      </c>
      <c r="O23" s="7" t="inlineStr">
        <is>
          <t>Assumed new (virgin) machines.</t>
        </is>
      </c>
      <c r="P23" s="7" t="inlineStr">
        <is>
          <t>partner estimate</t>
        </is>
      </c>
      <c r="Q23" s="7" t="inlineStr">
        <is>
          <t>Kept as virgin: the sensing unit, robot and oven are assumed to be bought new (same convention as the other RAW cases).</t>
        </is>
      </c>
    </row>
    <row r="24" ht="32" customHeight="1">
      <c r="A24" s="7" t="inlineStr">
        <is>
          <t>raw_cfw</t>
        </is>
      </c>
      <c r="B24" s="7" t="inlineStr">
        <is>
          <t>circularity</t>
        </is>
      </c>
      <c r="C24" s="7" t="inlineStr">
        <is>
          <t>use</t>
        </is>
      </c>
      <c r="D24" s="7" t="inlineStr">
        <is>
          <t>product</t>
        </is>
      </c>
      <c r="E24" s="7" t="n"/>
      <c r="F24" s="7" t="inlineStr">
        <is>
          <t>expected lifetime</t>
        </is>
      </c>
      <c r="G24" s="8" t="inlineStr">
        <is>
          <t>Years the product lasts before any repair</t>
        </is>
      </c>
      <c r="H24" s="7" t="inlineStr">
        <is>
          <t>yrs</t>
        </is>
      </c>
      <c r="I24" s="7" t="n">
        <v>50</v>
      </c>
      <c r="J24" s="7" t="n">
        <v>30</v>
      </c>
      <c r="K24" s="7" t="n">
        <v>60</v>
      </c>
      <c r="L24" s="7" t="n"/>
      <c r="M24" s="7" t="inlineStr">
        <is>
          <t>triangular</t>
        </is>
      </c>
      <c r="N24" s="7" t="n"/>
      <c r="O24" s="7" t="inlineStr">
        <is>
          <t>Design working life of building structures = 50 y (EN 1990, category 4; general knowledge, not re-checked). Di Bari et al. 2026, "Unveiling the Environmental Impacts of Coreless Filament Winding" (LCA of a flax/epoxy CFW roving): functional unit is a structural element in INDOOR applications. Durability of flax-FRP: 12% strength and 19% modulus loss after 12 wet-dry cycles (Queen's University study on durability of natural-fibre-reinforced polymer composites, abstract only).</t>
        </is>
      </c>
      <c r="P24" s="7" t="inlineStr">
        <is>
          <t>partner estimate</t>
        </is>
      </c>
      <c r="Q24" s="7" t="inlineStr">
        <is>
          <t>Kept 50 y (was 50, range 40-60), min widened to 30 y because natural-fibre composites lose strength when moisture cycles (epoxy hydrolysis, fibre-resin delamination). Indoor, dry use assumed. No CFW-specific service-life data exists (Di Bari: results valid for the lab scale, service life not relevant to A1-A3). Claude's judgement. No repair is modelled for this case (repair rows removed: no literature on repairing coreless-filament-wound elements was found; Di Bari 2026 and Duque Estrada 2026 discuss disassembly, reuse and recycling only), so a product that lasts less than the 50 y reference service life is simply replaced (its burdens are scaled by 50/L).</t>
        </is>
      </c>
    </row>
    <row r="25" ht="16" customHeight="1">
      <c r="A25" s="7" t="inlineStr">
        <is>
          <t>raw_cfw</t>
        </is>
      </c>
      <c r="B25" s="7" t="inlineStr">
        <is>
          <t>circularity</t>
        </is>
      </c>
      <c r="C25" s="7" t="inlineStr">
        <is>
          <t>end-of-life</t>
        </is>
      </c>
      <c r="D25" s="7" t="inlineStr">
        <is>
          <t>waste</t>
        </is>
      </c>
      <c r="E25" s="7" t="inlineStr">
        <is>
          <t>composted</t>
        </is>
      </c>
      <c r="F25" s="7" t="inlineStr">
        <is>
          <t>share of waste</t>
        </is>
      </c>
      <c r="G25" s="8" t="inlineStr">
        <is>
          <t>Share of the product's end-of-life mass that goes to this route (the routes add up to 100 %): composted</t>
        </is>
      </c>
      <c r="H25" s="7" t="inlineStr">
        <is>
          <t>%</t>
        </is>
      </c>
      <c r="I25" s="7" t="n">
        <v>0</v>
      </c>
      <c r="J25" s="7" t="n">
        <v>0</v>
      </c>
      <c r="K25" s="7" t="n">
        <v>0</v>
      </c>
      <c r="L25" s="7" t="n">
        <v>0</v>
      </c>
      <c r="M25" s="7" t="inlineStr">
        <is>
          <t>fixed</t>
        </is>
      </c>
      <c r="N25" s="7" t="n"/>
      <c r="O25" s="7" t="inlineStr">
        <is>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is>
      </c>
      <c r="P25" s="7" t="inlineStr">
        <is>
          <t>partner estimate</t>
        </is>
      </c>
      <c r="Q25" s="7" t="inlineStr">
        <is>
          <t>Not composted: ~85% of the mass is thermoset epoxy, which is not compostable, and the cured fibre is bonded into it.</t>
        </is>
      </c>
    </row>
    <row r="26" ht="16" customHeight="1">
      <c r="A26" s="7" t="inlineStr">
        <is>
          <t>raw_cfw</t>
        </is>
      </c>
      <c r="B26" s="7" t="inlineStr">
        <is>
          <t>circularity</t>
        </is>
      </c>
      <c r="C26" s="7" t="inlineStr">
        <is>
          <t>end-of-life</t>
        </is>
      </c>
      <c r="D26" s="7" t="inlineStr">
        <is>
          <t>waste</t>
        </is>
      </c>
      <c r="E26" s="7" t="inlineStr">
        <is>
          <t>recycled_open</t>
        </is>
      </c>
      <c r="F26" s="7" t="inlineStr">
        <is>
          <t>share of waste</t>
        </is>
      </c>
      <c r="G26" s="8" t="inlineStr">
        <is>
          <t>Share of the product's end-of-life mass that goes to this route (the routes add up to 100 %): recycled (open loop)</t>
        </is>
      </c>
      <c r="H26" s="7" t="inlineStr">
        <is>
          <t>%</t>
        </is>
      </c>
      <c r="I26" s="7" t="n">
        <v>5</v>
      </c>
      <c r="J26" s="7" t="n">
        <v>0</v>
      </c>
      <c r="K26" s="7" t="n">
        <v>10</v>
      </c>
      <c r="L26" s="7" t="n">
        <v>15</v>
      </c>
      <c r="M26" s="7" t="inlineStr">
        <is>
          <t>triangular</t>
        </is>
      </c>
      <c r="N26" s="7" t="n"/>
      <c r="O26" s="7" t="inlineStr">
        <is>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is>
      </c>
      <c r="P26" s="7" t="inlineStr">
        <is>
          <t>partner estimate</t>
        </is>
      </c>
      <c r="Q26" s="7" t="inlineStr">
        <is>
          <t>Typical 5%: mechanical grinding or cement-kiln co-processing of thermoset composites exists but is rare (Claude estimate; no EU split found). Di Bari et al. 2026, "Unveiling the Environmental Impacts of Coreless Filament Winding" (LCA of a flax/epoxy CFW roving), Sec. 5.2: mechanical recycling has a similar total impact to incineration/landfill and "recycling techniques have yet to become a widespread practice". Scaled-up 15%: more recycling capacity (assumption; note methods.md says the scaled-up EoL may not be read by the model).</t>
        </is>
      </c>
    </row>
    <row r="27" ht="16" customHeight="1">
      <c r="A27" s="7" t="inlineStr">
        <is>
          <t>raw_cfw</t>
        </is>
      </c>
      <c r="B27" s="7" t="inlineStr">
        <is>
          <t>circularity</t>
        </is>
      </c>
      <c r="C27" s="7" t="inlineStr">
        <is>
          <t>end-of-life</t>
        </is>
      </c>
      <c r="D27" s="7" t="inlineStr">
        <is>
          <t>waste</t>
        </is>
      </c>
      <c r="E27" s="7" t="inlineStr">
        <is>
          <t>recycled_closed</t>
        </is>
      </c>
      <c r="F27" s="7" t="inlineStr">
        <is>
          <t>share of waste</t>
        </is>
      </c>
      <c r="G27" s="8" t="inlineStr">
        <is>
          <t>Share of the product's end-of-life mass that goes to this route (the routes add up to 100 %): recycled (closed loop)</t>
        </is>
      </c>
      <c r="H27" s="7" t="inlineStr">
        <is>
          <t>%</t>
        </is>
      </c>
      <c r="I27" s="7" t="n">
        <v>0</v>
      </c>
      <c r="J27" s="7" t="n">
        <v>0</v>
      </c>
      <c r="K27" s="7" t="n">
        <v>0</v>
      </c>
      <c r="L27" s="7" t="n">
        <v>0</v>
      </c>
      <c r="M27" s="7" t="inlineStr">
        <is>
          <t>fixed</t>
        </is>
      </c>
      <c r="N27" s="7" t="n"/>
      <c r="O27" s="7" t="inlineStr">
        <is>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is>
      </c>
      <c r="P27" s="7" t="inlineStr">
        <is>
          <t>partner estimate</t>
        </is>
      </c>
      <c r="Q27" s="7" t="inlineStr">
        <is>
          <t>0%: no fibre-to-fibre recycling of cured natural-fibre epoxy exists; chemical recycling (pyrolysis, solvolysis) is still at research stage (Di Bari Sec. 5.1). Pyrolysis even raises total GWP by 4.5% versus incineration (Di Bari Table 12).</t>
        </is>
      </c>
    </row>
    <row r="28" ht="16" customHeight="1">
      <c r="A28" s="7" t="inlineStr">
        <is>
          <t>raw_cfw</t>
        </is>
      </c>
      <c r="B28" s="7" t="inlineStr">
        <is>
          <t>circularity</t>
        </is>
      </c>
      <c r="C28" s="7" t="inlineStr">
        <is>
          <t>end-of-life</t>
        </is>
      </c>
      <c r="D28" s="7" t="inlineStr">
        <is>
          <t>waste</t>
        </is>
      </c>
      <c r="E28" s="7" t="inlineStr">
        <is>
          <t>incinerated</t>
        </is>
      </c>
      <c r="F28" s="7" t="inlineStr">
        <is>
          <t>share of waste</t>
        </is>
      </c>
      <c r="G28" s="8" t="inlineStr">
        <is>
          <t>Share of the product's end-of-life mass that goes to this route (the routes add up to 100 %): incinerated with energy recovery</t>
        </is>
      </c>
      <c r="H28" s="7" t="inlineStr">
        <is>
          <t>%</t>
        </is>
      </c>
      <c r="I28" s="7" t="n">
        <v>85</v>
      </c>
      <c r="J28" s="7" t="n">
        <v>75</v>
      </c>
      <c r="K28" s="7" t="n">
        <v>95</v>
      </c>
      <c r="L28" s="7" t="n">
        <v>80</v>
      </c>
      <c r="M28" s="7" t="inlineStr">
        <is>
          <t>triangular</t>
        </is>
      </c>
      <c r="N28" s="7" t="n"/>
      <c r="O28" s="7" t="inlineStr">
        <is>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is>
      </c>
      <c r="P28" s="7" t="inlineStr">
        <is>
          <t>partner estimate</t>
        </is>
      </c>
      <c r="Q28" s="7" t="inlineStr">
        <is>
          <t>Di Bari Sec. 5.2 uses incineration with energy recovery as the DEFAULT end of life for the flax/epoxy CFW element (Ökobaudat Germany). In the Netherlands landfilling combustible waste is banned (general knowledge, not re-checked), so incineration dominates. Typical 85% is Claude's judgement; scaled-up 80% as some material goes to recycling instead.</t>
        </is>
      </c>
    </row>
    <row r="29" ht="16" customHeight="1">
      <c r="A29" s="7" t="inlineStr">
        <is>
          <t>raw_cfw</t>
        </is>
      </c>
      <c r="B29" s="7" t="inlineStr">
        <is>
          <t>circularity</t>
        </is>
      </c>
      <c r="C29" s="7" t="inlineStr">
        <is>
          <t>end-of-life</t>
        </is>
      </c>
      <c r="D29" s="7" t="inlineStr">
        <is>
          <t>waste</t>
        </is>
      </c>
      <c r="E29" s="7" t="inlineStr">
        <is>
          <t>landfilled</t>
        </is>
      </c>
      <c r="F29" s="7" t="inlineStr">
        <is>
          <t>share of waste</t>
        </is>
      </c>
      <c r="G29" s="8" t="inlineStr">
        <is>
          <t>Share of the product's end-of-life mass that goes to this route (the routes add up to 100 %): landfilled</t>
        </is>
      </c>
      <c r="H29" s="7" t="inlineStr">
        <is>
          <t>%</t>
        </is>
      </c>
      <c r="I29" s="7" t="n">
        <v>10</v>
      </c>
      <c r="J29" s="7" t="n">
        <v>0</v>
      </c>
      <c r="K29" s="7" t="n">
        <v>20</v>
      </c>
      <c r="L29" s="7" t="n">
        <v>5</v>
      </c>
      <c r="M29" s="7" t="inlineStr">
        <is>
          <t>triangular</t>
        </is>
      </c>
      <c r="N29" s="7" t="n"/>
      <c r="O29" s="7" t="inlineStr">
        <is>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is>
      </c>
      <c r="P29" s="7" t="inlineStr">
        <is>
          <t>partner estimate</t>
        </is>
      </c>
      <c r="Q29" s="7" t="inlineStr">
        <is>
          <t>Residual landfill (Di Bari route with the lowest C3-C4 GWP, -99% vs incineration). Typical 10% is Claude's judgement (no EU composite-waste split found); scaled-up 5% (landfill diversion targets). Shares add up to 100% (typical 0+5+0+85+10; scaled-up 0+15+0+80+5).</t>
        </is>
      </c>
    </row>
    <row r="30" ht="32" customHeight="1">
      <c r="A30" s="7" t="inlineStr">
        <is>
          <t>raw_cfw</t>
        </is>
      </c>
      <c r="B30" s="7" t="inlineStr">
        <is>
          <t>location</t>
        </is>
      </c>
      <c r="C30" s="7" t="inlineStr">
        <is>
          <t>general</t>
        </is>
      </c>
      <c r="D30" s="7" t="inlineStr">
        <is>
          <t>product</t>
        </is>
      </c>
      <c r="E30" s="7" t="n"/>
      <c r="F30" s="7" t="inlineStr">
        <is>
          <t>location</t>
        </is>
      </c>
      <c r="G30" s="8" t="inlineStr">
        <is>
          <t>Country whose electricity mix is used for every process step, and whose grid is displaced by energy recovered at end of life</t>
        </is>
      </c>
      <c r="H30" s="7" t="inlineStr">
        <is>
          <t>country code</t>
        </is>
      </c>
      <c r="I30" s="7" t="inlineStr">
        <is>
          <t>NL</t>
        </is>
      </c>
      <c r="J30" s="7" t="n"/>
      <c r="K30" s="7" t="n"/>
      <c r="L30" s="7" t="n"/>
      <c r="M30" s="7" t="inlineStr">
        <is>
          <t>choice</t>
        </is>
      </c>
      <c r="N30" s="7" t="n"/>
      <c r="O30" s="7" t="inlineStr">
        <is>
          <t>Model choice: Netherlands (RAW project location); electricity mix and heat/electricity credit of incineration use the NL grid.</t>
        </is>
      </c>
      <c r="P30" s="7" t="inlineStr">
        <is>
          <t>partner estimate</t>
        </is>
      </c>
      <c r="Q30" s="7" t="inlineStr">
        <is>
          <t>Kept NL as in the earlier version. The partners' production site is not stated in this conversation; change on study_setup / choices if they fabricate elsewhere.</t>
        </is>
      </c>
    </row>
    <row r="31" ht="16" customHeight="1"/>
    <row r="32" ht="16" customHeight="1"/>
    <row r="33" ht="16" customHeight="1"/>
    <row r="34" ht="16" customHeight="1"/>
    <row r="35" ht="16" customHeight="1"/>
    <row r="36" ht="32" customHeight="1"/>
    <row r="37" ht="32" customHeight="1"/>
    <row r="38" ht="16" customHeight="1"/>
    <row r="39" ht="16" customHeight="1"/>
    <row r="40" ht="16" customHeight="1"/>
    <row r="41" ht="16" customHeight="1"/>
    <row r="42" ht="32" customHeight="1"/>
    <row r="43" ht="32" customHeight="1"/>
  </sheetData>
  <conditionalFormatting sqref="I2:I245">
    <cfRule type="expression" priority="3" dxfId="0">
      <formula>AND($F2&lt;&gt;"",$I2="")</formula>
    </cfRule>
  </conditionalFormatting>
  <conditionalFormatting sqref="I2:P245">
    <cfRule type="expression" priority="1" dxfId="1">
      <formula>$P2="placeholder"</formula>
    </cfRule>
  </conditionalFormatting>
  <conditionalFormatting sqref="J2:K245">
    <cfRule type="expression" priority="2" dxfId="0">
      <formula>AND(OR($M2="triangular",$M2="uniform"),OR($J2="",$K2=""))</formula>
    </cfRule>
  </conditionalFormatting>
  <dataValidations count="4">
    <dataValidation sqref="B2:B245" showDropDown="0" showInputMessage="0" showErrorMessage="1" allowBlank="1" type="list">
      <formula1>"design,manufacturing,circularity,location"</formula1>
    </dataValidation>
    <dataValidation sqref="C2:C245" showDropDown="0" showInputMessage="0" showErrorMessage="1" allowBlank="1" type="list">
      <formula1>"product size,production,repair,use,end-of-life,general"</formula1>
    </dataValidation>
    <dataValidation sqref="M2:M245" showDropDown="0" showInputMessage="0" showErrorMessage="1" allowBlank="1" type="list">
      <formula1>"fixed,triangular,uniform,choice,combination"</formula1>
    </dataValidation>
    <dataValidation sqref="P2:P245" showDropDown="0" showInputMessage="0" showErrorMessage="1" allowBlank="1" type="list">
      <formula1>"placeholder,partner estimate,measured,literature"</formula1>
    </dataValidation>
  </dataValidations>
  <pageMargins left="0.75" right="0.75" top="1" bottom="1" header="0.5" footer="0.5"/>
</worksheet>
</file>

<file path=xl/worksheets/sheet10.xml><?xml version="1.0" encoding="utf-8"?>
<worksheet xmlns="http://schemas.openxmlformats.org/spreadsheetml/2006/main">
  <sheetPr>
    <tabColor rgb="FF76A5AF"/>
    <outlinePr summaryBelow="1" summaryRight="1"/>
    <pageSetUpPr/>
  </sheetPr>
  <dimension ref="A1:Q30"/>
  <sheetViews>
    <sheetView workbookViewId="0">
      <pane xSplit="6" ySplit="1" topLeftCell="G2" activePane="bottomRight" state="frozen"/>
      <selection pane="topRight"/>
      <selection pane="bottomLeft"/>
      <selection pane="bottomRight" activeCell="A1" sqref="A1"/>
    </sheetView>
  </sheetViews>
  <sheetFormatPr baseColWidth="10" defaultColWidth="8.83203125" defaultRowHeight="15"/>
  <cols>
    <col width="9" customWidth="1" min="1" max="1"/>
    <col width="15" customWidth="1" min="2" max="2"/>
    <col width="13" customWidth="1" min="3" max="3"/>
    <col width="27" customWidth="1" min="4" max="4"/>
    <col width="17" customWidth="1" min="5" max="5"/>
    <col width="34" customWidth="1" min="6" max="6"/>
    <col width="60" customWidth="1" min="7" max="7"/>
    <col width="14" customWidth="1" min="8" max="8"/>
    <col width="9" customWidth="1" min="9" max="10"/>
    <col width="13" customWidth="1" min="11" max="12"/>
    <col width="17" customWidth="1" min="13" max="13"/>
    <col width="40" customWidth="1" min="14" max="14"/>
    <col width="13" customWidth="1" min="15" max="15"/>
    <col width="40" customWidth="1" min="16" max="16"/>
  </cols>
  <sheetData>
    <row r="1">
      <c r="A1" s="6" t="inlineStr">
        <is>
          <t>case</t>
        </is>
      </c>
      <c r="B1" s="6" t="inlineStr">
        <is>
          <t>group</t>
        </is>
      </c>
      <c r="C1" s="6" t="inlineStr">
        <is>
          <t>stage</t>
        </is>
      </c>
      <c r="D1" s="6" t="inlineStr">
        <is>
          <t>item</t>
        </is>
      </c>
      <c r="E1" s="6" t="inlineStr">
        <is>
          <t>qualifier</t>
        </is>
      </c>
      <c r="F1" s="6" t="inlineStr">
        <is>
          <t>parameter</t>
        </is>
      </c>
      <c r="G1" s="6" t="inlineStr">
        <is>
          <t>description</t>
        </is>
      </c>
      <c r="H1" s="6" t="inlineStr">
        <is>
          <t>unit</t>
        </is>
      </c>
      <c r="I1" s="6" t="inlineStr">
        <is>
          <t>typical</t>
        </is>
      </c>
      <c r="J1" s="6" t="inlineStr">
        <is>
          <t>min</t>
        </is>
      </c>
      <c r="K1" s="6" t="inlineStr">
        <is>
          <t>max</t>
        </is>
      </c>
      <c r="L1" s="6" t="inlineStr">
        <is>
          <t>scaled_up</t>
        </is>
      </c>
      <c r="M1" s="6" t="inlineStr">
        <is>
          <t>distribution</t>
        </is>
      </c>
      <c r="N1" s="6" t="inlineStr">
        <is>
          <t>choices</t>
        </is>
      </c>
      <c r="O1" s="6" t="inlineStr">
        <is>
          <t>source</t>
        </is>
      </c>
      <c r="P1" s="6" t="inlineStr">
        <is>
          <t>status</t>
        </is>
      </c>
      <c r="Q1" s="6" t="inlineStr">
        <is>
          <t>comments</t>
        </is>
      </c>
    </row>
    <row r="2" ht="16" customHeight="1">
      <c r="A2" s="7" t="inlineStr">
        <is>
          <t>flax fibre CFW beam (no in-line sensing)</t>
        </is>
      </c>
      <c r="B2" s="7" t="inlineStr">
        <is>
          <t>design</t>
        </is>
      </c>
      <c r="C2" s="7" t="inlineStr">
        <is>
          <t>product size</t>
        </is>
      </c>
      <c r="D2" s="7" t="inlineStr">
        <is>
          <t>product</t>
        </is>
      </c>
      <c r="E2" s="7" t="n"/>
      <c r="F2" s="7" t="inlineStr">
        <is>
          <t>fibre_length_per_span</t>
        </is>
      </c>
      <c r="G2" s="7" t="inlineStr">
        <is>
          <t>Metres of fibre wound per metre of beam span</t>
        </is>
      </c>
      <c r="H2" s="7" t="inlineStr">
        <is>
          <t>m/m</t>
        </is>
      </c>
      <c r="I2" s="7" t="n">
        <v>550</v>
      </c>
      <c r="J2" s="7" t="n">
        <v>400</v>
      </c>
      <c r="K2" s="7" t="n">
        <v>800</v>
      </c>
      <c r="L2" s="7" t="n"/>
      <c r="M2" s="7" t="inlineStr">
        <is>
          <t>triangular</t>
        </is>
      </c>
      <c r="N2" s="7" t="n"/>
      <c r="O2" s="7" t="inlineStr">
        <is>
          <t>Same value as lci_raw_cfw (earlier sheet, "Stuttgart paper", not traceable); plausibility: Duque Estrada et al. 2026, Sci. Rep. 16:8154 long-span flax plate ~3,830 m of roving over ~7.5 m = ~510 m/m.</t>
        </is>
      </c>
      <c r="P2" s="7" t="inlineStr">
        <is>
          <t>partner estimate</t>
        </is>
      </c>
      <c r="Q2" s="7" t="inlineStr">
        <is>
          <t>Same fibre and same beam as the RAW case, so the same roving length per metre of span. Counts every roving, so it does not depend on the number of rovings wound at once (Di Bari: 6).</t>
        </is>
      </c>
    </row>
    <row r="3" ht="16" customHeight="1">
      <c r="A3" s="7" t="inlineStr">
        <is>
          <t>flax fibre CFW beam (no in-line sensing)</t>
        </is>
      </c>
      <c r="B3" s="7" t="inlineStr">
        <is>
          <t>design</t>
        </is>
      </c>
      <c r="C3" s="7" t="inlineStr">
        <is>
          <t>product size</t>
        </is>
      </c>
      <c r="D3" s="7" t="inlineStr">
        <is>
          <t>product</t>
        </is>
      </c>
      <c r="E3" s="7" t="n"/>
      <c r="F3" s="7" t="inlineStr">
        <is>
          <t>fibre_mass_per_length</t>
        </is>
      </c>
      <c r="G3" s="7" t="inlineStr">
        <is>
          <t>Mass of one metre of fibre (incl. resin)</t>
        </is>
      </c>
      <c r="H3" s="7" t="inlineStr">
        <is>
          <t>kg/m</t>
        </is>
      </c>
      <c r="I3" s="7" t="n">
        <v>0.0057</v>
      </c>
      <c r="J3" s="7" t="n">
        <v>0.0048</v>
      </c>
      <c r="K3" s="7" t="n">
        <v>0.016</v>
      </c>
      <c r="L3" s="7" t="n"/>
      <c r="M3" s="7" t="inlineStr">
        <is>
          <t>triangular</t>
        </is>
      </c>
      <c r="N3" s="7" t="n"/>
      <c r="O3" s="7" t="inlineStr">
        <is>
          <t>Di Bari et al. 2026, "Unveiling the Environmental Impacts of Coreless Filament Winding", Sec. 3.1/4.1: flax roving TEX 2400 (2.4 g/m) at fibre mass ratio 42% = 5.7 g composite per m of roving (2.4 g fibre + 3.3 g resin).</t>
        </is>
      </c>
      <c r="P3" s="7" t="inlineStr">
        <is>
          <t>literature</t>
        </is>
      </c>
      <c r="Q3" s="7" t="inlineStr">
        <is>
          <t>Same as lci_raw_cfw (see its comment for why Eq. 3/FMR 42% is used rather than Table 5's 13.6 g resin: Di Bari's own resin impact matches ~3.3 g/m). 1 m of span = 550 x 0.0057 = 3.1 kg. Max 0.016 = Table 5 reading.</t>
        </is>
      </c>
    </row>
    <row r="4" ht="32" customHeight="1">
      <c r="A4" s="7" t="inlineStr">
        <is>
          <t>flax fibre CFW beam (no in-line sensing)</t>
        </is>
      </c>
      <c r="B4" s="7" t="inlineStr">
        <is>
          <t>design</t>
        </is>
      </c>
      <c r="C4" s="7" t="inlineStr">
        <is>
          <t>production</t>
        </is>
      </c>
      <c r="D4" s="7" t="inlineStr">
        <is>
          <t>Flax fiber</t>
        </is>
      </c>
      <c r="E4" s="7" t="inlineStr">
        <is>
          <t>virgin</t>
        </is>
      </c>
      <c r="F4" s="7" t="inlineStr">
        <is>
          <t>share of input mass</t>
        </is>
      </c>
      <c r="G4" s="8" t="inlineStr">
        <is>
          <t>Share of the production input mass made of this material (virgin); the shares of one stage add up to 100 %</t>
        </is>
      </c>
      <c r="H4" s="7" t="inlineStr">
        <is>
          <t>%</t>
        </is>
      </c>
      <c r="I4" s="7" t="n">
        <v>42</v>
      </c>
      <c r="J4" s="7" t="n">
        <v>15</v>
      </c>
      <c r="K4" s="7" t="n">
        <v>50</v>
      </c>
      <c r="L4" s="7" t="n"/>
      <c r="M4" s="7" t="inlineStr">
        <is>
          <t>triangular</t>
        </is>
      </c>
      <c r="N4" s="7" t="n"/>
      <c r="O4" s="7" t="inlineStr">
        <is>
          <t>Di Bari et al. 2026, "Unveiling the Environmental Impacts of Coreless Filament Winding", Sec. 4.1: flax roving (TEX 2400, 1.45 g/cm3), fibre mass ratio 42%.</t>
        </is>
      </c>
      <c r="P4" s="7" t="inlineStr">
        <is>
          <t>literature</t>
        </is>
      </c>
      <c r="Q4" s="7" t="inlineStr">
        <is>
          <t>Flax is the fibre of Di Bari's case. NOTE: "Flax fiber" was added to unit_burdens_dataSources and EoL_constants in this version; its ecoinvent dataset still has to be chosen (proxy: hemp fibre). Min 15% = Table 5 reading.</t>
        </is>
      </c>
    </row>
    <row r="5" ht="32" customHeight="1">
      <c r="A5" s="7" t="inlineStr">
        <is>
          <t>flax fibre CFW beam (no in-line sensing)</t>
        </is>
      </c>
      <c r="B5" s="7" t="inlineStr">
        <is>
          <t>design</t>
        </is>
      </c>
      <c r="C5" s="7" t="inlineStr">
        <is>
          <t>production</t>
        </is>
      </c>
      <c r="D5" s="7" t="inlineStr">
        <is>
          <t>Fiber glue (epoxy resin)</t>
        </is>
      </c>
      <c r="E5" s="7" t="inlineStr">
        <is>
          <t>virgin</t>
        </is>
      </c>
      <c r="F5" s="7" t="inlineStr">
        <is>
          <t>share of input mass</t>
        </is>
      </c>
      <c r="G5" s="8" t="inlineStr">
        <is>
          <t>Share of the production input mass made of this material (virgin); the shares of one stage add up to 100 %</t>
        </is>
      </c>
      <c r="H5" s="7" t="inlineStr">
        <is>
          <t>%</t>
        </is>
      </c>
      <c r="I5" s="7" t="n">
        <v>58</v>
      </c>
      <c r="J5" s="7" t="n">
        <v>50</v>
      </c>
      <c r="K5" s="7" t="n">
        <v>85</v>
      </c>
      <c r="L5" s="7" t="n"/>
      <c r="M5" s="7" t="inlineStr">
        <is>
          <t>triangular</t>
        </is>
      </c>
      <c r="N5" s="7" t="n"/>
      <c r="O5" s="7" t="inlineStr">
        <is>
          <t>Di Bari et al. 2026, "Unveiling the Environmental Impacts of Coreless Filament Winding", Sec. 4.1: SR GreenPoxy 56 (Sicomin, 51% bio-based, 1.18 g/cm3), 58% of the composite mass (FMR 42%).</t>
        </is>
      </c>
      <c r="P5" s="7" t="inlineStr">
        <is>
          <t>literature</t>
        </is>
      </c>
      <c r="Q5" s="7" t="inlineStr">
        <is>
          <t>Modelled with the sheet's fossil epoxy activity: the partly bio-based GreenPoxy 56 has no activity on unit_burdens_dataSources (producer footprint ~5.2 kg CO2e/kg, 44.9% below conventional epoxy, per Duque Estrada et al. 2026, Sci. Rep. 16:8154). Add a GreenPoxy activity if you want Di Bari's resin exactly. Hardener and UV additive excluded, as in Di Bari.</t>
        </is>
      </c>
    </row>
    <row r="6" ht="32" customHeight="1">
      <c r="A6" s="7" t="inlineStr">
        <is>
          <t>flax fibre CFW beam (no in-line sensing)</t>
        </is>
      </c>
      <c r="B6" s="7" t="inlineStr">
        <is>
          <t>manufacturing</t>
        </is>
      </c>
      <c r="C6" s="7" t="inlineStr">
        <is>
          <t>production</t>
        </is>
      </c>
      <c r="D6" s="7" t="inlineStr">
        <is>
          <t>Offline impregnation</t>
        </is>
      </c>
      <c r="E6" s="7" t="n"/>
      <c r="F6" s="7" t="inlineStr">
        <is>
          <t>machine weight</t>
        </is>
      </c>
      <c r="G6" s="8" t="inlineStr">
        <is>
          <t>Weight of the machine used in this step (used to account for machine wear)</t>
        </is>
      </c>
      <c r="H6" s="7" t="inlineStr">
        <is>
          <t>kg</t>
        </is>
      </c>
      <c r="I6" s="7" t="n">
        <v>100</v>
      </c>
      <c r="J6" s="7" t="n">
        <v>50</v>
      </c>
      <c r="K6" s="7" t="n">
        <v>200</v>
      </c>
      <c r="L6" s="7" t="n"/>
      <c r="M6" s="7" t="inlineStr">
        <is>
          <t>triangular</t>
        </is>
      </c>
      <c r="N6" s="7" t="n"/>
      <c r="O6" s="7" t="inlineStr">
        <is>
          <t>Machinery: Di Bari et al. 2026, "Unveiling the Environmental Impacts of Coreless Filament Winding" offline impregnation system (Fig. 3a): a stationary machine impregnates the flax roving and winds it onto carton spools as pre-preg before robotic winding (their default scenario). No weight given in the paper; ~100 kg for a bench-top impregnation line with resin bath, rollers, tensioner and spool winder (Claude estimate).</t>
        </is>
      </c>
      <c r="P6" s="7" t="inlineStr">
        <is>
          <t>partner estimate</t>
        </is>
      </c>
      <c r="Q6" s="7" t="inlineStr">
        <is>
          <t>Negligible either way next to the robot and oven.</t>
        </is>
      </c>
    </row>
    <row r="7" ht="32" customHeight="1">
      <c r="A7" s="7" t="inlineStr">
        <is>
          <t>flax fibre CFW beam (no in-line sensing)</t>
        </is>
      </c>
      <c r="B7" s="7" t="inlineStr">
        <is>
          <t>manufacturing</t>
        </is>
      </c>
      <c r="C7" s="7" t="inlineStr">
        <is>
          <t>production</t>
        </is>
      </c>
      <c r="D7" s="7" t="inlineStr">
        <is>
          <t>Offline impregnation</t>
        </is>
      </c>
      <c r="E7" s="7" t="n"/>
      <c r="F7" s="7" t="inlineStr">
        <is>
          <t>power</t>
        </is>
      </c>
      <c r="G7" s="8" t="inlineStr">
        <is>
          <t>Electric power the machine draws while running</t>
        </is>
      </c>
      <c r="H7" s="7" t="inlineStr">
        <is>
          <t>kW</t>
        </is>
      </c>
      <c r="I7" s="7" t="n">
        <v>0.0003</v>
      </c>
      <c r="J7" s="7" t="n">
        <v>0.0001</v>
      </c>
      <c r="K7" s="7" t="n">
        <v>0.05</v>
      </c>
      <c r="L7" s="7" t="n"/>
      <c r="M7" s="7" t="inlineStr">
        <is>
          <t>triangular</t>
        </is>
      </c>
      <c r="N7" s="7" t="n"/>
      <c r="O7" s="7" t="inlineStr">
        <is>
          <t>Machinery: Di Bari et al. 2026, "Unveiling the Environmental Impacts of Coreless Filament Winding" offline impregnation system (Fig. 3a): a stationary machine impregnates the flax roving and winds it onto carton spools as pre-preg before robotic winding (their default scenario). Di Bari Table 1: 0.278 Ws/s = 0.28 W (2.32e-6 MJ/m at 0.12 m/s).</t>
        </is>
      </c>
      <c r="P7" s="7" t="inlineStr">
        <is>
          <t>partner estimate</t>
        </is>
      </c>
      <c r="Q7" s="7" t="inlineStr">
        <is>
          <t>Kept exactly as printed although 0.28 W is suspiciously low for a motor-driven machine (possibly a typo for 0.278 kW); max 0.05 kW allows for that. Energy share is negligible (paper: 0.03% of CCtot).</t>
        </is>
      </c>
    </row>
    <row r="8" ht="16" customHeight="1">
      <c r="A8" s="7" t="inlineStr">
        <is>
          <t>flax fibre CFW beam (no in-line sensing)</t>
        </is>
      </c>
      <c r="B8" s="7" t="inlineStr">
        <is>
          <t>manufacturing</t>
        </is>
      </c>
      <c r="C8" s="7" t="inlineStr">
        <is>
          <t>production</t>
        </is>
      </c>
      <c r="D8" s="7" t="inlineStr">
        <is>
          <t>Offline impregnation</t>
        </is>
      </c>
      <c r="E8" s="7" t="n"/>
      <c r="F8" s="7" t="inlineStr">
        <is>
          <t>output rate</t>
        </is>
      </c>
      <c r="G8" s="8" t="inlineStr">
        <is>
          <t>Mass of material the machine processes per hour</t>
        </is>
      </c>
      <c r="H8" s="7" t="inlineStr">
        <is>
          <t>kg/hr</t>
        </is>
      </c>
      <c r="I8" s="7" t="n">
        <v>2.5</v>
      </c>
      <c r="J8" s="7" t="n">
        <v>1.9</v>
      </c>
      <c r="K8" s="7" t="n">
        <v>3.1</v>
      </c>
      <c r="L8" s="7" t="n"/>
      <c r="M8" s="7" t="inlineStr">
        <is>
          <t>triangular</t>
        </is>
      </c>
      <c r="N8" s="7" t="n"/>
      <c r="O8" s="7" t="inlineStr">
        <is>
          <t>Machinery: Di Bari et al. 2026, "Unveiling the Environmental Impacts of Coreless Filament Winding" offline impregnation system (Fig. 3a): a stationary machine impregnates the flax roving and winds it onto carton spools as pre-preg before robotic winding (their default scenario). Di Bari Table 1: production speed 0.12 m/s x 3600 s/h x 0.0057 kg composite per m = 2.5 kg/h (one roving at a time); range +-25%.</t>
        </is>
      </c>
      <c r="P8" s="7" t="inlineStr">
        <is>
          <t>partner estimate</t>
        </is>
      </c>
      <c r="Q8" s="7" t="inlineStr">
        <is>
          <t>Composite-mass basis, like every step on this sheet.</t>
        </is>
      </c>
    </row>
    <row r="9" ht="16" customHeight="1">
      <c r="A9" s="7" t="inlineStr">
        <is>
          <t>flax fibre CFW beam (no in-line sensing)</t>
        </is>
      </c>
      <c r="B9" s="7" t="inlineStr">
        <is>
          <t>manufacturing</t>
        </is>
      </c>
      <c r="C9" s="7" t="inlineStr">
        <is>
          <t>production</t>
        </is>
      </c>
      <c r="D9" s="7" t="inlineStr">
        <is>
          <t>Offline impregnation</t>
        </is>
      </c>
      <c r="E9" s="7" t="n"/>
      <c r="F9" s="7" t="inlineStr">
        <is>
          <t>machine lifetime</t>
        </is>
      </c>
      <c r="G9" s="8" t="inlineStr">
        <is>
          <t>Operating hours before the machine is worn out</t>
        </is>
      </c>
      <c r="H9" s="7" t="inlineStr">
        <is>
          <t>hrs</t>
        </is>
      </c>
      <c r="I9" s="7" t="n">
        <v>20000</v>
      </c>
      <c r="J9" s="7" t="n">
        <v>10000</v>
      </c>
      <c r="K9" s="7" t="n">
        <v>40000</v>
      </c>
      <c r="L9" s="7" t="n"/>
      <c r="M9" s="7" t="inlineStr">
        <is>
          <t>triangular</t>
        </is>
      </c>
      <c r="N9" s="7" t="n"/>
      <c r="O9" s="7" t="inlineStr">
        <is>
          <t>Machinery: Di Bari et al. 2026, "Unveiling the Environmental Impacts of Coreless Filament Winding" offline impregnation system (Fig. 3a): a stationary machine impregnates the flax roving and winds it onto carton spools as pre-preg before robotic winding (their default scenario). Lab machine ~1,500 h/y for ~13 y (Claude estimate).</t>
        </is>
      </c>
      <c r="P9" s="7" t="inlineStr">
        <is>
          <t>partner estimate</t>
        </is>
      </c>
      <c r="Q9" s="7" t="inlineStr">
        <is>
          <t>Same order as the other lab machines.</t>
        </is>
      </c>
    </row>
    <row r="10" ht="16" customHeight="1">
      <c r="A10" s="7" t="inlineStr">
        <is>
          <t>flax fibre CFW beam (no in-line sensing)</t>
        </is>
      </c>
      <c r="B10" s="7" t="inlineStr">
        <is>
          <t>manufacturing</t>
        </is>
      </c>
      <c r="C10" s="7" t="inlineStr">
        <is>
          <t>production</t>
        </is>
      </c>
      <c r="D10" s="7" t="inlineStr">
        <is>
          <t>Offline impregnation</t>
        </is>
      </c>
      <c r="E10" s="7" t="n"/>
      <c r="F10" s="7" t="inlineStr">
        <is>
          <t>process yield</t>
        </is>
      </c>
      <c r="G10" s="8" t="inlineStr">
        <is>
          <t>Share of the material entering this step that leaves it as usable output (the rest is waste)</t>
        </is>
      </c>
      <c r="H10" s="7" t="inlineStr">
        <is>
          <t>%</t>
        </is>
      </c>
      <c r="I10" s="7" t="n">
        <v>100</v>
      </c>
      <c r="J10" s="7" t="n">
        <v>95</v>
      </c>
      <c r="K10" s="7" t="n">
        <v>100</v>
      </c>
      <c r="L10" s="7" t="n"/>
      <c r="M10" s="7" t="inlineStr">
        <is>
          <t>triangular</t>
        </is>
      </c>
      <c r="N10" s="7" t="n"/>
      <c r="O10" s="7" t="inlineStr">
        <is>
          <t>Machinery: Di Bari et al. 2026, "Unveiling the Environmental Impacts of Coreless Filament Winding" offline impregnation system (Fig. 3a): a stationary machine impregnates the flax roving and winds it onto carton spools as pre-preg before robotic winding (their default scenario). Di Bari set resin loss to 0 (lack of data).</t>
        </is>
      </c>
      <c r="P10" s="7" t="inlineStr">
        <is>
          <t>partner estimate</t>
        </is>
      </c>
      <c r="Q10" s="7" t="inlineStr">
        <is>
          <t>Paper value; min 95% allows for resin left in the bath.</t>
        </is>
      </c>
    </row>
    <row r="11" ht="16" customHeight="1">
      <c r="A11" s="7" t="inlineStr">
        <is>
          <t>flax fibre CFW beam (no in-line sensing)</t>
        </is>
      </c>
      <c r="B11" s="7" t="inlineStr">
        <is>
          <t>manufacturing</t>
        </is>
      </c>
      <c r="C11" s="7" t="inlineStr">
        <is>
          <t>production</t>
        </is>
      </c>
      <c r="D11" s="7" t="inlineStr">
        <is>
          <t>Offline impregnation</t>
        </is>
      </c>
      <c r="E11" s="7" t="n"/>
      <c r="F11" s="7" t="inlineStr">
        <is>
          <t>machine source</t>
        </is>
      </c>
      <c r="G11" s="8" t="inlineStr">
        <is>
          <t>Whether the machine is new (virgin) or reused/recycled (recycled)</t>
        </is>
      </c>
      <c r="H11" s="7" t="inlineStr">
        <is>
          <t>-</t>
        </is>
      </c>
      <c r="I11" s="7" t="inlineStr">
        <is>
          <t>virgin</t>
        </is>
      </c>
      <c r="J11" s="7" t="n"/>
      <c r="K11" s="7" t="n"/>
      <c r="L11" s="7" t="n"/>
      <c r="M11" s="7" t="inlineStr">
        <is>
          <t>choice</t>
        </is>
      </c>
      <c r="N11" s="7" t="inlineStr">
        <is>
          <t>virgin;recycled</t>
        </is>
      </c>
      <c r="O11" s="7" t="inlineStr">
        <is>
          <t>Assumed new (virgin) machine.</t>
        </is>
      </c>
      <c r="P11" s="7" t="inlineStr">
        <is>
          <t>partner estimate</t>
        </is>
      </c>
      <c r="Q11" s="7" t="inlineStr">
        <is>
          <t>Same convention as lci_raw_cfw.</t>
        </is>
      </c>
    </row>
    <row r="12" ht="32" customHeight="1">
      <c r="A12" s="7" t="inlineStr">
        <is>
          <t>flax fibre CFW beam (no in-line sensing)</t>
        </is>
      </c>
      <c r="B12" s="7" t="inlineStr">
        <is>
          <t>manufacturing</t>
        </is>
      </c>
      <c r="C12" s="7" t="inlineStr">
        <is>
          <t>production</t>
        </is>
      </c>
      <c r="D12" s="7" t="inlineStr">
        <is>
          <t>Coreless filament winding</t>
        </is>
      </c>
      <c r="E12" s="7" t="n"/>
      <c r="F12" s="7" t="inlineStr">
        <is>
          <t>machine weight</t>
        </is>
      </c>
      <c r="G12" s="8" t="inlineStr">
        <is>
          <t>Weight of the machine used in this step (used to account for machine wear)</t>
        </is>
      </c>
      <c r="H12" s="7" t="inlineStr">
        <is>
          <t>kg</t>
        </is>
      </c>
      <c r="I12" s="7" t="n">
        <v>1150</v>
      </c>
      <c r="J12" s="7" t="n">
        <v>1000</v>
      </c>
      <c r="K12" s="7" t="n">
        <v>1300</v>
      </c>
      <c r="L12" s="7" t="n"/>
      <c r="M12" s="7" t="inlineStr">
        <is>
          <t>triangular</t>
        </is>
      </c>
      <c r="N12" s="7" t="n"/>
      <c r="O12" s="7" t="inlineStr">
        <is>
          <t>Machinery: Di Bari et al. 2026, "Unveiling the Environmental Impacts of Coreless Filament Winding" Sec. 3.3: KUKA KR210 6-axis robot, passive end-effector holding up to six pre-preg spools, robot speed 1.0 m/s, six rovings wound together. KUKA KR 210 R2700 = 1,111 kg (Exapro used-robot listing) + ~40 kg end-effector (Claude estimate).</t>
        </is>
      </c>
      <c r="P12" s="7" t="inlineStr">
        <is>
          <t>partner estimate</t>
        </is>
      </c>
      <c r="Q12" s="7" t="inlineStr">
        <is>
          <t>Same robot as lci_raw_cfw.</t>
        </is>
      </c>
    </row>
    <row r="13" ht="16" customHeight="1">
      <c r="A13" s="7" t="inlineStr">
        <is>
          <t>flax fibre CFW beam (no in-line sensing)</t>
        </is>
      </c>
      <c r="B13" s="7" t="inlineStr">
        <is>
          <t>manufacturing</t>
        </is>
      </c>
      <c r="C13" s="7" t="inlineStr">
        <is>
          <t>production</t>
        </is>
      </c>
      <c r="D13" s="7" t="inlineStr">
        <is>
          <t>Coreless filament winding</t>
        </is>
      </c>
      <c r="E13" s="7" t="n"/>
      <c r="F13" s="7" t="inlineStr">
        <is>
          <t>power</t>
        </is>
      </c>
      <c r="G13" s="8" t="inlineStr">
        <is>
          <t>Electric power the machine draws while running</t>
        </is>
      </c>
      <c r="H13" s="7" t="inlineStr">
        <is>
          <t>kW</t>
        </is>
      </c>
      <c r="I13" s="7" t="n">
        <v>0.85</v>
      </c>
      <c r="J13" s="7" t="n">
        <v>0.61</v>
      </c>
      <c r="K13" s="7" t="n">
        <v>0.85</v>
      </c>
      <c r="L13" s="7" t="n"/>
      <c r="M13" s="7" t="inlineStr">
        <is>
          <t>triangular</t>
        </is>
      </c>
      <c r="N13" s="7" t="n"/>
      <c r="O13" s="7" t="inlineStr">
        <is>
          <t>Machinery: Di Bari et al. 2026, "Unveiling the Environmental Impacts of Coreless Filament Winding" Sec. 3.3: KUKA KR210 6-axis robot, passive end-effector holding up to six pre-preg spools, robot speed 1.0 m/s, six rovings wound together. Di Bari Sec. 3.3: ~0.85 kW at 1.0 m/s (0.61 kW at 0.041 m/s).</t>
        </is>
      </c>
      <c r="P13" s="7" t="inlineStr">
        <is>
          <t>partner estimate</t>
        </is>
      </c>
      <c r="Q13" s="7" t="inlineStr">
        <is>
          <t>Paper value.</t>
        </is>
      </c>
    </row>
    <row r="14" ht="16" customHeight="1">
      <c r="A14" s="7" t="inlineStr">
        <is>
          <t>flax fibre CFW beam (no in-line sensing)</t>
        </is>
      </c>
      <c r="B14" s="7" t="inlineStr">
        <is>
          <t>manufacturing</t>
        </is>
      </c>
      <c r="C14" s="7" t="inlineStr">
        <is>
          <t>production</t>
        </is>
      </c>
      <c r="D14" s="7" t="inlineStr">
        <is>
          <t>Coreless filament winding</t>
        </is>
      </c>
      <c r="E14" s="7" t="n"/>
      <c r="F14" s="7" t="inlineStr">
        <is>
          <t>output rate</t>
        </is>
      </c>
      <c r="G14" s="8" t="inlineStr">
        <is>
          <t>Mass of material the machine processes per hour</t>
        </is>
      </c>
      <c r="H14" s="7" t="inlineStr">
        <is>
          <t>kg/hr</t>
        </is>
      </c>
      <c r="I14" s="7" t="n">
        <v>20.5</v>
      </c>
      <c r="J14" s="7" t="n">
        <v>10.3</v>
      </c>
      <c r="K14" s="7" t="n">
        <v>123</v>
      </c>
      <c r="L14" s="7" t="n"/>
      <c r="M14" s="7" t="inlineStr">
        <is>
          <t>triangular</t>
        </is>
      </c>
      <c r="N14" s="7" t="n"/>
      <c r="O14" s="7" t="inlineStr">
        <is>
          <t>Machinery: Di Bari et al. 2026, "Unveiling the Environmental Impacts of Coreless Filament Winding" Sec. 3.3: KUKA KR210 6-axis robot, passive end-effector holding up to six pre-preg spools, robot speed 1.0 m/s, six rovings wound together. Di Bari Eq. 14 charges 0.85e-3 MJ per m of roving = 1 s of robot time per m: 3600 m/h x 0.0057 kg/m = 20.5 kg/h. Max 123 kg/h = physical reading (6 rovings at 1.0 m/s = 6 m of roving per s); min 10.3 kg/h = robot at 0.5 m/s.</t>
        </is>
      </c>
      <c r="P14" s="7" t="inlineStr">
        <is>
          <t>partner estimate</t>
        </is>
      </c>
      <c r="Q14" s="7" t="inlineStr">
        <is>
          <t>Typical follows the paper's own energy model (the paper counts robot energy per metre of each roving, as if they were wound one at a time at 1 m/s). Physically, winding 6 rovings at once is 6x faster; that is the max. Compare lci_raw_cfw: 4.1 kg/h (1 roving, 0.2 m/s). Energy: 0.85/20.5 = 0.041 kWh/kg.</t>
        </is>
      </c>
    </row>
    <row r="15" ht="16" customHeight="1">
      <c r="A15" s="7" t="inlineStr">
        <is>
          <t>flax fibre CFW beam (no in-line sensing)</t>
        </is>
      </c>
      <c r="B15" s="7" t="inlineStr">
        <is>
          <t>manufacturing</t>
        </is>
      </c>
      <c r="C15" s="7" t="inlineStr">
        <is>
          <t>production</t>
        </is>
      </c>
      <c r="D15" s="7" t="inlineStr">
        <is>
          <t>Coreless filament winding</t>
        </is>
      </c>
      <c r="E15" s="7" t="n"/>
      <c r="F15" s="7" t="inlineStr">
        <is>
          <t>machine lifetime</t>
        </is>
      </c>
      <c r="G15" s="8" t="inlineStr">
        <is>
          <t>Operating hours before the machine is worn out</t>
        </is>
      </c>
      <c r="H15" s="7" t="inlineStr">
        <is>
          <t>hrs</t>
        </is>
      </c>
      <c r="I15" s="7" t="n">
        <v>36000</v>
      </c>
      <c r="J15" s="7" t="n">
        <v>30000</v>
      </c>
      <c r="K15" s="7" t="n">
        <v>45000</v>
      </c>
      <c r="L15" s="7" t="n"/>
      <c r="M15" s="7" t="inlineStr">
        <is>
          <t>triangular</t>
        </is>
      </c>
      <c r="N15" s="7" t="n"/>
      <c r="O15" s="7" t="inlineStr">
        <is>
          <t>Machinery: Di Bari et al. 2026, "Unveiling the Environmental Impacts of Coreless Filament Winding" Sec. 3.3: KUKA KR210 6-axis robot, passive end-effector holding up to six pre-preg spools, robot speed 1.0 m/s, six rovings wound together. Robot lifetime 36,000 h (robot LCA, Robotics 2021), as in lci_raw_cfw.</t>
        </is>
      </c>
      <c r="P15" s="7" t="inlineStr">
        <is>
          <t>partner estimate</t>
        </is>
      </c>
      <c r="Q15" s="7" t="inlineStr">
        <is>
          <t>Same as lci_raw_cfw.</t>
        </is>
      </c>
    </row>
    <row r="16" ht="16" customHeight="1">
      <c r="A16" s="7" t="inlineStr">
        <is>
          <t>flax fibre CFW beam (no in-line sensing)</t>
        </is>
      </c>
      <c r="B16" s="7" t="inlineStr">
        <is>
          <t>manufacturing</t>
        </is>
      </c>
      <c r="C16" s="7" t="inlineStr">
        <is>
          <t>production</t>
        </is>
      </c>
      <c r="D16" s="7" t="inlineStr">
        <is>
          <t>Coreless filament winding</t>
        </is>
      </c>
      <c r="E16" s="7" t="n"/>
      <c r="F16" s="7" t="inlineStr">
        <is>
          <t>process yield</t>
        </is>
      </c>
      <c r="G16" s="8" t="inlineStr">
        <is>
          <t>Share of the material entering this step that leaves it as usable output (the rest is waste)</t>
        </is>
      </c>
      <c r="H16" s="7" t="inlineStr">
        <is>
          <t>%</t>
        </is>
      </c>
      <c r="I16" s="7" t="n">
        <v>95</v>
      </c>
      <c r="J16" s="7" t="n">
        <v>90</v>
      </c>
      <c r="K16" s="7" t="n">
        <v>100</v>
      </c>
      <c r="L16" s="7" t="n"/>
      <c r="M16" s="7" t="inlineStr">
        <is>
          <t>triangular</t>
        </is>
      </c>
      <c r="N16" s="7" t="n"/>
      <c r="O16" s="7" t="inlineStr">
        <is>
          <t>Machinery: Di Bari et al. 2026, "Unveiling the Environmental Impacts of Coreless Filament Winding" Sec. 3.3: KUKA KR210 6-axis robot, passive end-effector holding up to six pre-preg spools, robot speed 1.0 m/s, six rovings wound together. Claude estimate as in lci_raw_cfw; Di Bari set resin loss to 0.</t>
        </is>
      </c>
      <c r="P16" s="7" t="inlineStr">
        <is>
          <t>partner estimate</t>
        </is>
      </c>
      <c r="Q16" s="7" t="inlineStr">
        <is>
          <t>Kept equal to lci_raw_cfw so the cases differ only in the process steps.</t>
        </is>
      </c>
    </row>
    <row r="17" ht="16" customHeight="1">
      <c r="A17" s="7" t="inlineStr">
        <is>
          <t>flax fibre CFW beam (no in-line sensing)</t>
        </is>
      </c>
      <c r="B17" s="7" t="inlineStr">
        <is>
          <t>manufacturing</t>
        </is>
      </c>
      <c r="C17" s="7" t="inlineStr">
        <is>
          <t>production</t>
        </is>
      </c>
      <c r="D17" s="7" t="inlineStr">
        <is>
          <t>Coreless filament winding</t>
        </is>
      </c>
      <c r="E17" s="7" t="n"/>
      <c r="F17" s="7" t="inlineStr">
        <is>
          <t>machine source</t>
        </is>
      </c>
      <c r="G17" s="8" t="inlineStr">
        <is>
          <t>Whether the machine is new (virgin) or reused/recycled (recycled)</t>
        </is>
      </c>
      <c r="H17" s="7" t="inlineStr">
        <is>
          <t>-</t>
        </is>
      </c>
      <c r="I17" s="7" t="inlineStr">
        <is>
          <t>virgin</t>
        </is>
      </c>
      <c r="J17" s="7" t="n"/>
      <c r="K17" s="7" t="n"/>
      <c r="L17" s="7" t="n"/>
      <c r="M17" s="7" t="inlineStr">
        <is>
          <t>choice</t>
        </is>
      </c>
      <c r="N17" s="7" t="inlineStr">
        <is>
          <t>virgin;recycled</t>
        </is>
      </c>
      <c r="O17" s="7" t="inlineStr">
        <is>
          <t>Assumed new (virgin) machine.</t>
        </is>
      </c>
      <c r="P17" s="7" t="inlineStr">
        <is>
          <t>partner estimate</t>
        </is>
      </c>
      <c r="Q17" s="7" t="inlineStr">
        <is>
          <t>Same convention as lci_raw_cfw.</t>
        </is>
      </c>
    </row>
    <row r="18" ht="32" customHeight="1">
      <c r="A18" s="7" t="inlineStr">
        <is>
          <t>flax fibre CFW beam (no in-line sensing)</t>
        </is>
      </c>
      <c r="B18" s="7" t="inlineStr">
        <is>
          <t>manufacturing</t>
        </is>
      </c>
      <c r="C18" s="7" t="inlineStr">
        <is>
          <t>production</t>
        </is>
      </c>
      <c r="D18" s="7" t="inlineStr">
        <is>
          <t>Curing</t>
        </is>
      </c>
      <c r="E18" s="7" t="n"/>
      <c r="F18" s="7" t="inlineStr">
        <is>
          <t>machine weight</t>
        </is>
      </c>
      <c r="G18" s="8" t="inlineStr">
        <is>
          <t>Weight of the machine used in this step (used to account for machine wear)</t>
        </is>
      </c>
      <c r="H18" s="7" t="inlineStr">
        <is>
          <t>kg</t>
        </is>
      </c>
      <c r="I18" s="7" t="n">
        <v>3000</v>
      </c>
      <c r="J18" s="7" t="n">
        <v>2000</v>
      </c>
      <c r="K18" s="7" t="n">
        <v>4000</v>
      </c>
      <c r="L18" s="7" t="n"/>
      <c r="M18" s="7" t="inlineStr">
        <is>
          <t>triangular</t>
        </is>
      </c>
      <c r="N18" s="7" t="n"/>
      <c r="O18" s="7" t="inlineStr">
        <is>
          <t>Machinery: Di Bari et al. 2026, "Unveiling the Environmental Impacts of Coreless Filament Winding" Table 3: custom curing oven 7.5 x 2 x 2.4 m (36 m3; the paper prints 3600 L), U = 0.135 W/m2K, profile 8 h at 80 C. ~75 m2 of insulated walls + frame, heaters (Claude estimate).</t>
        </is>
      </c>
      <c r="P18" s="7" t="inlineStr">
        <is>
          <t>partner estimate</t>
        </is>
      </c>
      <c r="Q18" s="7" t="inlineStr">
        <is>
          <t>Same oven as lci_raw_cfw.</t>
        </is>
      </c>
    </row>
    <row r="19" ht="16" customHeight="1">
      <c r="A19" s="7" t="inlineStr">
        <is>
          <t>flax fibre CFW beam (no in-line sensing)</t>
        </is>
      </c>
      <c r="B19" s="7" t="inlineStr">
        <is>
          <t>manufacturing</t>
        </is>
      </c>
      <c r="C19" s="7" t="inlineStr">
        <is>
          <t>production</t>
        </is>
      </c>
      <c r="D19" s="7" t="inlineStr">
        <is>
          <t>Curing</t>
        </is>
      </c>
      <c r="E19" s="7" t="n"/>
      <c r="F19" s="7" t="inlineStr">
        <is>
          <t>power</t>
        </is>
      </c>
      <c r="G19" s="8" t="inlineStr">
        <is>
          <t>Electric power the machine draws while running</t>
        </is>
      </c>
      <c r="H19" s="7" t="inlineStr">
        <is>
          <t>kW</t>
        </is>
      </c>
      <c r="I19" s="7" t="n">
        <v>0.61</v>
      </c>
      <c r="J19" s="7" t="n">
        <v>0.2</v>
      </c>
      <c r="K19" s="7" t="n">
        <v>0.8</v>
      </c>
      <c r="L19" s="7" t="n"/>
      <c r="M19" s="7" t="inlineStr">
        <is>
          <t>triangular</t>
        </is>
      </c>
      <c r="N19" s="7" t="n"/>
      <c r="O19" s="7" t="inlineStr">
        <is>
          <t>Machinery: Di Bari et al. 2026, "Unveiling the Environmental Impacts of Coreless Filament Winding" Table 3: custom curing oven 7.5 x 2 x 2.4 m (36 m3; the paper prints 3600 L), U = 0.135 W/m2K, profile 8 h at 80 C. Wall heat loss 0.135 x 75.6 m2 x 60 K = 0.61 kW (Claude calculation from Di Bari Table 3).</t>
        </is>
      </c>
      <c r="P19" s="7" t="inlineStr">
        <is>
          <t>partner estimate</t>
        </is>
      </c>
      <c r="Q19" s="7" t="inlineStr">
        <is>
          <t>Same as lci_raw_cfw.</t>
        </is>
      </c>
    </row>
    <row r="20" ht="16" customHeight="1">
      <c r="A20" s="7" t="inlineStr">
        <is>
          <t>flax fibre CFW beam (no in-line sensing)</t>
        </is>
      </c>
      <c r="B20" s="7" t="inlineStr">
        <is>
          <t>manufacturing</t>
        </is>
      </c>
      <c r="C20" s="7" t="inlineStr">
        <is>
          <t>production</t>
        </is>
      </c>
      <c r="D20" s="7" t="inlineStr">
        <is>
          <t>Curing</t>
        </is>
      </c>
      <c r="E20" s="7" t="n"/>
      <c r="F20" s="7" t="inlineStr">
        <is>
          <t>output rate</t>
        </is>
      </c>
      <c r="G20" s="8" t="inlineStr">
        <is>
          <t>Mass of material the machine processes per hour</t>
        </is>
      </c>
      <c r="H20" s="7" t="inlineStr">
        <is>
          <t>kg/hr</t>
        </is>
      </c>
      <c r="I20" s="7" t="n">
        <v>1.4</v>
      </c>
      <c r="J20" s="7" t="n">
        <v>0.5</v>
      </c>
      <c r="K20" s="7" t="n">
        <v>2.8</v>
      </c>
      <c r="L20" s="7" t="n"/>
      <c r="M20" s="7" t="inlineStr">
        <is>
          <t>triangular</t>
        </is>
      </c>
      <c r="N20" s="7" t="n"/>
      <c r="O20" s="7" t="inlineStr">
        <is>
          <t>Machinery: Di Bari et al. 2026, "Unveiling the Environmental Impacts of Coreless Filament Winding" Table 3: custom curing oven 7.5 x 2 x 2.4 m (36 m3; the paper prints 3600 L), U = 0.135 W/m2K, profile 8 h at 80 C. Calibrated to Di Bari Table 6: 0.91e-2 MJ/m (8 h/80 C) / 0.0057 kg/m = 0.44 kWh/kg; 0.61 kW / 0.44 = 1.4 kg/h. Max 2.8 = 24 h/40 C profile; min 0.5 = oven one third full.</t>
        </is>
      </c>
      <c r="P20" s="7" t="inlineStr">
        <is>
          <t>partner estimate</t>
        </is>
      </c>
      <c r="Q20" s="7" t="inlineStr">
        <is>
          <t>Identical to lci_raw_cfw: curing does not change between the cases.</t>
        </is>
      </c>
    </row>
    <row r="21" ht="16" customHeight="1">
      <c r="A21" s="7" t="inlineStr">
        <is>
          <t>flax fibre CFW beam (no in-line sensing)</t>
        </is>
      </c>
      <c r="B21" s="7" t="inlineStr">
        <is>
          <t>manufacturing</t>
        </is>
      </c>
      <c r="C21" s="7" t="inlineStr">
        <is>
          <t>production</t>
        </is>
      </c>
      <c r="D21" s="7" t="inlineStr">
        <is>
          <t>Curing</t>
        </is>
      </c>
      <c r="E21" s="7" t="n"/>
      <c r="F21" s="7" t="inlineStr">
        <is>
          <t>machine lifetime</t>
        </is>
      </c>
      <c r="G21" s="8" t="inlineStr">
        <is>
          <t>Operating hours before the machine is worn out</t>
        </is>
      </c>
      <c r="H21" s="7" t="inlineStr">
        <is>
          <t>hrs</t>
        </is>
      </c>
      <c r="I21" s="7" t="n">
        <v>30000</v>
      </c>
      <c r="J21" s="7" t="n">
        <v>20000</v>
      </c>
      <c r="K21" s="7" t="n">
        <v>50000</v>
      </c>
      <c r="L21" s="7" t="n"/>
      <c r="M21" s="7" t="inlineStr">
        <is>
          <t>triangular</t>
        </is>
      </c>
      <c r="N21" s="7" t="n"/>
      <c r="O21" s="7" t="inlineStr">
        <is>
          <t>Machinery: Di Bari et al. 2026, "Unveiling the Environmental Impacts of Coreless Filament Winding" Table 3: custom curing oven 7.5 x 2 x 2.4 m (36 m3; the paper prints 3600 L), U = 0.135 W/m2K, profile 8 h at 80 C. ~250 batches/y x 8 h x 15 y (Claude estimate).</t>
        </is>
      </c>
      <c r="P21" s="7" t="inlineStr">
        <is>
          <t>partner estimate</t>
        </is>
      </c>
      <c r="Q21" s="7" t="inlineStr">
        <is>
          <t>Same as lci_raw_cfw.</t>
        </is>
      </c>
    </row>
    <row r="22" ht="16" customHeight="1">
      <c r="A22" s="7" t="inlineStr">
        <is>
          <t>flax fibre CFW beam (no in-line sensing)</t>
        </is>
      </c>
      <c r="B22" s="7" t="inlineStr">
        <is>
          <t>manufacturing</t>
        </is>
      </c>
      <c r="C22" s="7" t="inlineStr">
        <is>
          <t>production</t>
        </is>
      </c>
      <c r="D22" s="7" t="inlineStr">
        <is>
          <t>Curing</t>
        </is>
      </c>
      <c r="E22" s="7" t="n"/>
      <c r="F22" s="7" t="inlineStr">
        <is>
          <t>process yield</t>
        </is>
      </c>
      <c r="G22" s="8" t="inlineStr">
        <is>
          <t>Share of the material entering this step that leaves it as usable output (the rest is waste)</t>
        </is>
      </c>
      <c r="H22" s="7" t="inlineStr">
        <is>
          <t>%</t>
        </is>
      </c>
      <c r="I22" s="7" t="n">
        <v>100</v>
      </c>
      <c r="J22" s="7" t="n">
        <v>98</v>
      </c>
      <c r="K22" s="7" t="n">
        <v>100</v>
      </c>
      <c r="L22" s="7" t="n"/>
      <c r="M22" s="7" t="inlineStr">
        <is>
          <t>triangular</t>
        </is>
      </c>
      <c r="N22" s="7" t="n"/>
      <c r="O22" s="7" t="inlineStr">
        <is>
          <t>Machinery: Di Bari et al. 2026, "Unveiling the Environmental Impacts of Coreless Filament Winding" Table 3: custom curing oven 7.5 x 2 x 2.4 m (36 m3; the paper prints 3600 L), U = 0.135 W/m2K, profile 8 h at 80 C. Curing removes no material (Di Bari).</t>
        </is>
      </c>
      <c r="P22" s="7" t="inlineStr">
        <is>
          <t>partner estimate</t>
        </is>
      </c>
      <c r="Q22" s="7" t="inlineStr">
        <is>
          <t>Same as lci_raw_cfw.</t>
        </is>
      </c>
    </row>
    <row r="23" ht="16" customHeight="1">
      <c r="A23" s="7" t="inlineStr">
        <is>
          <t>flax fibre CFW beam (no in-line sensing)</t>
        </is>
      </c>
      <c r="B23" s="7" t="inlineStr">
        <is>
          <t>manufacturing</t>
        </is>
      </c>
      <c r="C23" s="7" t="inlineStr">
        <is>
          <t>production</t>
        </is>
      </c>
      <c r="D23" s="7" t="inlineStr">
        <is>
          <t>Curing</t>
        </is>
      </c>
      <c r="E23" s="7" t="n"/>
      <c r="F23" s="7" t="inlineStr">
        <is>
          <t>machine source</t>
        </is>
      </c>
      <c r="G23" s="8" t="inlineStr">
        <is>
          <t>Whether the machine is new (virgin) or reused/recycled (recycled)</t>
        </is>
      </c>
      <c r="H23" s="7" t="inlineStr">
        <is>
          <t>-</t>
        </is>
      </c>
      <c r="I23" s="7" t="inlineStr">
        <is>
          <t>virgin</t>
        </is>
      </c>
      <c r="J23" s="7" t="n"/>
      <c r="K23" s="7" t="n"/>
      <c r="L23" s="7" t="n"/>
      <c r="M23" s="7" t="inlineStr">
        <is>
          <t>choice</t>
        </is>
      </c>
      <c r="N23" s="7" t="inlineStr">
        <is>
          <t>virgin;recycled</t>
        </is>
      </c>
      <c r="O23" s="7" t="inlineStr">
        <is>
          <t>Assumed new (virgin) machine.</t>
        </is>
      </c>
      <c r="P23" s="7" t="inlineStr">
        <is>
          <t>partner estimate</t>
        </is>
      </c>
      <c r="Q23" s="7" t="inlineStr">
        <is>
          <t>Same convention as lci_raw_cfw.</t>
        </is>
      </c>
    </row>
    <row r="24" ht="32" customHeight="1">
      <c r="A24" s="7" t="inlineStr">
        <is>
          <t>flax fibre CFW beam (no in-line sensing)</t>
        </is>
      </c>
      <c r="B24" s="7" t="inlineStr">
        <is>
          <t>circularity</t>
        </is>
      </c>
      <c r="C24" s="7" t="inlineStr">
        <is>
          <t>use</t>
        </is>
      </c>
      <c r="D24" s="7" t="inlineStr">
        <is>
          <t>product</t>
        </is>
      </c>
      <c r="E24" s="7" t="n"/>
      <c r="F24" s="7" t="inlineStr">
        <is>
          <t>expected lifetime</t>
        </is>
      </c>
      <c r="G24" s="8" t="inlineStr">
        <is>
          <t>Years the product lasts before any repair</t>
        </is>
      </c>
      <c r="H24" s="7" t="inlineStr">
        <is>
          <t>yrs</t>
        </is>
      </c>
      <c r="I24" s="7" t="n">
        <v>50</v>
      </c>
      <c r="J24" s="7" t="n">
        <v>30</v>
      </c>
      <c r="K24" s="7" t="n">
        <v>60</v>
      </c>
      <c r="L24" s="7" t="n"/>
      <c r="M24" s="7" t="inlineStr">
        <is>
          <t>triangular</t>
        </is>
      </c>
      <c r="N24" s="7" t="n"/>
      <c r="O24" s="7" t="inlineStr">
        <is>
          <t>Design working life 50 y (EN 1990 category 4); same as lci_raw_cfw.</t>
        </is>
      </c>
      <c r="P24" s="7" t="inlineStr">
        <is>
          <t>partner estimate</t>
        </is>
      </c>
      <c r="Q24" s="7" t="inlineStr">
        <is>
          <t>Same material as the RAW case (natural fibre/epoxy, indoor), so the same lifetime.</t>
        </is>
      </c>
    </row>
    <row r="25" ht="16" customHeight="1">
      <c r="A25" s="7" t="inlineStr">
        <is>
          <t>flax fibre CFW beam (no in-line sensing)</t>
        </is>
      </c>
      <c r="B25" s="7" t="inlineStr">
        <is>
          <t>circularity</t>
        </is>
      </c>
      <c r="C25" s="7" t="inlineStr">
        <is>
          <t>end-of-life</t>
        </is>
      </c>
      <c r="D25" s="7" t="inlineStr">
        <is>
          <t>waste</t>
        </is>
      </c>
      <c r="E25" s="7" t="inlineStr">
        <is>
          <t>composted</t>
        </is>
      </c>
      <c r="F25" s="7" t="inlineStr">
        <is>
          <t>share of waste</t>
        </is>
      </c>
      <c r="G25" s="8" t="inlineStr">
        <is>
          <t>Share of the product's end-of-life mass that goes to this route (the routes add up to 100 %): composted</t>
        </is>
      </c>
      <c r="H25" s="7" t="inlineStr">
        <is>
          <t>%</t>
        </is>
      </c>
      <c r="I25" s="7" t="n">
        <v>0</v>
      </c>
      <c r="J25" s="7" t="n">
        <v>0</v>
      </c>
      <c r="K25" s="7" t="n">
        <v>0</v>
      </c>
      <c r="L25" s="7" t="n"/>
      <c r="M25" s="7" t="inlineStr">
        <is>
          <t>fixed</t>
        </is>
      </c>
      <c r="N25" s="7" t="n"/>
      <c r="O25" s="7" t="inlineStr">
        <is>
          <t>Di Bari et al. 2026, "Unveiling the Environmental Impacts of Coreless Filament Winding", Sec. 5.1-5.2: incineration with energy recovery is the default EoL of the flax/epoxy CFW element; mechanical and chemical recycling are not yet practised.</t>
        </is>
      </c>
      <c r="P25" s="7" t="inlineStr">
        <is>
          <t>partner estimate</t>
        </is>
      </c>
      <c r="Q25" s="7" t="inlineStr">
        <is>
          <t>Thermoset epoxy is not compostable.</t>
        </is>
      </c>
    </row>
    <row r="26" ht="16" customHeight="1">
      <c r="A26" s="7" t="inlineStr">
        <is>
          <t>flax fibre CFW beam (no in-line sensing)</t>
        </is>
      </c>
      <c r="B26" s="7" t="inlineStr">
        <is>
          <t>circularity</t>
        </is>
      </c>
      <c r="C26" s="7" t="inlineStr">
        <is>
          <t>end-of-life</t>
        </is>
      </c>
      <c r="D26" s="7" t="inlineStr">
        <is>
          <t>waste</t>
        </is>
      </c>
      <c r="E26" s="7" t="inlineStr">
        <is>
          <t>recycled_open</t>
        </is>
      </c>
      <c r="F26" s="7" t="inlineStr">
        <is>
          <t>share of waste</t>
        </is>
      </c>
      <c r="G26" s="8" t="inlineStr">
        <is>
          <t>Share of the product's end-of-life mass that goes to this route (the routes add up to 100 %): recycled (open loop)</t>
        </is>
      </c>
      <c r="H26" s="7" t="inlineStr">
        <is>
          <t>%</t>
        </is>
      </c>
      <c r="I26" s="7" t="n">
        <v>5</v>
      </c>
      <c r="J26" s="7" t="n">
        <v>0</v>
      </c>
      <c r="K26" s="7" t="n">
        <v>10</v>
      </c>
      <c r="L26" s="7" t="n"/>
      <c r="M26" s="7" t="inlineStr">
        <is>
          <t>triangular</t>
        </is>
      </c>
      <c r="N26" s="7" t="n"/>
      <c r="O26" s="7" t="inlineStr">
        <is>
          <t>Di Bari et al. 2026, "Unveiling the Environmental Impacts of Coreless Filament Winding", Sec. 5.1-5.2: incineration with energy recovery is the default EoL of the flax/epoxy CFW element; mechanical and chemical recycling are not yet practised.</t>
        </is>
      </c>
      <c r="P26" s="7" t="inlineStr">
        <is>
          <t>partner estimate</t>
        </is>
      </c>
      <c r="Q26" s="7" t="inlineStr">
        <is>
          <t>Same as lci_raw_cfw (same material).</t>
        </is>
      </c>
    </row>
    <row r="27" ht="16" customHeight="1">
      <c r="A27" s="7" t="inlineStr">
        <is>
          <t>flax fibre CFW beam (no in-line sensing)</t>
        </is>
      </c>
      <c r="B27" s="7" t="inlineStr">
        <is>
          <t>circularity</t>
        </is>
      </c>
      <c r="C27" s="7" t="inlineStr">
        <is>
          <t>end-of-life</t>
        </is>
      </c>
      <c r="D27" s="7" t="inlineStr">
        <is>
          <t>waste</t>
        </is>
      </c>
      <c r="E27" s="7" t="inlineStr">
        <is>
          <t>recycled_closed</t>
        </is>
      </c>
      <c r="F27" s="7" t="inlineStr">
        <is>
          <t>share of waste</t>
        </is>
      </c>
      <c r="G27" s="8" t="inlineStr">
        <is>
          <t>Share of the product's end-of-life mass that goes to this route (the routes add up to 100 %): recycled (closed loop)</t>
        </is>
      </c>
      <c r="H27" s="7" t="inlineStr">
        <is>
          <t>%</t>
        </is>
      </c>
      <c r="I27" s="7" t="n">
        <v>0</v>
      </c>
      <c r="J27" s="7" t="n">
        <v>0</v>
      </c>
      <c r="K27" s="7" t="n">
        <v>0</v>
      </c>
      <c r="L27" s="7" t="n"/>
      <c r="M27" s="7" t="inlineStr">
        <is>
          <t>fixed</t>
        </is>
      </c>
      <c r="N27" s="7" t="n"/>
      <c r="O27" s="7" t="inlineStr">
        <is>
          <t>Di Bari et al. 2026, "Unveiling the Environmental Impacts of Coreless Filament Winding", Sec. 5.1-5.2: incineration with energy recovery is the default EoL of the flax/epoxy CFW element; mechanical and chemical recycling are not yet practised.</t>
        </is>
      </c>
      <c r="P27" s="7" t="inlineStr">
        <is>
          <t>partner estimate</t>
        </is>
      </c>
      <c r="Q27" s="7" t="inlineStr">
        <is>
          <t>No fibre-to-fibre route exists.</t>
        </is>
      </c>
    </row>
    <row r="28" ht="16" customHeight="1">
      <c r="A28" s="7" t="inlineStr">
        <is>
          <t>flax fibre CFW beam (no in-line sensing)</t>
        </is>
      </c>
      <c r="B28" s="7" t="inlineStr">
        <is>
          <t>circularity</t>
        </is>
      </c>
      <c r="C28" s="7" t="inlineStr">
        <is>
          <t>end-of-life</t>
        </is>
      </c>
      <c r="D28" s="7" t="inlineStr">
        <is>
          <t>waste</t>
        </is>
      </c>
      <c r="E28" s="7" t="inlineStr">
        <is>
          <t>incinerated</t>
        </is>
      </c>
      <c r="F28" s="7" t="inlineStr">
        <is>
          <t>share of waste</t>
        </is>
      </c>
      <c r="G28" s="8" t="inlineStr">
        <is>
          <t>Share of the product's end-of-life mass that goes to this route (the routes add up to 100 %): incinerated with energy recovery</t>
        </is>
      </c>
      <c r="H28" s="7" t="inlineStr">
        <is>
          <t>%</t>
        </is>
      </c>
      <c r="I28" s="7" t="n">
        <v>85</v>
      </c>
      <c r="J28" s="7" t="n">
        <v>75</v>
      </c>
      <c r="K28" s="7" t="n">
        <v>95</v>
      </c>
      <c r="L28" s="7" t="n"/>
      <c r="M28" s="7" t="inlineStr">
        <is>
          <t>triangular</t>
        </is>
      </c>
      <c r="N28" s="7" t="n"/>
      <c r="O28" s="7" t="inlineStr">
        <is>
          <t>Di Bari et al. 2026, "Unveiling the Environmental Impacts of Coreless Filament Winding", Sec. 5.1-5.2: incineration with energy recovery is the default EoL of the flax/epoxy CFW element; mechanical and chemical recycling are not yet practised.</t>
        </is>
      </c>
      <c r="P28" s="7" t="inlineStr">
        <is>
          <t>partner estimate</t>
        </is>
      </c>
      <c r="Q28" s="7" t="inlineStr">
        <is>
          <t>Same as lci_raw_cfw: Di Bari default; NL bans landfill of combustibles (general knowledge, not re-checked).</t>
        </is>
      </c>
    </row>
    <row r="29" ht="16" customHeight="1">
      <c r="A29" s="7" t="inlineStr">
        <is>
          <t>flax fibre CFW beam (no in-line sensing)</t>
        </is>
      </c>
      <c r="B29" s="7" t="inlineStr">
        <is>
          <t>circularity</t>
        </is>
      </c>
      <c r="C29" s="7" t="inlineStr">
        <is>
          <t>end-of-life</t>
        </is>
      </c>
      <c r="D29" s="7" t="inlineStr">
        <is>
          <t>waste</t>
        </is>
      </c>
      <c r="E29" s="7" t="inlineStr">
        <is>
          <t>landfilled</t>
        </is>
      </c>
      <c r="F29" s="7" t="inlineStr">
        <is>
          <t>share of waste</t>
        </is>
      </c>
      <c r="G29" s="8" t="inlineStr">
        <is>
          <t>Share of the product's end-of-life mass that goes to this route (the routes add up to 100 %): landfilled</t>
        </is>
      </c>
      <c r="H29" s="7" t="inlineStr">
        <is>
          <t>%</t>
        </is>
      </c>
      <c r="I29" s="7" t="n">
        <v>10</v>
      </c>
      <c r="J29" s="7" t="n">
        <v>0</v>
      </c>
      <c r="K29" s="7" t="n">
        <v>20</v>
      </c>
      <c r="L29" s="7" t="n"/>
      <c r="M29" s="7" t="inlineStr">
        <is>
          <t>triangular</t>
        </is>
      </c>
      <c r="N29" s="7" t="n"/>
      <c r="O29" s="7" t="inlineStr">
        <is>
          <t>Di Bari et al. 2026, "Unveiling the Environmental Impacts of Coreless Filament Winding", Sec. 5.1-5.2: incineration with energy recovery is the default EoL of the flax/epoxy CFW element; mechanical and chemical recycling are not yet practised.</t>
        </is>
      </c>
      <c r="P29" s="7" t="inlineStr">
        <is>
          <t>partner estimate</t>
        </is>
      </c>
      <c r="Q29" s="7" t="inlineStr">
        <is>
          <t>Same as lci_raw_cfw. Shares 0+5+0+85+10 = 100%.</t>
        </is>
      </c>
    </row>
    <row r="30" ht="32" customHeight="1">
      <c r="A30" s="7" t="inlineStr">
        <is>
          <t>flax fibre CFW beam (no in-line sensing)</t>
        </is>
      </c>
      <c r="B30" s="7" t="inlineStr">
        <is>
          <t>location</t>
        </is>
      </c>
      <c r="C30" s="7" t="inlineStr">
        <is>
          <t>general</t>
        </is>
      </c>
      <c r="D30" s="7" t="inlineStr">
        <is>
          <t>product</t>
        </is>
      </c>
      <c r="E30" s="7" t="n"/>
      <c r="F30" s="7" t="inlineStr">
        <is>
          <t>location</t>
        </is>
      </c>
      <c r="G30" s="8" t="inlineStr">
        <is>
          <t>Country whose electricity mix is used for every process step, and whose grid is displaced by energy recovered at end of life</t>
        </is>
      </c>
      <c r="H30" s="7" t="inlineStr">
        <is>
          <t>country code</t>
        </is>
      </c>
      <c r="I30" s="7" t="inlineStr">
        <is>
          <t>NL</t>
        </is>
      </c>
      <c r="J30" s="7" t="n"/>
      <c r="K30" s="7" t="n"/>
      <c r="L30" s="7" t="n"/>
      <c r="M30" s="7" t="inlineStr">
        <is>
          <t>choice</t>
        </is>
      </c>
      <c r="N30" s="7" t="n"/>
      <c r="O30" s="7" t="inlineStr">
        <is>
          <t>Model choice: Netherlands, same as lci_raw_cfw.</t>
        </is>
      </c>
      <c r="P30" s="7" t="inlineStr">
        <is>
          <t>partner estimate</t>
        </is>
      </c>
      <c r="Q30" s="7" t="inlineStr">
        <is>
          <t>Change if the baseline should reflect German (Stuttgart) production.</t>
        </is>
      </c>
    </row>
    <row r="31" ht="16" customHeight="1"/>
    <row r="32" ht="16" customHeight="1"/>
    <row r="33" ht="16" customHeight="1"/>
    <row r="34" ht="16" customHeight="1"/>
    <row r="35" ht="16" customHeight="1"/>
    <row r="36" ht="32" customHeight="1"/>
    <row r="37" ht="32" customHeight="1"/>
    <row r="38" ht="16" customHeight="1"/>
    <row r="39" ht="16" customHeight="1"/>
    <row r="40" ht="16" customHeight="1"/>
    <row r="41" ht="16" customHeight="1"/>
    <row r="42" ht="32" customHeight="1"/>
    <row r="43" ht="32" customHeight="1"/>
  </sheetData>
  <conditionalFormatting sqref="I2:I245">
    <cfRule type="expression" priority="3" dxfId="0">
      <formula>AND($F2&lt;&gt;"",$I2="")</formula>
    </cfRule>
  </conditionalFormatting>
  <conditionalFormatting sqref="I2:P245">
    <cfRule type="expression" priority="1" dxfId="1">
      <formula>$P2="placeholder"</formula>
    </cfRule>
  </conditionalFormatting>
  <conditionalFormatting sqref="J2:K245">
    <cfRule type="expression" priority="2" dxfId="0">
      <formula>AND(OR($M2="triangular",$M2="uniform"),OR($J2="",$K2=""))</formula>
    </cfRule>
  </conditionalFormatting>
  <dataValidations count="4">
    <dataValidation sqref="B2:B245" showDropDown="0" showInputMessage="0" showErrorMessage="0" allowBlank="1" type="list">
      <formula1>"design,manufacturing,circularity,location"</formula1>
    </dataValidation>
    <dataValidation sqref="C2:C245" showDropDown="0" showInputMessage="0" showErrorMessage="0" allowBlank="1" type="list">
      <formula1>"product size,production,repair,use,end-of-life,general"</formula1>
    </dataValidation>
    <dataValidation sqref="M2:M245" showDropDown="0" showInputMessage="0" showErrorMessage="0" allowBlank="1" type="list">
      <formula1>"fixed,triangular,uniform,choice,combination"</formula1>
    </dataValidation>
    <dataValidation sqref="P2:P245" showDropDown="0" showInputMessage="0" showErrorMessage="0" allowBlank="1" type="list">
      <formula1>"placeholder,partner estimate,measured,literature"</formula1>
    </dataValidation>
  </dataValidations>
  <pageMargins left="0.75" right="0.75" top="1" bottom="1" header="0.5" footer="0.5"/>
</worksheet>
</file>

<file path=xl/worksheets/sheet11.xml><?xml version="1.0" encoding="utf-8"?>
<worksheet xmlns="http://schemas.openxmlformats.org/spreadsheetml/2006/main">
  <sheetPr>
    <tabColor rgb="FF76A5AF"/>
    <outlinePr summaryBelow="1" summaryRight="1"/>
    <pageSetUpPr/>
  </sheetPr>
  <dimension ref="A1:Q30"/>
  <sheetViews>
    <sheetView workbookViewId="0">
      <pane xSplit="6" ySplit="1" topLeftCell="G2" activePane="bottomRight" state="frozen"/>
      <selection pane="topRight"/>
      <selection pane="bottomLeft"/>
      <selection pane="bottomRight" activeCell="A1" sqref="A1"/>
    </sheetView>
  </sheetViews>
  <sheetFormatPr baseColWidth="10" defaultColWidth="8.83203125" defaultRowHeight="15"/>
  <cols>
    <col width="9" customWidth="1" min="1" max="1"/>
    <col width="15" customWidth="1" min="2" max="2"/>
    <col width="13" customWidth="1" min="3" max="3"/>
    <col width="27" customWidth="1" min="4" max="4"/>
    <col width="17" customWidth="1" min="5" max="5"/>
    <col width="34" customWidth="1" min="6" max="6"/>
    <col width="60" customWidth="1" min="7" max="7"/>
    <col width="14" customWidth="1" min="8" max="8"/>
    <col width="9" customWidth="1" min="9" max="10"/>
    <col width="13" customWidth="1" min="11" max="12"/>
    <col width="17" customWidth="1" min="13" max="13"/>
    <col width="40" customWidth="1" min="14" max="14"/>
    <col width="13" customWidth="1" min="15" max="15"/>
    <col width="40" customWidth="1" min="16" max="16"/>
  </cols>
  <sheetData>
    <row r="1">
      <c r="A1" s="6" t="inlineStr">
        <is>
          <t>case</t>
        </is>
      </c>
      <c r="B1" s="6" t="inlineStr">
        <is>
          <t>group</t>
        </is>
      </c>
      <c r="C1" s="6" t="inlineStr">
        <is>
          <t>stage</t>
        </is>
      </c>
      <c r="D1" s="6" t="inlineStr">
        <is>
          <t>item</t>
        </is>
      </c>
      <c r="E1" s="6" t="inlineStr">
        <is>
          <t>qualifier</t>
        </is>
      </c>
      <c r="F1" s="6" t="inlineStr">
        <is>
          <t>parameter</t>
        </is>
      </c>
      <c r="G1" s="6" t="inlineStr">
        <is>
          <t>description</t>
        </is>
      </c>
      <c r="H1" s="6" t="inlineStr">
        <is>
          <t>unit</t>
        </is>
      </c>
      <c r="I1" s="6" t="inlineStr">
        <is>
          <t>typical</t>
        </is>
      </c>
      <c r="J1" s="6" t="inlineStr">
        <is>
          <t>min</t>
        </is>
      </c>
      <c r="K1" s="6" t="inlineStr">
        <is>
          <t>max</t>
        </is>
      </c>
      <c r="L1" s="6" t="inlineStr">
        <is>
          <t>scaled_up</t>
        </is>
      </c>
      <c r="M1" s="6" t="inlineStr">
        <is>
          <t>distribution</t>
        </is>
      </c>
      <c r="N1" s="6" t="inlineStr">
        <is>
          <t>choices</t>
        </is>
      </c>
      <c r="O1" s="6" t="inlineStr">
        <is>
          <t>source</t>
        </is>
      </c>
      <c r="P1" s="6" t="inlineStr">
        <is>
          <t>status</t>
        </is>
      </c>
      <c r="Q1" s="6" t="inlineStr">
        <is>
          <t>comments</t>
        </is>
      </c>
    </row>
    <row r="2" ht="16" customHeight="1">
      <c r="A2" s="7" t="inlineStr">
        <is>
          <t>glass fibre CFW beam</t>
        </is>
      </c>
      <c r="B2" s="7" t="inlineStr">
        <is>
          <t>design</t>
        </is>
      </c>
      <c r="C2" s="7" t="inlineStr">
        <is>
          <t>product size</t>
        </is>
      </c>
      <c r="D2" s="7" t="inlineStr">
        <is>
          <t>product</t>
        </is>
      </c>
      <c r="E2" s="7" t="n"/>
      <c r="F2" s="7" t="inlineStr">
        <is>
          <t>fibre_length_per_span</t>
        </is>
      </c>
      <c r="G2" s="7" t="inlineStr">
        <is>
          <t>Metres of fibre wound per metre of beam span</t>
        </is>
      </c>
      <c r="H2" s="7" t="inlineStr">
        <is>
          <t>m/m</t>
        </is>
      </c>
      <c r="I2" s="7" t="n">
        <v>275</v>
      </c>
      <c r="J2" s="7" t="n">
        <v>150</v>
      </c>
      <c r="K2" s="7" t="n">
        <v>550</v>
      </c>
      <c r="L2" s="7" t="n"/>
      <c r="M2" s="7" t="inlineStr">
        <is>
          <t>triangular</t>
        </is>
      </c>
      <c r="N2" s="7" t="n"/>
      <c r="O2" s="7" t="inlineStr">
        <is>
          <t>Claude estimate scaled from the flax value (550 m/m) by axial stiffness per roving: flax roving ~12 GPa x 1.66 mm2 = 20 kN (Duque Estrada et al. 2026, Sci. Rep. 16:8154: Safilin flax 12 GPa, 1.44 g/cm3); E-glass ~76 GPa x 0.94 mm2 (2.4 g/m / 2.55 g/cm3) = 71 kN, i.e. ~3.6x stiffer per roving. Fibre modulus of E-glass from general knowledge, not re-checked.</t>
        </is>
      </c>
      <c r="P2" s="7" t="inlineStr">
        <is>
          <t>partner estimate</t>
        </is>
      </c>
      <c r="Q2" s="7" t="inlineStr">
        <is>
          <t>Glass needs fewer metres of roving for the same beam stiffness: pure stiffness scaling gives 550/3.6 = ~150 m/m (min). Typical 275 (half the flax value) because CFW layups also need minimum numbers of passes and edge/anchor fibres that do not scale with stiffness; max 550 = same layup as flax. Highly uncertain: Di Bari stress that comparisons should be on equal structural capacity from a structural model; replace with a structural design when available.</t>
        </is>
      </c>
    </row>
    <row r="3" ht="16" customHeight="1">
      <c r="A3" s="7" t="inlineStr">
        <is>
          <t>glass fibre CFW beam</t>
        </is>
      </c>
      <c r="B3" s="7" t="inlineStr">
        <is>
          <t>design</t>
        </is>
      </c>
      <c r="C3" s="7" t="inlineStr">
        <is>
          <t>product size</t>
        </is>
      </c>
      <c r="D3" s="7" t="inlineStr">
        <is>
          <t>product</t>
        </is>
      </c>
      <c r="E3" s="7" t="n"/>
      <c r="F3" s="7" t="inlineStr">
        <is>
          <t>fibre_mass_per_length</t>
        </is>
      </c>
      <c r="G3" s="7" t="inlineStr">
        <is>
          <t>Mass of one metre of fibre (incl. resin)</t>
        </is>
      </c>
      <c r="H3" s="7" t="inlineStr">
        <is>
          <t>kg/m</t>
        </is>
      </c>
      <c r="I3" s="7" t="n">
        <v>0.0035</v>
      </c>
      <c r="J3" s="7" t="n">
        <v>0.0031</v>
      </c>
      <c r="K3" s="7" t="n">
        <v>0.004</v>
      </c>
      <c r="L3" s="7" t="n"/>
      <c r="M3" s="7" t="inlineStr">
        <is>
          <t>triangular</t>
        </is>
      </c>
      <c r="N3" s="7" t="n"/>
      <c r="O3" s="7" t="inlineStr">
        <is>
          <t>Gil Pérez et al. 2021, Materials 14:5509 (Univ. Stuttgart, glass-fibre coreless-wound components; elib.uni-stuttgart.de/bitstream/11682/12343): glass roving Owens Corning PipeStrand S2300, 2400 tex; fibre volume ratio 50.0 +- 1.3% (47.5% per component); epoxy Hexion Epikote MGS LR135 + hardeners (1.15 g/cm3 assumed).</t>
        </is>
      </c>
      <c r="P3" s="7" t="inlineStr">
        <is>
          <t>literature</t>
        </is>
      </c>
      <c r="Q3" s="7" t="inlineStr">
        <is>
          <t>Per m of roving: 2.4 g glass + resin at FVR 50%: glass 2.4/2.55 = 0.94 cm3, so resin 0.94 cm3 x 1.15 = 1.08 g; total 3.5 g/m (glass mass share 69%). Glass and epoxy densities (2.55, 1.15 g/cm3) are general values, not re-checked. Range: FVR 55% (3.1 g/m) to 45% (4.0 g/m). 1 m of span = 275 x 0.0035 = 0.96 kg.</t>
        </is>
      </c>
    </row>
    <row r="4" ht="32" customHeight="1">
      <c r="A4" s="7" t="inlineStr">
        <is>
          <t>glass fibre CFW beam</t>
        </is>
      </c>
      <c r="B4" s="7" t="inlineStr">
        <is>
          <t>design</t>
        </is>
      </c>
      <c r="C4" s="7" t="inlineStr">
        <is>
          <t>production</t>
        </is>
      </c>
      <c r="D4" s="7" t="inlineStr">
        <is>
          <t>glass fibre</t>
        </is>
      </c>
      <c r="E4" s="7" t="n"/>
      <c r="F4" s="7" t="inlineStr">
        <is>
          <t>share of input mass</t>
        </is>
      </c>
      <c r="G4" s="8" t="inlineStr">
        <is>
          <t>Share of the production input mass made of this material (virgin); the shares of one stage add up to 100 %</t>
        </is>
      </c>
      <c r="H4" s="7" t="inlineStr">
        <is>
          <t>%</t>
        </is>
      </c>
      <c r="I4" s="7" t="n">
        <v>69</v>
      </c>
      <c r="J4" s="7" t="n">
        <v>64</v>
      </c>
      <c r="K4" s="7" t="n">
        <v>73</v>
      </c>
      <c r="L4" s="7" t="n"/>
      <c r="M4" s="7" t="inlineStr">
        <is>
          <t>triangular</t>
        </is>
      </c>
      <c r="N4" s="7" t="n"/>
      <c r="O4" s="7" t="inlineStr">
        <is>
          <t>Gil Pérez et al. 2021, Materials 14:5509 (Univ. Stuttgart, glass-fibre coreless-wound components; elib.uni-stuttgart.de/bitstream/11682/12343): fibre volume ratio 50% -&gt; mass share 69% (glass 2.55, epoxy 1.15 g/cm3).</t>
        </is>
      </c>
      <c r="P4" s="7" t="inlineStr">
        <is>
          <t>literature</t>
        </is>
      </c>
      <c r="Q4" s="7" t="inlineStr">
        <is>
          <t>Range = FVR 45-55%. Uses the existing "glass fibre" activity (market for glass fibre, GLO).</t>
        </is>
      </c>
    </row>
    <row r="5" ht="32" customHeight="1">
      <c r="A5" s="7" t="inlineStr">
        <is>
          <t>glass fibre CFW beam</t>
        </is>
      </c>
      <c r="B5" s="7" t="inlineStr">
        <is>
          <t>design</t>
        </is>
      </c>
      <c r="C5" s="7" t="inlineStr">
        <is>
          <t>production</t>
        </is>
      </c>
      <c r="D5" s="7" t="inlineStr">
        <is>
          <t>Fiber glue (epoxy resin)</t>
        </is>
      </c>
      <c r="E5" s="7" t="inlineStr">
        <is>
          <t>virgin</t>
        </is>
      </c>
      <c r="F5" s="7" t="inlineStr">
        <is>
          <t>share of input mass</t>
        </is>
      </c>
      <c r="G5" s="8" t="inlineStr">
        <is>
          <t>Share of the production input mass made of this material (virgin); the shares of one stage add up to 100 %</t>
        </is>
      </c>
      <c r="H5" s="7" t="inlineStr">
        <is>
          <t>%</t>
        </is>
      </c>
      <c r="I5" s="7" t="n">
        <v>31</v>
      </c>
      <c r="J5" s="7" t="n">
        <v>27</v>
      </c>
      <c r="K5" s="7" t="n">
        <v>36</v>
      </c>
      <c r="L5" s="7" t="n"/>
      <c r="M5" s="7" t="inlineStr">
        <is>
          <t>triangular</t>
        </is>
      </c>
      <c r="N5" s="7" t="n"/>
      <c r="O5" s="7" t="inlineStr">
        <is>
          <t>Gil Pérez et al. 2021, Materials 14:5509 (Univ. Stuttgart, glass-fibre coreless-wound components; elib.uni-stuttgart.de/bitstream/11682/12343): Hexion Epikote MGS LR 135 epoxy with Epikure hardeners (fossil), plus 2.9 wt% UV absorber.</t>
        </is>
      </c>
      <c r="P5" s="7" t="inlineStr">
        <is>
          <t>literature</t>
        </is>
      </c>
      <c r="Q5" s="7" t="inlineStr">
        <is>
          <t>Complement of the glass share; hardener and UV absorber folded into the epoxy (as in the other CFW sheets).</t>
        </is>
      </c>
    </row>
    <row r="6" ht="32" customHeight="1">
      <c r="A6" s="7" t="inlineStr">
        <is>
          <t>glass fibre CFW beam</t>
        </is>
      </c>
      <c r="B6" s="7" t="inlineStr">
        <is>
          <t>manufacturing</t>
        </is>
      </c>
      <c r="C6" s="7" t="inlineStr">
        <is>
          <t>production</t>
        </is>
      </c>
      <c r="D6" s="7" t="inlineStr">
        <is>
          <t>Resin bath impregnation</t>
        </is>
      </c>
      <c r="E6" s="7" t="n"/>
      <c r="F6" s="7" t="inlineStr">
        <is>
          <t>machine weight</t>
        </is>
      </c>
      <c r="G6" s="8" t="inlineStr">
        <is>
          <t>Weight of the machine used in this step (used to account for machine wear)</t>
        </is>
      </c>
      <c r="H6" s="7" t="inlineStr">
        <is>
          <t>kg</t>
        </is>
      </c>
      <c r="I6" s="7" t="n">
        <v>20</v>
      </c>
      <c r="J6" s="7" t="n">
        <v>10</v>
      </c>
      <c r="K6" s="7" t="n">
        <v>40</v>
      </c>
      <c r="L6" s="7" t="n"/>
      <c r="M6" s="7" t="inlineStr">
        <is>
          <t>triangular</t>
        </is>
      </c>
      <c r="N6" s="7" t="n"/>
      <c r="O6" s="7" t="inlineStr">
        <is>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Resin bath, rollers and tensioner ~20 kg (Claude estimate).</t>
        </is>
      </c>
      <c r="P6" s="7" t="inlineStr">
        <is>
          <t>partner estimate</t>
        </is>
      </c>
      <c r="Q6" s="7" t="inlineStr">
        <is>
          <t>Negligible.</t>
        </is>
      </c>
    </row>
    <row r="7" ht="32" customHeight="1">
      <c r="A7" s="7" t="inlineStr">
        <is>
          <t>glass fibre CFW beam</t>
        </is>
      </c>
      <c r="B7" s="7" t="inlineStr">
        <is>
          <t>manufacturing</t>
        </is>
      </c>
      <c r="C7" s="7" t="inlineStr">
        <is>
          <t>production</t>
        </is>
      </c>
      <c r="D7" s="7" t="inlineStr">
        <is>
          <t>Resin bath impregnation</t>
        </is>
      </c>
      <c r="E7" s="7" t="n"/>
      <c r="F7" s="7" t="inlineStr">
        <is>
          <t>power</t>
        </is>
      </c>
      <c r="G7" s="8" t="inlineStr">
        <is>
          <t>Electric power the machine draws while running</t>
        </is>
      </c>
      <c r="H7" s="7" t="inlineStr">
        <is>
          <t>kW</t>
        </is>
      </c>
      <c r="I7" s="7" t="n">
        <v>0</v>
      </c>
      <c r="J7" s="7" t="n">
        <v>0</v>
      </c>
      <c r="K7" s="7" t="n">
        <v>0.02</v>
      </c>
      <c r="L7" s="7" t="n"/>
      <c r="M7" s="7" t="inlineStr">
        <is>
          <t>triangular</t>
        </is>
      </c>
      <c r="N7" s="7" t="n"/>
      <c r="O7" s="7" t="inlineStr">
        <is>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Passive: fibres are pulled through the bath by the robot (Di Bari Sec. 3.3). Max 20 W for an optional tensioner motor (assumption).</t>
        </is>
      </c>
      <c r="P7" s="7" t="inlineStr">
        <is>
          <t>partner estimate</t>
        </is>
      </c>
      <c r="Q7" s="7" t="inlineStr">
        <is>
          <t>Its energy is inside the robot power.</t>
        </is>
      </c>
    </row>
    <row r="8" ht="16" customHeight="1">
      <c r="A8" s="7" t="inlineStr">
        <is>
          <t>glass fibre CFW beam</t>
        </is>
      </c>
      <c r="B8" s="7" t="inlineStr">
        <is>
          <t>manufacturing</t>
        </is>
      </c>
      <c r="C8" s="7" t="inlineStr">
        <is>
          <t>production</t>
        </is>
      </c>
      <c r="D8" s="7" t="inlineStr">
        <is>
          <t>Resin bath impregnation</t>
        </is>
      </c>
      <c r="E8" s="7" t="n"/>
      <c r="F8" s="7" t="inlineStr">
        <is>
          <t>output rate</t>
        </is>
      </c>
      <c r="G8" s="8" t="inlineStr">
        <is>
          <t>Mass of material the machine processes per hour</t>
        </is>
      </c>
      <c r="H8" s="7" t="inlineStr">
        <is>
          <t>kg/hr</t>
        </is>
      </c>
      <c r="I8" s="7" t="n">
        <v>5.6</v>
      </c>
      <c r="J8" s="7" t="n">
        <v>3</v>
      </c>
      <c r="K8" s="7" t="n">
        <v>10</v>
      </c>
      <c r="L8" s="7" t="n"/>
      <c r="M8" s="7" t="inlineStr">
        <is>
          <t>triangular</t>
        </is>
      </c>
      <c r="N8" s="7" t="n"/>
      <c r="O8" s="7" t="inlineStr">
        <is>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Same as the winding step (in-line with the robot).</t>
        </is>
      </c>
      <c r="P8" s="7" t="inlineStr">
        <is>
          <t>partner estimate</t>
        </is>
      </c>
      <c r="Q8" s="7" t="inlineStr">
        <is>
          <t>Composite-mass basis, like every step on this sheet.</t>
        </is>
      </c>
    </row>
    <row r="9" ht="16" customHeight="1">
      <c r="A9" s="7" t="inlineStr">
        <is>
          <t>glass fibre CFW beam</t>
        </is>
      </c>
      <c r="B9" s="7" t="inlineStr">
        <is>
          <t>manufacturing</t>
        </is>
      </c>
      <c r="C9" s="7" t="inlineStr">
        <is>
          <t>production</t>
        </is>
      </c>
      <c r="D9" s="7" t="inlineStr">
        <is>
          <t>Resin bath impregnation</t>
        </is>
      </c>
      <c r="E9" s="7" t="n"/>
      <c r="F9" s="7" t="inlineStr">
        <is>
          <t>machine lifetime</t>
        </is>
      </c>
      <c r="G9" s="8" t="inlineStr">
        <is>
          <t>Operating hours before the machine is worn out</t>
        </is>
      </c>
      <c r="H9" s="7" t="inlineStr">
        <is>
          <t>hrs</t>
        </is>
      </c>
      <c r="I9" s="7" t="n">
        <v>20000</v>
      </c>
      <c r="J9" s="7" t="n">
        <v>10000</v>
      </c>
      <c r="K9" s="7" t="n">
        <v>40000</v>
      </c>
      <c r="L9" s="7" t="n"/>
      <c r="M9" s="7" t="inlineStr">
        <is>
          <t>triangular</t>
        </is>
      </c>
      <c r="N9" s="7" t="n"/>
      <c r="O9" s="7" t="inlineStr">
        <is>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Claude estimate.</t>
        </is>
      </c>
      <c r="P9" s="7" t="inlineStr">
        <is>
          <t>partner estimate</t>
        </is>
      </c>
      <c r="Q9" s="7" t="inlineStr">
        <is>
          <t>Negligible effect.</t>
        </is>
      </c>
    </row>
    <row r="10" ht="16" customHeight="1">
      <c r="A10" s="7" t="inlineStr">
        <is>
          <t>glass fibre CFW beam</t>
        </is>
      </c>
      <c r="B10" s="7" t="inlineStr">
        <is>
          <t>manufacturing</t>
        </is>
      </c>
      <c r="C10" s="7" t="inlineStr">
        <is>
          <t>production</t>
        </is>
      </c>
      <c r="D10" s="7" t="inlineStr">
        <is>
          <t>Resin bath impregnation</t>
        </is>
      </c>
      <c r="E10" s="7" t="n"/>
      <c r="F10" s="7" t="inlineStr">
        <is>
          <t>process yield</t>
        </is>
      </c>
      <c r="G10" s="8" t="inlineStr">
        <is>
          <t>Share of the material entering this step that leaves it as usable output (the rest is waste)</t>
        </is>
      </c>
      <c r="H10" s="7" t="inlineStr">
        <is>
          <t>%</t>
        </is>
      </c>
      <c r="I10" s="7" t="n">
        <v>95</v>
      </c>
      <c r="J10" s="7" t="n">
        <v>90</v>
      </c>
      <c r="K10" s="7" t="n">
        <v>100</v>
      </c>
      <c r="L10" s="7" t="n"/>
      <c r="M10" s="7" t="inlineStr">
        <is>
          <t>triangular</t>
        </is>
      </c>
      <c r="N10" s="7" t="n"/>
      <c r="O10" s="7" t="inlineStr">
        <is>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Claude estimate: resin left in the bath and dripping; not measured.</t>
        </is>
      </c>
      <c r="P10" s="7" t="inlineStr">
        <is>
          <t>partner estimate</t>
        </is>
      </c>
      <c r="Q10" s="7" t="inlineStr">
        <is>
          <t>Open baths lose some resin; Di Bari assumed 0 for lack of data.</t>
        </is>
      </c>
    </row>
    <row r="11" ht="16" customHeight="1">
      <c r="A11" s="7" t="inlineStr">
        <is>
          <t>glass fibre CFW beam</t>
        </is>
      </c>
      <c r="B11" s="7" t="inlineStr">
        <is>
          <t>manufacturing</t>
        </is>
      </c>
      <c r="C11" s="7" t="inlineStr">
        <is>
          <t>production</t>
        </is>
      </c>
      <c r="D11" s="7" t="inlineStr">
        <is>
          <t>Resin bath impregnation</t>
        </is>
      </c>
      <c r="E11" s="7" t="n"/>
      <c r="F11" s="7" t="inlineStr">
        <is>
          <t>machine source</t>
        </is>
      </c>
      <c r="G11" s="8" t="inlineStr">
        <is>
          <t>Whether the machine is new (virgin) or reused/recycled (recycled)</t>
        </is>
      </c>
      <c r="H11" s="7" t="inlineStr">
        <is>
          <t>-</t>
        </is>
      </c>
      <c r="I11" s="7" t="inlineStr">
        <is>
          <t>virgin</t>
        </is>
      </c>
      <c r="J11" s="7" t="n"/>
      <c r="K11" s="7" t="n"/>
      <c r="L11" s="7" t="n"/>
      <c r="M11" s="7" t="inlineStr">
        <is>
          <t>choice</t>
        </is>
      </c>
      <c r="N11" s="7" t="inlineStr">
        <is>
          <t>virgin;recycled</t>
        </is>
      </c>
      <c r="O11" s="7" t="inlineStr">
        <is>
          <t>Assumed new (virgin) machine.</t>
        </is>
      </c>
      <c r="P11" s="7" t="inlineStr">
        <is>
          <t>partner estimate</t>
        </is>
      </c>
      <c r="Q11" s="7" t="inlineStr">
        <is>
          <t>Same convention as lci_raw_cfw.</t>
        </is>
      </c>
    </row>
    <row r="12" ht="32" customHeight="1">
      <c r="A12" s="7" t="inlineStr">
        <is>
          <t>glass fibre CFW beam</t>
        </is>
      </c>
      <c r="B12" s="7" t="inlineStr">
        <is>
          <t>manufacturing</t>
        </is>
      </c>
      <c r="C12" s="7" t="inlineStr">
        <is>
          <t>production</t>
        </is>
      </c>
      <c r="D12" s="7" t="inlineStr">
        <is>
          <t>Coreless filament winding</t>
        </is>
      </c>
      <c r="E12" s="7" t="n"/>
      <c r="F12" s="7" t="inlineStr">
        <is>
          <t>machine weight</t>
        </is>
      </c>
      <c r="G12" s="8" t="inlineStr">
        <is>
          <t>Weight of the machine used in this step (used to account for machine wear)</t>
        </is>
      </c>
      <c r="H12" s="7" t="inlineStr">
        <is>
          <t>kg</t>
        </is>
      </c>
      <c r="I12" s="7" t="n">
        <v>1150</v>
      </c>
      <c r="J12" s="7" t="n">
        <v>1000</v>
      </c>
      <c r="K12" s="7" t="n">
        <v>1300</v>
      </c>
      <c r="L12" s="7" t="n"/>
      <c r="M12" s="7" t="inlineStr">
        <is>
          <t>triangular</t>
        </is>
      </c>
      <c r="N12" s="7" t="n"/>
      <c r="O12" s="7" t="inlineStr">
        <is>
          <t>Machinery: industrial 6-axis robot with impregnation end-effector (KUKA KR210 class, as in the Stuttgart CFW lab), six glass rovings placed simultaneously (Gil Pérez et al. 2021, Materials 14:5509 (Univ. Stuttgart, glass-fibre coreless-wound components; elib.uni-stuttgart.de/bitstream/11682/12343)). KUKA KR 210 R2700 = 1,111 kg (Exapro listing) + ~40 kg end-effector (Claude estimate).</t>
        </is>
      </c>
      <c r="P12" s="7" t="inlineStr">
        <is>
          <t>partner estimate</t>
        </is>
      </c>
      <c r="Q12" s="7" t="inlineStr">
        <is>
          <t>Same robot as the other CFW sheets.</t>
        </is>
      </c>
    </row>
    <row r="13" ht="16" customHeight="1">
      <c r="A13" s="7" t="inlineStr">
        <is>
          <t>glass fibre CFW beam</t>
        </is>
      </c>
      <c r="B13" s="7" t="inlineStr">
        <is>
          <t>manufacturing</t>
        </is>
      </c>
      <c r="C13" s="7" t="inlineStr">
        <is>
          <t>production</t>
        </is>
      </c>
      <c r="D13" s="7" t="inlineStr">
        <is>
          <t>Coreless filament winding</t>
        </is>
      </c>
      <c r="E13" s="7" t="n"/>
      <c r="F13" s="7" t="inlineStr">
        <is>
          <t>power</t>
        </is>
      </c>
      <c r="G13" s="8" t="inlineStr">
        <is>
          <t>Electric power the machine draws while running</t>
        </is>
      </c>
      <c r="H13" s="7" t="inlineStr">
        <is>
          <t>kW</t>
        </is>
      </c>
      <c r="I13" s="7" t="n">
        <v>0.85</v>
      </c>
      <c r="J13" s="7" t="n">
        <v>0.61</v>
      </c>
      <c r="K13" s="7" t="n">
        <v>0.85</v>
      </c>
      <c r="L13" s="7" t="n"/>
      <c r="M13" s="7" t="inlineStr">
        <is>
          <t>triangular</t>
        </is>
      </c>
      <c r="N13" s="7" t="n"/>
      <c r="O13" s="7" t="inlineStr">
        <is>
          <t>Machinery: industrial 6-axis robot with impregnation end-effector (KUKA KR210 class, as in the Stuttgart CFW lab), six glass rovings placed simultaneously (Gil Pérez et al. 2021, Materials 14:5509 (Univ. Stuttgart, glass-fibre coreless-wound components; elib.uni-stuttgart.de/bitstream/11682/12343)). Di Bari Sec. 3.3: ~0.85 kW at 1.0 m/s.</t>
        </is>
      </c>
      <c r="P13" s="7" t="inlineStr">
        <is>
          <t>partner estimate</t>
        </is>
      </c>
      <c r="Q13" s="7" t="inlineStr">
        <is>
          <t>Same robot class and power as the flax baseline.</t>
        </is>
      </c>
    </row>
    <row r="14" ht="16" customHeight="1">
      <c r="A14" s="7" t="inlineStr">
        <is>
          <t>glass fibre CFW beam</t>
        </is>
      </c>
      <c r="B14" s="7" t="inlineStr">
        <is>
          <t>manufacturing</t>
        </is>
      </c>
      <c r="C14" s="7" t="inlineStr">
        <is>
          <t>production</t>
        </is>
      </c>
      <c r="D14" s="7" t="inlineStr">
        <is>
          <t>Coreless filament winding</t>
        </is>
      </c>
      <c r="E14" s="7" t="n"/>
      <c r="F14" s="7" t="inlineStr">
        <is>
          <t>output rate</t>
        </is>
      </c>
      <c r="G14" s="8" t="inlineStr">
        <is>
          <t>Mass of material the machine processes per hour</t>
        </is>
      </c>
      <c r="H14" s="7" t="inlineStr">
        <is>
          <t>kg/hr</t>
        </is>
      </c>
      <c r="I14" s="7" t="n">
        <v>5.6</v>
      </c>
      <c r="J14" s="7" t="n">
        <v>3</v>
      </c>
      <c r="K14" s="7" t="n">
        <v>10</v>
      </c>
      <c r="L14" s="7" t="n"/>
      <c r="M14" s="7" t="inlineStr">
        <is>
          <t>triangular</t>
        </is>
      </c>
      <c r="N14" s="7" t="n"/>
      <c r="O14" s="7" t="inlineStr">
        <is>
          <t>Machinery: industrial 6-axis robot with impregnation end-effector (KUKA KR210 class, as in the Stuttgart CFW lab), six glass rovings placed simultaneously (Gil Pérez et al. 2021, Materials 14:5509 (Univ. Stuttgart, glass-fibre coreless-wound components; elib.uni-stuttgart.de/bitstream/11682/12343)). Gil Pérez et al. 2021, Materials 14:5509 (Univ. Stuttgart, glass-fibre coreless-wound components; elib.uni-stuttgart.de/bitstream/11682/12343): one component = ~1,600 m of fibre path with six rovings wound simultaneously in six hours: 1,600 x 6 x 0.0035 kg/m = 33 kg / 6 h = 5.6 kg/h (measured fabrication time, includes stops).</t>
        </is>
      </c>
      <c r="P14" s="7" t="inlineStr">
        <is>
          <t>partner estimate</t>
        </is>
      </c>
      <c r="Q14" s="7" t="inlineStr">
        <is>
          <t>This is a measured production rate, unlike the modelled flax value (20.5 kg/h). Range 3-10 kg/h (Claude estimate). Energy: 0.85/5.6 = 0.15 kWh/kg.</t>
        </is>
      </c>
    </row>
    <row r="15" ht="16" customHeight="1">
      <c r="A15" s="7" t="inlineStr">
        <is>
          <t>glass fibre CFW beam</t>
        </is>
      </c>
      <c r="B15" s="7" t="inlineStr">
        <is>
          <t>manufacturing</t>
        </is>
      </c>
      <c r="C15" s="7" t="inlineStr">
        <is>
          <t>production</t>
        </is>
      </c>
      <c r="D15" s="7" t="inlineStr">
        <is>
          <t>Coreless filament winding</t>
        </is>
      </c>
      <c r="E15" s="7" t="n"/>
      <c r="F15" s="7" t="inlineStr">
        <is>
          <t>machine lifetime</t>
        </is>
      </c>
      <c r="G15" s="8" t="inlineStr">
        <is>
          <t>Operating hours before the machine is worn out</t>
        </is>
      </c>
      <c r="H15" s="7" t="inlineStr">
        <is>
          <t>hrs</t>
        </is>
      </c>
      <c r="I15" s="7" t="n">
        <v>36000</v>
      </c>
      <c r="J15" s="7" t="n">
        <v>30000</v>
      </c>
      <c r="K15" s="7" t="n">
        <v>45000</v>
      </c>
      <c r="L15" s="7" t="n"/>
      <c r="M15" s="7" t="inlineStr">
        <is>
          <t>triangular</t>
        </is>
      </c>
      <c r="N15" s="7" t="n"/>
      <c r="O15" s="7" t="inlineStr">
        <is>
          <t>Machinery: industrial 6-axis robot with impregnation end-effector (KUKA KR210 class, as in the Stuttgart CFW lab), six glass rovings placed simultaneously (Gil Pérez et al. 2021, Materials 14:5509 (Univ. Stuttgart, glass-fibre coreless-wound components; elib.uni-stuttgart.de/bitstream/11682/12343)). Robot lifetime 36,000 h (robot LCA, Robotics 2021).</t>
        </is>
      </c>
      <c r="P15" s="7" t="inlineStr">
        <is>
          <t>partner estimate</t>
        </is>
      </c>
      <c r="Q15" s="7" t="inlineStr">
        <is>
          <t>Same as the other CFW sheets.</t>
        </is>
      </c>
    </row>
    <row r="16" ht="16" customHeight="1">
      <c r="A16" s="7" t="inlineStr">
        <is>
          <t>glass fibre CFW beam</t>
        </is>
      </c>
      <c r="B16" s="7" t="inlineStr">
        <is>
          <t>manufacturing</t>
        </is>
      </c>
      <c r="C16" s="7" t="inlineStr">
        <is>
          <t>production</t>
        </is>
      </c>
      <c r="D16" s="7" t="inlineStr">
        <is>
          <t>Coreless filament winding</t>
        </is>
      </c>
      <c r="E16" s="7" t="n"/>
      <c r="F16" s="7" t="inlineStr">
        <is>
          <t>process yield</t>
        </is>
      </c>
      <c r="G16" s="8" t="inlineStr">
        <is>
          <t>Share of the material entering this step that leaves it as usable output (the rest is waste)</t>
        </is>
      </c>
      <c r="H16" s="7" t="inlineStr">
        <is>
          <t>%</t>
        </is>
      </c>
      <c r="I16" s="7" t="n">
        <v>95</v>
      </c>
      <c r="J16" s="7" t="n">
        <v>90</v>
      </c>
      <c r="K16" s="7" t="n">
        <v>100</v>
      </c>
      <c r="L16" s="7" t="n"/>
      <c r="M16" s="7" t="inlineStr">
        <is>
          <t>triangular</t>
        </is>
      </c>
      <c r="N16" s="7" t="n"/>
      <c r="O16" s="7" t="inlineStr">
        <is>
          <t>Machinery: industrial 6-axis robot with impregnation end-effector (KUKA KR210 class, as in the Stuttgart CFW lab), six glass rovings placed simultaneously (Gil Pérez et al. 2021, Materials 14:5509 (Univ. Stuttgart, glass-fibre coreless-wound components; elib.uni-stuttgart.de/bitstream/11682/12343)). Claude estimate as in lci_raw_cfw.</t>
        </is>
      </c>
      <c r="P16" s="7" t="inlineStr">
        <is>
          <t>partner estimate</t>
        </is>
      </c>
      <c r="Q16" s="7" t="inlineStr">
        <is>
          <t>Kept equal to the other CFW sheets.</t>
        </is>
      </c>
    </row>
    <row r="17" ht="16" customHeight="1">
      <c r="A17" s="7" t="inlineStr">
        <is>
          <t>glass fibre CFW beam</t>
        </is>
      </c>
      <c r="B17" s="7" t="inlineStr">
        <is>
          <t>manufacturing</t>
        </is>
      </c>
      <c r="C17" s="7" t="inlineStr">
        <is>
          <t>production</t>
        </is>
      </c>
      <c r="D17" s="7" t="inlineStr">
        <is>
          <t>Coreless filament winding</t>
        </is>
      </c>
      <c r="E17" s="7" t="n"/>
      <c r="F17" s="7" t="inlineStr">
        <is>
          <t>machine source</t>
        </is>
      </c>
      <c r="G17" s="8" t="inlineStr">
        <is>
          <t>Whether the machine is new (virgin) or reused/recycled (recycled)</t>
        </is>
      </c>
      <c r="H17" s="7" t="inlineStr">
        <is>
          <t>-</t>
        </is>
      </c>
      <c r="I17" s="7" t="inlineStr">
        <is>
          <t>virgin</t>
        </is>
      </c>
      <c r="J17" s="7" t="n"/>
      <c r="K17" s="7" t="n"/>
      <c r="L17" s="7" t="n"/>
      <c r="M17" s="7" t="inlineStr">
        <is>
          <t>choice</t>
        </is>
      </c>
      <c r="N17" s="7" t="inlineStr">
        <is>
          <t>virgin;recycled</t>
        </is>
      </c>
      <c r="O17" s="7" t="inlineStr">
        <is>
          <t>Assumed new (virgin) machine.</t>
        </is>
      </c>
      <c r="P17" s="7" t="inlineStr">
        <is>
          <t>partner estimate</t>
        </is>
      </c>
      <c r="Q17" s="7" t="inlineStr">
        <is>
          <t>Same convention as lci_raw_cfw.</t>
        </is>
      </c>
    </row>
    <row r="18" ht="32" customHeight="1">
      <c r="A18" s="7" t="inlineStr">
        <is>
          <t>glass fibre CFW beam</t>
        </is>
      </c>
      <c r="B18" s="7" t="inlineStr">
        <is>
          <t>manufacturing</t>
        </is>
      </c>
      <c r="C18" s="7" t="inlineStr">
        <is>
          <t>production</t>
        </is>
      </c>
      <c r="D18" s="7" t="inlineStr">
        <is>
          <t>Curing</t>
        </is>
      </c>
      <c r="E18" s="7" t="n"/>
      <c r="F18" s="7" t="inlineStr">
        <is>
          <t>machine weight</t>
        </is>
      </c>
      <c r="G18" s="8" t="inlineStr">
        <is>
          <t>Weight of the machine used in this step (used to account for machine wear)</t>
        </is>
      </c>
      <c r="H18" s="7" t="inlineStr">
        <is>
          <t>kg</t>
        </is>
      </c>
      <c r="I18" s="7" t="n">
        <v>3000</v>
      </c>
      <c r="J18" s="7" t="n">
        <v>2000</v>
      </c>
      <c r="K18" s="7" t="n">
        <v>4000</v>
      </c>
      <c r="L18" s="7" t="n"/>
      <c r="M18" s="7" t="inlineStr">
        <is>
          <t>triangular</t>
        </is>
      </c>
      <c r="N18" s="7" t="n"/>
      <c r="O18" s="7" t="inlineStr">
        <is>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Same oven as the flax sheets (Claude estimate).</t>
        </is>
      </c>
      <c r="P18" s="7" t="inlineStr">
        <is>
          <t>partner estimate</t>
        </is>
      </c>
      <c r="Q18" s="7" t="inlineStr">
        <is>
          <t>Same oven.</t>
        </is>
      </c>
    </row>
    <row r="19" ht="16" customHeight="1">
      <c r="A19" s="7" t="inlineStr">
        <is>
          <t>glass fibre CFW beam</t>
        </is>
      </c>
      <c r="B19" s="7" t="inlineStr">
        <is>
          <t>manufacturing</t>
        </is>
      </c>
      <c r="C19" s="7" t="inlineStr">
        <is>
          <t>production</t>
        </is>
      </c>
      <c r="D19" s="7" t="inlineStr">
        <is>
          <t>Curing</t>
        </is>
      </c>
      <c r="E19" s="7" t="n"/>
      <c r="F19" s="7" t="inlineStr">
        <is>
          <t>power</t>
        </is>
      </c>
      <c r="G19" s="8" t="inlineStr">
        <is>
          <t>Electric power the machine draws while running</t>
        </is>
      </c>
      <c r="H19" s="7" t="inlineStr">
        <is>
          <t>kW</t>
        </is>
      </c>
      <c r="I19" s="7" t="n">
        <v>0.92</v>
      </c>
      <c r="J19" s="7" t="n">
        <v>0.6</v>
      </c>
      <c r="K19" s="7" t="n">
        <v>1.2</v>
      </c>
      <c r="L19" s="7" t="n"/>
      <c r="M19" s="7" t="inlineStr">
        <is>
          <t>triangular</t>
        </is>
      </c>
      <c r="N19" s="7" t="n"/>
      <c r="O19" s="7" t="inlineStr">
        <is>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Wall heat loss 0.135 W/m2K x 75.6 m2 x 90 K = 0.92 kW at 110 C (Claude calculation).</t>
        </is>
      </c>
      <c r="P19" s="7" t="inlineStr">
        <is>
          <t>partner estimate</t>
        </is>
      </c>
      <c r="Q19" s="7" t="inlineStr">
        <is>
          <t>Higher than flax (0.61 kW at 80 C) because of the higher curing temperature.</t>
        </is>
      </c>
    </row>
    <row r="20" ht="16" customHeight="1">
      <c r="A20" s="7" t="inlineStr">
        <is>
          <t>glass fibre CFW beam</t>
        </is>
      </c>
      <c r="B20" s="7" t="inlineStr">
        <is>
          <t>manufacturing</t>
        </is>
      </c>
      <c r="C20" s="7" t="inlineStr">
        <is>
          <t>production</t>
        </is>
      </c>
      <c r="D20" s="7" t="inlineStr">
        <is>
          <t>Curing</t>
        </is>
      </c>
      <c r="E20" s="7" t="n"/>
      <c r="F20" s="7" t="inlineStr">
        <is>
          <t>output rate</t>
        </is>
      </c>
      <c r="G20" s="8" t="inlineStr">
        <is>
          <t>Mass of material the machine processes per hour</t>
        </is>
      </c>
      <c r="H20" s="7" t="inlineStr">
        <is>
          <t>kg/hr</t>
        </is>
      </c>
      <c r="I20" s="7" t="n">
        <v>2.2</v>
      </c>
      <c r="J20" s="7" t="n">
        <v>1</v>
      </c>
      <c r="K20" s="7" t="n">
        <v>4</v>
      </c>
      <c r="L20" s="7" t="n"/>
      <c r="M20" s="7" t="inlineStr">
        <is>
          <t>triangular</t>
        </is>
      </c>
      <c r="N20" s="7" t="n"/>
      <c r="O20" s="7" t="inlineStr">
        <is>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Scaled from Di Bari Table 6 (0.91e-2 MJ per m of flax roving, 8 h at 80 C): x 1.31 for the hotter profile (90 K x ~7 h incl. ramps vs 60 K x 8 h) x 0.42 for the smaller roving volume (1.9 vs 4.5 cm3 per m; Di Bari allocate oven energy by product volume) = 0.50e-2 MJ/m = 0.40 kWh/kg; 0.92 kW / 0.40 = 2.2 kg/h.</t>
        </is>
      </c>
      <c r="P20" s="7" t="inlineStr">
        <is>
          <t>partner estimate</t>
        </is>
      </c>
      <c r="Q20" s="7" t="inlineStr">
        <is>
          <t>Claude calculation, no measured curing energy for glass CFW found. Range 1-4 kg/h.</t>
        </is>
      </c>
    </row>
    <row r="21" ht="16" customHeight="1">
      <c r="A21" s="7" t="inlineStr">
        <is>
          <t>glass fibre CFW beam</t>
        </is>
      </c>
      <c r="B21" s="7" t="inlineStr">
        <is>
          <t>manufacturing</t>
        </is>
      </c>
      <c r="C21" s="7" t="inlineStr">
        <is>
          <t>production</t>
        </is>
      </c>
      <c r="D21" s="7" t="inlineStr">
        <is>
          <t>Curing</t>
        </is>
      </c>
      <c r="E21" s="7" t="n"/>
      <c r="F21" s="7" t="inlineStr">
        <is>
          <t>machine lifetime</t>
        </is>
      </c>
      <c r="G21" s="8" t="inlineStr">
        <is>
          <t>Operating hours before the machine is worn out</t>
        </is>
      </c>
      <c r="H21" s="7" t="inlineStr">
        <is>
          <t>hrs</t>
        </is>
      </c>
      <c r="I21" s="7" t="n">
        <v>30000</v>
      </c>
      <c r="J21" s="7" t="n">
        <v>20000</v>
      </c>
      <c r="K21" s="7" t="n">
        <v>50000</v>
      </c>
      <c r="L21" s="7" t="n"/>
      <c r="M21" s="7" t="inlineStr">
        <is>
          <t>triangular</t>
        </is>
      </c>
      <c r="N21" s="7" t="n"/>
      <c r="O21" s="7" t="inlineStr">
        <is>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Claude estimate as for the flax sheets.</t>
        </is>
      </c>
      <c r="P21" s="7" t="inlineStr">
        <is>
          <t>partner estimate</t>
        </is>
      </c>
      <c r="Q21" s="7" t="inlineStr">
        <is>
          <t>Same oven.</t>
        </is>
      </c>
    </row>
    <row r="22" ht="16" customHeight="1">
      <c r="A22" s="7" t="inlineStr">
        <is>
          <t>glass fibre CFW beam</t>
        </is>
      </c>
      <c r="B22" s="7" t="inlineStr">
        <is>
          <t>manufacturing</t>
        </is>
      </c>
      <c r="C22" s="7" t="inlineStr">
        <is>
          <t>production</t>
        </is>
      </c>
      <c r="D22" s="7" t="inlineStr">
        <is>
          <t>Curing</t>
        </is>
      </c>
      <c r="E22" s="7" t="n"/>
      <c r="F22" s="7" t="inlineStr">
        <is>
          <t>process yield</t>
        </is>
      </c>
      <c r="G22" s="8" t="inlineStr">
        <is>
          <t>Share of the material entering this step that leaves it as usable output (the rest is waste)</t>
        </is>
      </c>
      <c r="H22" s="7" t="inlineStr">
        <is>
          <t>%</t>
        </is>
      </c>
      <c r="I22" s="7" t="n">
        <v>100</v>
      </c>
      <c r="J22" s="7" t="n">
        <v>98</v>
      </c>
      <c r="K22" s="7" t="n">
        <v>100</v>
      </c>
      <c r="L22" s="7" t="n"/>
      <c r="M22" s="7" t="inlineStr">
        <is>
          <t>triangular</t>
        </is>
      </c>
      <c r="N22" s="7" t="n"/>
      <c r="O22" s="7" t="inlineStr">
        <is>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Curing removes no material.</t>
        </is>
      </c>
      <c r="P22" s="7" t="inlineStr">
        <is>
          <t>partner estimate</t>
        </is>
      </c>
      <c r="Q22" s="7" t="inlineStr">
        <is>
          <t>Same as the other CFW sheets.</t>
        </is>
      </c>
    </row>
    <row r="23" ht="16" customHeight="1">
      <c r="A23" s="7" t="inlineStr">
        <is>
          <t>glass fibre CFW beam</t>
        </is>
      </c>
      <c r="B23" s="7" t="inlineStr">
        <is>
          <t>manufacturing</t>
        </is>
      </c>
      <c r="C23" s="7" t="inlineStr">
        <is>
          <t>production</t>
        </is>
      </c>
      <c r="D23" s="7" t="inlineStr">
        <is>
          <t>Curing</t>
        </is>
      </c>
      <c r="E23" s="7" t="n"/>
      <c r="F23" s="7" t="inlineStr">
        <is>
          <t>machine source</t>
        </is>
      </c>
      <c r="G23" s="8" t="inlineStr">
        <is>
          <t>Whether the machine is new (virgin) or reused/recycled (recycled)</t>
        </is>
      </c>
      <c r="H23" s="7" t="inlineStr">
        <is>
          <t>-</t>
        </is>
      </c>
      <c r="I23" s="7" t="inlineStr">
        <is>
          <t>virgin</t>
        </is>
      </c>
      <c r="J23" s="7" t="n"/>
      <c r="K23" s="7" t="n"/>
      <c r="L23" s="7" t="n"/>
      <c r="M23" s="7" t="inlineStr">
        <is>
          <t>choice</t>
        </is>
      </c>
      <c r="N23" s="7" t="inlineStr">
        <is>
          <t>virgin;recycled</t>
        </is>
      </c>
      <c r="O23" s="7" t="inlineStr">
        <is>
          <t>Assumed new (virgin) machine.</t>
        </is>
      </c>
      <c r="P23" s="7" t="inlineStr">
        <is>
          <t>partner estimate</t>
        </is>
      </c>
      <c r="Q23" s="7" t="inlineStr">
        <is>
          <t>Same convention as lci_raw_cfw.</t>
        </is>
      </c>
    </row>
    <row r="24" ht="32" customHeight="1">
      <c r="A24" s="7" t="inlineStr">
        <is>
          <t>glass fibre CFW beam</t>
        </is>
      </c>
      <c r="B24" s="7" t="inlineStr">
        <is>
          <t>circularity</t>
        </is>
      </c>
      <c r="C24" s="7" t="inlineStr">
        <is>
          <t>use</t>
        </is>
      </c>
      <c r="D24" s="7" t="inlineStr">
        <is>
          <t>product</t>
        </is>
      </c>
      <c r="E24" s="7" t="n"/>
      <c r="F24" s="7" t="inlineStr">
        <is>
          <t>expected lifetime</t>
        </is>
      </c>
      <c r="G24" s="8" t="inlineStr">
        <is>
          <t>Years the product lasts before any repair</t>
        </is>
      </c>
      <c r="H24" s="7" t="inlineStr">
        <is>
          <t>yrs</t>
        </is>
      </c>
      <c r="I24" s="7" t="n">
        <v>50</v>
      </c>
      <c r="J24" s="7" t="n">
        <v>40</v>
      </c>
      <c r="K24" s="7" t="n">
        <v>75</v>
      </c>
      <c r="L24" s="7" t="n"/>
      <c r="M24" s="7" t="inlineStr">
        <is>
          <t>triangular</t>
        </is>
      </c>
      <c r="N24" s="7" t="n"/>
      <c r="O24" s="7" t="inlineStr">
        <is>
          <t>Design working life 50 y (EN 1990 category 4). Glass/epoxy does not rot and is more moisture-resistant than natural-fibre composites (general knowledge).</t>
        </is>
      </c>
      <c r="P24" s="7" t="inlineStr">
        <is>
          <t>partner estimate</t>
        </is>
      </c>
      <c r="Q24" s="7" t="inlineStr">
        <is>
          <t>Min raised to 40 y and max to 75 y versus the flax sheets because glass fibre composites age less in humid conditions.</t>
        </is>
      </c>
    </row>
    <row r="25" ht="16" customHeight="1">
      <c r="A25" s="7" t="inlineStr">
        <is>
          <t>glass fibre CFW beam</t>
        </is>
      </c>
      <c r="B25" s="7" t="inlineStr">
        <is>
          <t>circularity</t>
        </is>
      </c>
      <c r="C25" s="7" t="inlineStr">
        <is>
          <t>end-of-life</t>
        </is>
      </c>
      <c r="D25" s="7" t="inlineStr">
        <is>
          <t>waste</t>
        </is>
      </c>
      <c r="E25" s="7" t="inlineStr">
        <is>
          <t>composted</t>
        </is>
      </c>
      <c r="F25" s="7" t="inlineStr">
        <is>
          <t>share of waste</t>
        </is>
      </c>
      <c r="G25" s="8" t="inlineStr">
        <is>
          <t>Share of the product's end-of-life mass that goes to this route (the routes add up to 100 %): composted</t>
        </is>
      </c>
      <c r="H25" s="7" t="inlineStr">
        <is>
          <t>%</t>
        </is>
      </c>
      <c r="I25" s="7" t="n">
        <v>0</v>
      </c>
      <c r="J25" s="7" t="n">
        <v>0</v>
      </c>
      <c r="K25" s="7" t="n">
        <v>0</v>
      </c>
      <c r="L25" s="7" t="n"/>
      <c r="M25" s="7" t="inlineStr">
        <is>
          <t>fixed</t>
        </is>
      </c>
      <c r="N25" s="7" t="n"/>
      <c r="O25" s="7" t="inlineStr">
        <is>
          <t>No EU split for GFRP waste found (CompositesUK 2021 FRP circular-economy report names landfill, energy from waste, cement kiln and mechanical recycling as the routes but gives no shares). Cement-kiln co-processing (glass becomes clinker raw material, resin fuel) is the main recycling route and is accepted as recycling under EU law (EuCIA/CEMBUREAU; reinforcedplastics.com). Shares are Claude's estimates.</t>
        </is>
      </c>
      <c r="P25" s="7" t="inlineStr">
        <is>
          <t>partner estimate</t>
        </is>
      </c>
      <c r="Q25" s="7" t="inlineStr">
        <is>
          <t>Not compostable.</t>
        </is>
      </c>
    </row>
    <row r="26" ht="16" customHeight="1">
      <c r="A26" s="7" t="inlineStr">
        <is>
          <t>glass fibre CFW beam</t>
        </is>
      </c>
      <c r="B26" s="7" t="inlineStr">
        <is>
          <t>circularity</t>
        </is>
      </c>
      <c r="C26" s="7" t="inlineStr">
        <is>
          <t>end-of-life</t>
        </is>
      </c>
      <c r="D26" s="7" t="inlineStr">
        <is>
          <t>waste</t>
        </is>
      </c>
      <c r="E26" s="7" t="inlineStr">
        <is>
          <t>recycled_open</t>
        </is>
      </c>
      <c r="F26" s="7" t="inlineStr">
        <is>
          <t>share of waste</t>
        </is>
      </c>
      <c r="G26" s="8" t="inlineStr">
        <is>
          <t>Share of the product's end-of-life mass that goes to this route (the routes add up to 100 %): recycled (open loop)</t>
        </is>
      </c>
      <c r="H26" s="7" t="inlineStr">
        <is>
          <t>%</t>
        </is>
      </c>
      <c r="I26" s="7" t="n">
        <v>20</v>
      </c>
      <c r="J26" s="7" t="n">
        <v>10</v>
      </c>
      <c r="K26" s="7" t="n">
        <v>35</v>
      </c>
      <c r="L26" s="7" t="n"/>
      <c r="M26" s="7" t="inlineStr">
        <is>
          <t>triangular</t>
        </is>
      </c>
      <c r="N26" s="7" t="n"/>
      <c r="O26" s="7" t="inlineStr">
        <is>
          <t>No EU split for GFRP waste found (CompositesUK 2021 FRP circular-economy report names landfill, energy from waste, cement kiln and mechanical recycling as the routes but gives no shares). Cement-kiln co-processing (glass becomes clinker raw material, resin fuel) is the main recycling route and is accepted as recycling under EU law (EuCIA/CEMBUREAU; reinforcedplastics.com). Shares are Claude's estimates.</t>
        </is>
      </c>
      <c r="P26" s="7" t="inlineStr">
        <is>
          <t>partner estimate</t>
        </is>
      </c>
      <c r="Q26" s="7" t="inlineStr">
        <is>
          <t>Cement-kiln co-processing and mechanical grinding into filler (open loop); ~20% typical (Claude estimate).</t>
        </is>
      </c>
    </row>
    <row r="27" ht="16" customHeight="1">
      <c r="A27" s="7" t="inlineStr">
        <is>
          <t>glass fibre CFW beam</t>
        </is>
      </c>
      <c r="B27" s="7" t="inlineStr">
        <is>
          <t>circularity</t>
        </is>
      </c>
      <c r="C27" s="7" t="inlineStr">
        <is>
          <t>end-of-life</t>
        </is>
      </c>
      <c r="D27" s="7" t="inlineStr">
        <is>
          <t>waste</t>
        </is>
      </c>
      <c r="E27" s="7" t="inlineStr">
        <is>
          <t>recycled_closed</t>
        </is>
      </c>
      <c r="F27" s="7" t="inlineStr">
        <is>
          <t>share of waste</t>
        </is>
      </c>
      <c r="G27" s="8" t="inlineStr">
        <is>
          <t>Share of the product's end-of-life mass that goes to this route (the routes add up to 100 %): recycled (closed loop)</t>
        </is>
      </c>
      <c r="H27" s="7" t="inlineStr">
        <is>
          <t>%</t>
        </is>
      </c>
      <c r="I27" s="7" t="n">
        <v>0</v>
      </c>
      <c r="J27" s="7" t="n">
        <v>0</v>
      </c>
      <c r="K27" s="7" t="n">
        <v>0</v>
      </c>
      <c r="L27" s="7" t="n"/>
      <c r="M27" s="7" t="inlineStr">
        <is>
          <t>fixed</t>
        </is>
      </c>
      <c r="N27" s="7" t="n"/>
      <c r="O27" s="7" t="inlineStr">
        <is>
          <t>No EU split for GFRP waste found (CompositesUK 2021 FRP circular-economy report names landfill, energy from waste, cement kiln and mechanical recycling as the routes but gives no shares). Cement-kiln co-processing (glass becomes clinker raw material, resin fuel) is the main recycling route and is accepted as recycling under EU law (EuCIA/CEMBUREAU; reinforcedplastics.com). Shares are Claude's estimates.</t>
        </is>
      </c>
      <c r="P27" s="7" t="inlineStr">
        <is>
          <t>partner estimate</t>
        </is>
      </c>
      <c r="Q27" s="7" t="inlineStr">
        <is>
          <t>No closed-loop recycling of cured glass/epoxy at scale.</t>
        </is>
      </c>
    </row>
    <row r="28" ht="16" customHeight="1">
      <c r="A28" s="7" t="inlineStr">
        <is>
          <t>glass fibre CFW beam</t>
        </is>
      </c>
      <c r="B28" s="7" t="inlineStr">
        <is>
          <t>circularity</t>
        </is>
      </c>
      <c r="C28" s="7" t="inlineStr">
        <is>
          <t>end-of-life</t>
        </is>
      </c>
      <c r="D28" s="7" t="inlineStr">
        <is>
          <t>waste</t>
        </is>
      </c>
      <c r="E28" s="7" t="inlineStr">
        <is>
          <t>incinerated</t>
        </is>
      </c>
      <c r="F28" s="7" t="inlineStr">
        <is>
          <t>share of waste</t>
        </is>
      </c>
      <c r="G28" s="8" t="inlineStr">
        <is>
          <t>Share of the product's end-of-life mass that goes to this route (the routes add up to 100 %): incinerated with energy recovery</t>
        </is>
      </c>
      <c r="H28" s="7" t="inlineStr">
        <is>
          <t>%</t>
        </is>
      </c>
      <c r="I28" s="7" t="n">
        <v>30</v>
      </c>
      <c r="J28" s="7" t="n">
        <v>15</v>
      </c>
      <c r="K28" s="7" t="n">
        <v>45</v>
      </c>
      <c r="L28" s="7" t="n"/>
      <c r="M28" s="7" t="inlineStr">
        <is>
          <t>triangular</t>
        </is>
      </c>
      <c r="N28" s="7" t="n"/>
      <c r="O28" s="7" t="inlineStr">
        <is>
          <t>No EU split for GFRP waste found (CompositesUK 2021 FRP circular-economy report names landfill, energy from waste, cement kiln and mechanical recycling as the routes but gives no shares). Cement-kiln co-processing (glass becomes clinker raw material, resin fuel) is the main recycling route and is accepted as recycling under EU law (EuCIA/CEMBUREAU; reinforcedplastics.com). Shares are Claude's estimates.</t>
        </is>
      </c>
      <c r="P28" s="7" t="inlineStr">
        <is>
          <t>partner estimate</t>
        </is>
      </c>
      <c r="Q28" s="7" t="inlineStr">
        <is>
          <t>Municipal incineration: only the ~31% epoxy burns, the glass stays as slag, so energy recovery per kg is low. Claude estimate.</t>
        </is>
      </c>
    </row>
    <row r="29" ht="16" customHeight="1">
      <c r="A29" s="7" t="inlineStr">
        <is>
          <t>glass fibre CFW beam</t>
        </is>
      </c>
      <c r="B29" s="7" t="inlineStr">
        <is>
          <t>circularity</t>
        </is>
      </c>
      <c r="C29" s="7" t="inlineStr">
        <is>
          <t>end-of-life</t>
        </is>
      </c>
      <c r="D29" s="7" t="inlineStr">
        <is>
          <t>waste</t>
        </is>
      </c>
      <c r="E29" s="7" t="inlineStr">
        <is>
          <t>landfilled</t>
        </is>
      </c>
      <c r="F29" s="7" t="inlineStr">
        <is>
          <t>share of waste</t>
        </is>
      </c>
      <c r="G29" s="8" t="inlineStr">
        <is>
          <t>Share of the product's end-of-life mass that goes to this route (the routes add up to 100 %): landfilled</t>
        </is>
      </c>
      <c r="H29" s="7" t="inlineStr">
        <is>
          <t>%</t>
        </is>
      </c>
      <c r="I29" s="7" t="n">
        <v>50</v>
      </c>
      <c r="J29" s="7" t="n">
        <v>30</v>
      </c>
      <c r="K29" s="7" t="n">
        <v>70</v>
      </c>
      <c r="L29" s="7" t="n"/>
      <c r="M29" s="7" t="inlineStr">
        <is>
          <t>triangular</t>
        </is>
      </c>
      <c r="N29" s="7" t="n"/>
      <c r="O29" s="7" t="inlineStr">
        <is>
          <t>No EU split for GFRP waste found (CompositesUK 2021 FRP circular-economy report names landfill, energy from waste, cement kiln and mechanical recycling as the routes but gives no shares). Cement-kiln co-processing (glass becomes clinker raw material, resin fuel) is the main recycling route and is accepted as recycling under EU law (EuCIA/CEMBUREAU; reinforcedplastics.com). Shares are Claude's estimates.</t>
        </is>
      </c>
      <c r="P29" s="7" t="inlineStr">
        <is>
          <t>partner estimate</t>
        </is>
      </c>
      <c r="Q29" s="7" t="inlineStr">
        <is>
          <t>Landfill remains the most common route for GFRP in Europe because ~70% of the mass is non-combustible glass (Claude estimate; general knowledge). Shares 0+20+0+30+50 = 100%.</t>
        </is>
      </c>
    </row>
    <row r="30" ht="32" customHeight="1">
      <c r="A30" s="7" t="inlineStr">
        <is>
          <t>glass fibre CFW beam</t>
        </is>
      </c>
      <c r="B30" s="7" t="inlineStr">
        <is>
          <t>location</t>
        </is>
      </c>
      <c r="C30" s="7" t="inlineStr">
        <is>
          <t>general</t>
        </is>
      </c>
      <c r="D30" s="7" t="inlineStr">
        <is>
          <t>product</t>
        </is>
      </c>
      <c r="E30" s="7" t="n"/>
      <c r="F30" s="7" t="inlineStr">
        <is>
          <t>location</t>
        </is>
      </c>
      <c r="G30" s="8" t="inlineStr">
        <is>
          <t>Country whose electricity mix is used for every process step, and whose grid is displaced by energy recovered at end of life</t>
        </is>
      </c>
      <c r="H30" s="7" t="inlineStr">
        <is>
          <t>country code</t>
        </is>
      </c>
      <c r="I30" s="7" t="inlineStr">
        <is>
          <t>NL</t>
        </is>
      </c>
      <c r="J30" s="7" t="n"/>
      <c r="K30" s="7" t="n"/>
      <c r="L30" s="7" t="n"/>
      <c r="M30" s="7" t="inlineStr">
        <is>
          <t>choice</t>
        </is>
      </c>
      <c r="N30" s="7" t="n"/>
      <c r="O30" s="7" t="inlineStr">
        <is>
          <t>Model choice: Netherlands, same as lci_raw_cfw.</t>
        </is>
      </c>
      <c r="P30" s="7" t="inlineStr">
        <is>
          <t>partner estimate</t>
        </is>
      </c>
      <c r="Q30" s="7" t="inlineStr">
        <is>
          <t>Change if the baseline should reflect German (Stuttgart) production.</t>
        </is>
      </c>
    </row>
    <row r="31" ht="16" customHeight="1"/>
    <row r="32" ht="16" customHeight="1"/>
    <row r="33" ht="16" customHeight="1"/>
    <row r="34" ht="16" customHeight="1"/>
    <row r="35" ht="16" customHeight="1"/>
    <row r="36" ht="32" customHeight="1"/>
    <row r="37" ht="32" customHeight="1"/>
    <row r="38" ht="16" customHeight="1"/>
    <row r="39" ht="16" customHeight="1"/>
    <row r="40" ht="16" customHeight="1"/>
    <row r="41" ht="16" customHeight="1"/>
    <row r="42" ht="32" customHeight="1"/>
    <row r="43" ht="32" customHeight="1"/>
  </sheetData>
  <conditionalFormatting sqref="I2:I245">
    <cfRule type="expression" priority="3" dxfId="0">
      <formula>AND($F2&lt;&gt;"",$I2="")</formula>
    </cfRule>
  </conditionalFormatting>
  <conditionalFormatting sqref="I2:P245">
    <cfRule type="expression" priority="1" dxfId="1">
      <formula>$P2="placeholder"</formula>
    </cfRule>
  </conditionalFormatting>
  <conditionalFormatting sqref="J2:K245">
    <cfRule type="expression" priority="2" dxfId="0">
      <formula>AND(OR($M2="triangular",$M2="uniform"),OR($J2="",$K2=""))</formula>
    </cfRule>
  </conditionalFormatting>
  <dataValidations count="4">
    <dataValidation sqref="B2:B245" showDropDown="0" showInputMessage="0" showErrorMessage="0" allowBlank="1" type="list">
      <formula1>"design,manufacturing,circularity,location"</formula1>
    </dataValidation>
    <dataValidation sqref="C2:C245" showDropDown="0" showInputMessage="0" showErrorMessage="0" allowBlank="1" type="list">
      <formula1>"product size,production,repair,use,end-of-life,general"</formula1>
    </dataValidation>
    <dataValidation sqref="M2:M245" showDropDown="0" showInputMessage="0" showErrorMessage="0" allowBlank="1" type="list">
      <formula1>"fixed,triangular,uniform,choice,combination"</formula1>
    </dataValidation>
    <dataValidation sqref="P2:P245" showDropDown="0" showInputMessage="0" showErrorMessage="0" allowBlank="1" type="list">
      <formula1>"placeholder,partner estimate,measured,literature"</formula1>
    </dataValidation>
  </dataValidations>
  <pageMargins left="0.75" right="0.75" top="1" bottom="1" header="0.5" footer="0.5"/>
</worksheet>
</file>

<file path=xl/worksheets/sheet12.xml><?xml version="1.0" encoding="utf-8"?>
<worksheet xmlns="http://schemas.openxmlformats.org/spreadsheetml/2006/main">
  <sheetPr>
    <tabColor rgb="FF76A5AF"/>
    <outlinePr summaryBelow="1" summaryRight="1"/>
    <pageSetUpPr/>
  </sheetPr>
  <dimension ref="A1:P10"/>
  <sheetViews>
    <sheetView workbookViewId="0">
      <pane xSplit="11" ySplit="1" topLeftCell="L2" activePane="bottomRight" state="frozen"/>
      <selection pane="topRight"/>
      <selection pane="bottomLeft"/>
      <selection pane="bottomRight" activeCell="A1" sqref="A1"/>
    </sheetView>
  </sheetViews>
  <sheetFormatPr baseColWidth="10" defaultColWidth="8.83203125" defaultRowHeight="15"/>
  <cols>
    <col width="27.1640625" customWidth="1" min="1" max="1"/>
    <col width="13" customWidth="1" min="2" max="2"/>
    <col width="21" customWidth="1" min="3" max="3"/>
    <col width="17" customWidth="1" min="4" max="4"/>
    <col width="24" customWidth="1" min="5" max="5"/>
    <col width="60" customWidth="1" min="6" max="6"/>
    <col width="14" customWidth="1" min="7" max="7"/>
    <col width="9" customWidth="1" min="8" max="8"/>
    <col width="8" customWidth="1" min="9" max="9"/>
    <col width="13" customWidth="1" min="10" max="11"/>
    <col width="12" customWidth="1" min="12" max="12"/>
    <col width="12.83203125" customWidth="1" min="13" max="13"/>
    <col width="13" customWidth="1" min="14" max="14"/>
    <col width="40" customWidth="1" min="15" max="15"/>
    <col width="13" customWidth="1" min="16" max="17"/>
  </cols>
  <sheetData>
    <row r="1">
      <c r="A1" s="6" t="inlineStr">
        <is>
          <t>case</t>
        </is>
      </c>
      <c r="B1" s="6" t="inlineStr">
        <is>
          <t>stage</t>
        </is>
      </c>
      <c r="C1" s="6" t="inlineStr">
        <is>
          <t>item</t>
        </is>
      </c>
      <c r="D1" s="6" t="inlineStr">
        <is>
          <t>qualifier</t>
        </is>
      </c>
      <c r="E1" s="6" t="inlineStr">
        <is>
          <t>parameter</t>
        </is>
      </c>
      <c r="F1" s="6" t="inlineStr">
        <is>
          <t>description</t>
        </is>
      </c>
      <c r="G1" s="6" t="inlineStr">
        <is>
          <t>unit</t>
        </is>
      </c>
      <c r="H1" s="6" t="inlineStr">
        <is>
          <t>typical</t>
        </is>
      </c>
      <c r="I1" s="6" t="inlineStr">
        <is>
          <t>min</t>
        </is>
      </c>
      <c r="J1" s="6" t="inlineStr">
        <is>
          <t>max</t>
        </is>
      </c>
      <c r="K1" s="6" t="inlineStr">
        <is>
          <t>scaled_up</t>
        </is>
      </c>
      <c r="L1" s="6" t="inlineStr">
        <is>
          <t>distribution</t>
        </is>
      </c>
      <c r="M1" s="6" t="inlineStr">
        <is>
          <t>choices</t>
        </is>
      </c>
      <c r="N1" s="6" t="inlineStr">
        <is>
          <t>source</t>
        </is>
      </c>
      <c r="O1" s="6" t="inlineStr">
        <is>
          <t>status</t>
        </is>
      </c>
      <c r="P1" s="6" t="inlineStr">
        <is>
          <t>comments</t>
        </is>
      </c>
    </row>
    <row r="2" ht="16" customHeight="1">
      <c r="A2" s="7" t="inlineStr">
        <is>
          <t>glulam beam</t>
        </is>
      </c>
      <c r="B2" s="7" t="inlineStr">
        <is>
          <t>product size</t>
        </is>
      </c>
      <c r="C2" s="7" t="inlineStr">
        <is>
          <t>product</t>
        </is>
      </c>
      <c r="D2" s="7" t="n"/>
      <c r="E2" s="7" t="inlineStr">
        <is>
          <t>depth_ratio</t>
        </is>
      </c>
      <c r="F2" s="7" t="inlineStr">
        <is>
          <t>Beam span divided by beam depth</t>
        </is>
      </c>
      <c r="G2" s="7" t="inlineStr">
        <is>
          <t>-</t>
        </is>
      </c>
      <c r="H2" s="7" t="n">
        <v>20</v>
      </c>
      <c r="I2" s="7" t="n">
        <v>16</v>
      </c>
      <c r="J2" s="7" t="n">
        <v>24</v>
      </c>
      <c r="K2" s="7" t="n"/>
      <c r="L2" s="7" t="inlineStr">
        <is>
          <t>triangular</t>
        </is>
      </c>
      <c r="M2" s="7" t="n"/>
      <c r="N2" s="7" t="inlineStr">
        <is>
          <t>Rule of thumb span/depth ~20 for glulam beams (civilsir.com/glulam-span-rule-of-thumb)</t>
        </is>
      </c>
      <c r="O2" s="7" t="inlineStr">
        <is>
          <t>literature</t>
        </is>
      </c>
      <c r="P2" s="7" t="inlineStr">
        <is>
          <t>Single, US-origin rule of thumb; kept range 16-24. Worth checking against EN 1995 / Dutch practice (span/depth 15-20).</t>
        </is>
      </c>
    </row>
    <row r="3" ht="16" customHeight="1">
      <c r="A3" s="7" t="inlineStr">
        <is>
          <t>glulam beam</t>
        </is>
      </c>
      <c r="B3" s="7" t="inlineStr">
        <is>
          <t>product size</t>
        </is>
      </c>
      <c r="C3" s="7" t="inlineStr">
        <is>
          <t>product</t>
        </is>
      </c>
      <c r="D3" s="7" t="n"/>
      <c r="E3" s="7" t="inlineStr">
        <is>
          <t>width_ratio</t>
        </is>
      </c>
      <c r="F3" s="7" t="inlineStr">
        <is>
          <t>Beam depth divided by beam width</t>
        </is>
      </c>
      <c r="G3" s="7" t="inlineStr">
        <is>
          <t>-</t>
        </is>
      </c>
      <c r="H3" s="7" t="n">
        <v>3.5</v>
      </c>
      <c r="I3" s="7" t="n">
        <v>3</v>
      </c>
      <c r="J3" s="7" t="n">
        <v>4</v>
      </c>
      <c r="K3" s="7" t="n"/>
      <c r="L3" s="7" t="inlineStr">
        <is>
          <t>triangular</t>
        </is>
      </c>
      <c r="M3" s="7" t="n"/>
      <c r="N3" s="7" t="inlineStr">
        <is>
          <t>Beam width = 1/3 to 1/4 of depth (civilsir.com/glulam-span-rule-of-thumb); APA limits depth/width to &lt;=12 (anthonyforest.com APA TT-085)</t>
        </is>
      </c>
      <c r="O3" s="7" t="inlineStr">
        <is>
          <t>literature</t>
        </is>
      </c>
      <c r="P3" s="7" t="inlineStr">
        <is>
          <t>Typical moved from 3 to 3.5 (midpoint of the 3-4 rule of thumb). Lowers beam mass ~14% vs before.</t>
        </is>
      </c>
    </row>
    <row r="4" ht="16" customHeight="1">
      <c r="A4" s="7" t="inlineStr">
        <is>
          <t>glulam beam</t>
        </is>
      </c>
      <c r="B4" s="7" t="inlineStr">
        <is>
          <t>product size</t>
        </is>
      </c>
      <c r="C4" s="7" t="inlineStr">
        <is>
          <t>product</t>
        </is>
      </c>
      <c r="D4" s="7" t="n"/>
      <c r="E4" s="7" t="inlineStr">
        <is>
          <t>density</t>
        </is>
      </c>
      <c r="F4" s="7" t="inlineStr">
        <is>
          <t>Density of glulam timber</t>
        </is>
      </c>
      <c r="G4" s="7" t="inlineStr">
        <is>
          <t>kg/m3</t>
        </is>
      </c>
      <c r="H4" s="7" t="n">
        <v>439</v>
      </c>
      <c r="I4" s="7" t="n">
        <v>439</v>
      </c>
      <c r="J4" s="7" t="n">
        <v>439</v>
      </c>
      <c r="K4" s="7" t="n"/>
      <c r="L4" s="7" t="inlineStr">
        <is>
          <t>fixed</t>
        </is>
      </c>
      <c r="M4" s="7" t="n"/>
      <c r="N4" s="7" t="inlineStr">
        <is>
          <t>common sense: between EN 14080 GL24h (~420) and Annebergs EPD (461)</t>
        </is>
      </c>
      <c r="O4" s="7" t="inlineStr">
        <is>
          <t>partner estimate</t>
        </is>
      </c>
      <c r="P4" s="7" t="inlineStr">
        <is>
          <t>Common-sense estimate (Claude, for LCA-team review): GL24h spruce glulam has a mean density of ~420 kg/m3 (EN 14080, from memory) and the Danish EPD declares 461, so 439 sits between the two. Fixed because timber is bought per m3. | earlier note: fixed: glulam timber is bought in m3, at 1 / density m3 per kg of product (production row). 461 (EPD) vs 439 is a 5% difference; if you change this, change the production row to 1/density too.</t>
        </is>
      </c>
    </row>
    <row r="5" ht="16" customHeight="1">
      <c r="A5" s="7" t="inlineStr">
        <is>
          <t>glulam beam</t>
        </is>
      </c>
      <c r="B5" s="7" t="inlineStr">
        <is>
          <t>production</t>
        </is>
      </c>
      <c r="C5" s="7" t="inlineStr">
        <is>
          <t>glulam timber</t>
        </is>
      </c>
      <c r="D5" s="7" t="n"/>
      <c r="E5" s="7" t="inlineStr">
        <is>
          <t>amount per kg product</t>
        </is>
      </c>
      <c r="F5" s="7" t="inlineStr">
        <is>
          <t>Amount of glulam timber per kg of product</t>
        </is>
      </c>
      <c r="G5" s="7" t="inlineStr">
        <is>
          <t>m3/kg</t>
        </is>
      </c>
      <c r="H5" s="7" t="n">
        <v>0.002277904328018223</v>
      </c>
      <c r="I5" s="7" t="n">
        <v>0.002277904328018223</v>
      </c>
      <c r="J5" s="7" t="n">
        <v>0.002277904328018223</v>
      </c>
      <c r="K5" s="7" t="n"/>
      <c r="L5" s="7" t="inlineStr">
        <is>
          <t>fixed</t>
        </is>
      </c>
      <c r="M5" s="7" t="n"/>
      <c r="N5" s="7" t="inlineStr">
        <is>
          <t>derived: 1/density</t>
        </is>
      </c>
      <c r="O5" s="7" t="inlineStr">
        <is>
          <t>partner estimate</t>
        </is>
      </c>
      <c r="P5" s="7" t="inlineStr">
        <is>
          <t>Common-sense estimate (Claude, for LCA-team review): Exactly 1/density: 1 kg of beam needs 1/439 m3 of glulam, no cutting waste modelled (offcuts are inside the cradle-to-gate dataset). | earlier note: 1 / 439 kg per m3</t>
        </is>
      </c>
    </row>
    <row r="6" ht="16" customHeight="1">
      <c r="A6" s="7" t="inlineStr">
        <is>
          <t>glulam beam</t>
        </is>
      </c>
      <c r="B6" s="7" t="inlineStr">
        <is>
          <t>use</t>
        </is>
      </c>
      <c r="C6" s="7" t="inlineStr">
        <is>
          <t>product</t>
        </is>
      </c>
      <c r="D6" s="7" t="n"/>
      <c r="E6" s="7" t="inlineStr">
        <is>
          <t>service life</t>
        </is>
      </c>
      <c r="F6" s="7" t="inlineStr">
        <is>
          <t>Years the product lasts in use</t>
        </is>
      </c>
      <c r="G6" s="7" t="inlineStr">
        <is>
          <t>yrs</t>
        </is>
      </c>
      <c r="H6" s="7" t="n">
        <v>75</v>
      </c>
      <c r="I6" s="7" t="n">
        <v>50</v>
      </c>
      <c r="J6" s="7" t="n">
        <v>100</v>
      </c>
      <c r="K6" s="7" t="n"/>
      <c r="L6" s="7" t="inlineStr">
        <is>
          <t>triangular</t>
        </is>
      </c>
      <c r="M6" s="7" t="n"/>
      <c r="N6" s="7" t="inlineStr">
        <is>
          <t>Assumed equal to the reinforced concrete beam (structural frame element, protected interior). EN 1990 design working life 50 y (class 3) to 100 y (class 4) (betonhuis.nl); Annebergs glulam EPD declares no RSL</t>
        </is>
      </c>
      <c r="O6" s="7" t="inlineStr">
        <is>
          <t>partner estimate</t>
        </is>
      </c>
      <c r="P6" s="7" t="inlineStr">
        <is>
          <t>Common-sense estimate (Claude, for LCA-team review): A protected glulam beam does not rot or fatigue, so it lasts as long as the building it sits in. Used the same 75 y as concrete (range 50-100 y) so the comparison is not tilted by lifetime alone. | earlier note: Raised from 60. No glulam-specific reference service life found; equal lifetimes avoid biasing the comparison (burdens are scaled by service_life / L). Decision for you: keep 75 or set a glulam-specific value.</t>
        </is>
      </c>
    </row>
    <row r="7" ht="16" customHeight="1">
      <c r="A7" s="7" t="inlineStr">
        <is>
          <t>glulam beam</t>
        </is>
      </c>
      <c r="B7" s="7" t="inlineStr">
        <is>
          <t>end-of-life</t>
        </is>
      </c>
      <c r="C7" s="7" t="inlineStr">
        <is>
          <t>waste incineration</t>
        </is>
      </c>
      <c r="D7" s="7" t="inlineStr">
        <is>
          <t>glulam timber</t>
        </is>
      </c>
      <c r="E7" s="7" t="inlineStr">
        <is>
          <t>amount per kg product</t>
        </is>
      </c>
      <c r="F7" s="7" t="inlineStr">
        <is>
          <t>kg of glulam timber that goes to waste incineration at end of life, per kg of product</t>
        </is>
      </c>
      <c r="G7" s="7" t="inlineStr">
        <is>
          <t>kg/kg</t>
        </is>
      </c>
      <c r="H7" s="7" t="n">
        <v>0.6</v>
      </c>
      <c r="I7" s="7" t="n">
        <v>0.48</v>
      </c>
      <c r="J7" s="7" t="n">
        <v>0.72</v>
      </c>
      <c r="K7" s="7" t="n"/>
      <c r="L7" s="7" t="inlineStr">
        <is>
          <t>triangular</t>
        </is>
      </c>
      <c r="M7" s="7" t="n"/>
      <c r="N7" s="7" t="inlineStr">
        <is>
          <t>common sense, cross-checked with Annebergs glulam EPD (47% recycling / 53% incineration / 0% landfill)</t>
        </is>
      </c>
      <c r="O7" s="7" t="inlineStr">
        <is>
          <t>partner estimate</t>
        </is>
      </c>
      <c r="P7" s="7" t="inlineStr">
        <is>
          <t>Common-sense estimate (Claude, for LCA-team review): Kept your numbers (you said they look fine). Reasoning: glue and preservatives make post-consumer glulam grade B/C wood, which goes mostly to energy recovery (Danish EPD: 53% energy, 47% chips) with a smaller part to chipboard; landfilling is banned or rare in NL/DK/DE, so 10% landfill is on the high side and could be ~0-5%.</t>
        </is>
      </c>
    </row>
    <row r="8" ht="16" customHeight="1">
      <c r="A8" s="7" t="inlineStr">
        <is>
          <t>glulam beam</t>
        </is>
      </c>
      <c r="B8" s="7" t="inlineStr">
        <is>
          <t>end-of-life</t>
        </is>
      </c>
      <c r="C8" s="7" t="inlineStr">
        <is>
          <t>waste recycling</t>
        </is>
      </c>
      <c r="D8" s="7" t="inlineStr">
        <is>
          <t>glulam timber</t>
        </is>
      </c>
      <c r="E8" s="7" t="inlineStr">
        <is>
          <t>amount per kg product</t>
        </is>
      </c>
      <c r="F8" s="7" t="inlineStr">
        <is>
          <t>kg of glulam timber that goes to waste recycling at end of life, per kg of product</t>
        </is>
      </c>
      <c r="G8" s="7" t="inlineStr">
        <is>
          <t>kg/kg</t>
        </is>
      </c>
      <c r="H8" s="7" t="n">
        <v>0.3</v>
      </c>
      <c r="I8" s="7" t="n">
        <v>0.24</v>
      </c>
      <c r="J8" s="7" t="n">
        <v>0.36</v>
      </c>
      <c r="K8" s="7" t="n"/>
      <c r="L8" s="7" t="inlineStr">
        <is>
          <t>triangular</t>
        </is>
      </c>
      <c r="M8" s="7" t="n"/>
      <c r="N8" s="7" t="inlineStr">
        <is>
          <t>common sense, cross-checked with Annebergs glulam EPD (47% recycling / 53% incineration / 0% landfill)</t>
        </is>
      </c>
      <c r="O8" s="7" t="inlineStr">
        <is>
          <t>partner estimate</t>
        </is>
      </c>
      <c r="P8" s="7" t="inlineStr">
        <is>
          <t>Common-sense estimate (Claude, for LCA-team review): Kept. Recycled into chipboard (open loop); 30% is between practice for glued wood (~10-20%) and the Danish EPD's 47%.</t>
        </is>
      </c>
    </row>
    <row r="9" ht="16" customHeight="1">
      <c r="A9" s="7" t="inlineStr">
        <is>
          <t>glulam beam</t>
        </is>
      </c>
      <c r="B9" s="7" t="inlineStr">
        <is>
          <t>end-of-life</t>
        </is>
      </c>
      <c r="C9" s="7" t="inlineStr">
        <is>
          <t>waste landfilling</t>
        </is>
      </c>
      <c r="D9" s="7" t="inlineStr">
        <is>
          <t>glulam timber</t>
        </is>
      </c>
      <c r="E9" s="7" t="inlineStr">
        <is>
          <t>amount per kg product</t>
        </is>
      </c>
      <c r="F9" s="7" t="inlineStr">
        <is>
          <t>kg of glulam timber that goes to waste landfilling at end of life, per kg of product</t>
        </is>
      </c>
      <c r="G9" s="7" t="inlineStr">
        <is>
          <t>kg/kg</t>
        </is>
      </c>
      <c r="H9" s="7" t="n">
        <v>0.1</v>
      </c>
      <c r="I9" s="7" t="n">
        <v>0.08</v>
      </c>
      <c r="J9" s="7" t="n">
        <v>0.12</v>
      </c>
      <c r="K9" s="7" t="n"/>
      <c r="L9" s="7" t="inlineStr">
        <is>
          <t>triangular</t>
        </is>
      </c>
      <c r="M9" s="7" t="n"/>
      <c r="N9" s="7" t="inlineStr">
        <is>
          <t>common sense, cross-checked with Annebergs glulam EPD (47% recycling / 53% incineration / 0% landfill)</t>
        </is>
      </c>
      <c r="O9" s="7" t="inlineStr">
        <is>
          <t>partner estimate</t>
        </is>
      </c>
      <c r="P9" s="7" t="inlineStr">
        <is>
          <t>Common-sense estimate (Claude, for LCA-team review): Kept. Probably a slight overestimate for NL (landfill of wood is banned), a reasonable Europe-wide value.</t>
        </is>
      </c>
    </row>
    <row r="10" ht="16" customHeight="1">
      <c r="A10" s="7" t="inlineStr">
        <is>
          <t>glulam beam</t>
        </is>
      </c>
      <c r="B10" s="7" t="inlineStr">
        <is>
          <t>general</t>
        </is>
      </c>
      <c r="C10" s="7" t="inlineStr">
        <is>
          <t>product</t>
        </is>
      </c>
      <c r="D10" s="7" t="n"/>
      <c r="E10" s="7" t="inlineStr">
        <is>
          <t>location</t>
        </is>
      </c>
      <c r="F10" s="7" t="inlineStr">
        <is>
          <t>Country whose electricity mix is displaced by energy recovered at end of life</t>
        </is>
      </c>
      <c r="G10" s="7" t="inlineStr">
        <is>
          <t>country code</t>
        </is>
      </c>
      <c r="H10" s="7" t="inlineStr">
        <is>
          <t>NL</t>
        </is>
      </c>
      <c r="I10" s="7" t="n"/>
      <c r="J10" s="7" t="n"/>
      <c r="K10" s="7" t="n"/>
      <c r="L10" s="7" t="inlineStr">
        <is>
          <t>choice</t>
        </is>
      </c>
      <c r="M10" s="7" t="n"/>
      <c r="N10" s="7" t="inlineStr">
        <is>
          <t>model choice</t>
        </is>
      </c>
      <c r="O10" s="7" t="inlineStr">
        <is>
          <t>partner estimate</t>
        </is>
      </c>
      <c r="P10" s="7" t="inlineStr">
        <is>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is>
      </c>
    </row>
    <row r="11" ht="16" customHeight="1"/>
    <row r="12" ht="16" customHeight="1"/>
    <row r="13" ht="16" customHeight="1"/>
    <row r="14" ht="16" customHeight="1"/>
    <row r="15" ht="16" customHeight="1"/>
    <row r="16" ht="16" customHeight="1"/>
    <row r="17" ht="16" customHeight="1"/>
    <row r="18" ht="16" customHeight="1"/>
    <row r="19" ht="16" customHeight="1"/>
    <row r="20" ht="16" customHeight="1"/>
    <row r="21" ht="32" customHeight="1"/>
    <row r="22" ht="32" customHeight="1"/>
    <row r="23" ht="32" customHeight="1"/>
    <row r="24" ht="32" customHeight="1"/>
    <row r="25" ht="32" customHeight="1"/>
    <row r="26" ht="32" customHeight="1"/>
    <row r="27" ht="32" customHeight="1"/>
    <row r="28" ht="32" customHeight="1"/>
    <row r="29" ht="32" customHeight="1"/>
    <row r="30" ht="32" customHeight="1"/>
    <row r="31" ht="32" customHeight="1"/>
    <row r="32" ht="32" customHeight="1"/>
    <row r="33" ht="32" customHeight="1"/>
    <row r="34" ht="16" customHeight="1"/>
    <row r="35" ht="32" customHeight="1"/>
    <row r="36" ht="32" customHeight="1"/>
    <row r="37" ht="16" customHeight="1"/>
    <row r="38" ht="16" customHeight="1"/>
    <row r="39" ht="32" customHeight="1"/>
    <row r="40" ht="32" customHeight="1"/>
    <row r="41" ht="32" customHeight="1"/>
    <row r="42" ht="16" customHeight="1"/>
    <row r="43" ht="16" customHeight="1"/>
    <row r="44" ht="32" customHeight="1"/>
    <row r="45" ht="32" customHeight="1"/>
    <row r="46" ht="32" customHeight="1"/>
    <row r="47" ht="16" customHeight="1"/>
  </sheetData>
  <conditionalFormatting sqref="H2:H247">
    <cfRule type="expression" priority="1" dxfId="0">
      <formula>AND($E2&lt;&gt;"",$H2="")</formula>
    </cfRule>
  </conditionalFormatting>
  <conditionalFormatting sqref="H2:O247">
    <cfRule type="expression" priority="2" dxfId="1">
      <formula>$O2="placeholder"</formula>
    </cfRule>
  </conditionalFormatting>
  <conditionalFormatting sqref="I2:J247">
    <cfRule type="expression" priority="3" dxfId="0">
      <formula>AND(OR($L2="triangular",$L2="uniform"),OR($I2="",$J2=""))</formula>
    </cfRule>
  </conditionalFormatting>
  <dataValidations count="3">
    <dataValidation sqref="B2:B247" showDropDown="0" showInputMessage="0" showErrorMessage="0" allowBlank="1" type="list">
      <formula1>"product size,production,repair,use,end-of-life,general"</formula1>
    </dataValidation>
    <dataValidation sqref="L2:L247" showDropDown="0" showInputMessage="0" showErrorMessage="0" allowBlank="1" type="list">
      <formula1>"fixed,triangular,uniform,choice,combination"</formula1>
    </dataValidation>
    <dataValidation sqref="O2:O247" showDropDown="0" showInputMessage="0" showErrorMessage="0" allowBlank="1" type="list">
      <formula1>"placeholder,partner estimate,measured,literature"</formula1>
    </dataValidation>
  </dataValidations>
  <pageMargins left="0.75" right="0.75" top="1" bottom="1" header="0.5" footer="0.5"/>
</worksheet>
</file>

<file path=xl/worksheets/sheet13.xml><?xml version="1.0" encoding="utf-8"?>
<worksheet xmlns="http://schemas.openxmlformats.org/spreadsheetml/2006/main">
  <sheetPr>
    <tabColor rgb="FF76A5AF"/>
    <outlinePr summaryBelow="1" summaryRight="1"/>
    <pageSetUpPr/>
  </sheetPr>
  <dimension ref="A1:P11"/>
  <sheetViews>
    <sheetView workbookViewId="0">
      <pane xSplit="11" ySplit="1" topLeftCell="L2" activePane="bottomRight" state="frozen"/>
      <selection pane="topRight"/>
      <selection pane="bottomLeft"/>
      <selection pane="bottomRight" activeCell="A1" sqref="A1"/>
    </sheetView>
  </sheetViews>
  <sheetFormatPr baseColWidth="10" defaultColWidth="8.83203125" defaultRowHeight="15"/>
  <cols>
    <col width="27.1640625" customWidth="1" min="1" max="1"/>
    <col width="13" customWidth="1" min="2" max="2"/>
    <col width="21" customWidth="1" min="3" max="3"/>
    <col width="17" customWidth="1" min="4" max="4"/>
    <col width="24" customWidth="1" min="5" max="5"/>
    <col width="60" customWidth="1" min="6" max="6"/>
    <col width="14" customWidth="1" min="7" max="7"/>
    <col width="9" customWidth="1" min="8" max="8"/>
    <col width="8" customWidth="1" min="9" max="9"/>
    <col width="13" customWidth="1" min="10" max="11"/>
    <col width="12" customWidth="1" min="12" max="12"/>
    <col width="12.83203125" customWidth="1" min="13" max="13"/>
    <col width="13" customWidth="1" min="14" max="14"/>
    <col width="40" customWidth="1" min="15" max="15"/>
    <col width="13" customWidth="1" min="16" max="17"/>
  </cols>
  <sheetData>
    <row r="1">
      <c r="A1" s="6" t="inlineStr">
        <is>
          <t>case</t>
        </is>
      </c>
      <c r="B1" s="6" t="inlineStr">
        <is>
          <t>stage</t>
        </is>
      </c>
      <c r="C1" s="6" t="inlineStr">
        <is>
          <t>item</t>
        </is>
      </c>
      <c r="D1" s="6" t="inlineStr">
        <is>
          <t>qualifier</t>
        </is>
      </c>
      <c r="E1" s="6" t="inlineStr">
        <is>
          <t>parameter</t>
        </is>
      </c>
      <c r="F1" s="6" t="inlineStr">
        <is>
          <t>description</t>
        </is>
      </c>
      <c r="G1" s="6" t="inlineStr">
        <is>
          <t>unit</t>
        </is>
      </c>
      <c r="H1" s="6" t="inlineStr">
        <is>
          <t>typical</t>
        </is>
      </c>
      <c r="I1" s="6" t="inlineStr">
        <is>
          <t>min</t>
        </is>
      </c>
      <c r="J1" s="6" t="inlineStr">
        <is>
          <t>max</t>
        </is>
      </c>
      <c r="K1" s="6" t="inlineStr">
        <is>
          <t>scaled_up</t>
        </is>
      </c>
      <c r="L1" s="6" t="inlineStr">
        <is>
          <t>distribution</t>
        </is>
      </c>
      <c r="M1" s="6" t="inlineStr">
        <is>
          <t>choices</t>
        </is>
      </c>
      <c r="N1" s="6" t="inlineStr">
        <is>
          <t>source</t>
        </is>
      </c>
      <c r="O1" s="6" t="inlineStr">
        <is>
          <t>status</t>
        </is>
      </c>
      <c r="P1" s="6" t="inlineStr">
        <is>
          <t>comments</t>
        </is>
      </c>
    </row>
    <row r="2" ht="16" customHeight="1">
      <c r="A2" s="7" t="inlineStr">
        <is>
          <t>reinforced concrete beam</t>
        </is>
      </c>
      <c r="B2" s="7" t="inlineStr">
        <is>
          <t>product size</t>
        </is>
      </c>
      <c r="C2" s="7" t="inlineStr">
        <is>
          <t>product</t>
        </is>
      </c>
      <c r="D2" s="7" t="n"/>
      <c r="E2" s="7" t="inlineStr">
        <is>
          <t>depth_ratio</t>
        </is>
      </c>
      <c r="F2" s="7" t="inlineStr">
        <is>
          <t>Beam span divided by beam depth</t>
        </is>
      </c>
      <c r="G2" s="7" t="inlineStr">
        <is>
          <t>-</t>
        </is>
      </c>
      <c r="H2" s="7" t="n">
        <v>12</v>
      </c>
      <c r="I2" s="7" t="n">
        <v>9.6</v>
      </c>
      <c r="J2" s="7" t="n">
        <v>20</v>
      </c>
      <c r="K2" s="7" t="n"/>
      <c r="L2" s="7" t="inlineStr">
        <is>
          <t>triangular</t>
        </is>
      </c>
      <c r="M2" s="7" t="n"/>
      <c r="N2" s="7" t="inlineStr">
        <is>
          <t>Eurocode 2 Table 7.4N basic span/depth limits: 20 simply supported, 14 continuous (anbeal.co.uk/ec2spantodepth)</t>
        </is>
      </c>
      <c r="O2" s="7" t="inlineStr">
        <is>
          <t>literature</t>
        </is>
      </c>
      <c r="P2" s="7" t="inlineStr">
        <is>
          <t>Typical unchanged (12, stocky beam); max raised to 20 = EC2 limit for simply supported beams. Actual depth depends on load, so this stays a design assumption.</t>
        </is>
      </c>
    </row>
    <row r="3" ht="16" customHeight="1">
      <c r="A3" s="7" t="inlineStr">
        <is>
          <t>reinforced concrete beam</t>
        </is>
      </c>
      <c r="B3" s="7" t="inlineStr">
        <is>
          <t>product size</t>
        </is>
      </c>
      <c r="C3" s="7" t="inlineStr">
        <is>
          <t>product</t>
        </is>
      </c>
      <c r="D3" s="7" t="n"/>
      <c r="E3" s="7" t="inlineStr">
        <is>
          <t>width_over_depth</t>
        </is>
      </c>
      <c r="F3" s="7" t="inlineStr">
        <is>
          <t>Beam width divided by beam depth</t>
        </is>
      </c>
      <c r="G3" s="7" t="inlineStr">
        <is>
          <t>-</t>
        </is>
      </c>
      <c r="H3" s="7" t="n">
        <v>0.5</v>
      </c>
      <c r="I3" s="7" t="n">
        <v>0.4</v>
      </c>
      <c r="J3" s="7" t="n">
        <v>0.6</v>
      </c>
      <c r="K3" s="7" t="n"/>
      <c r="L3" s="7" t="inlineStr">
        <is>
          <t>triangular</t>
        </is>
      </c>
      <c r="M3" s="7" t="n"/>
      <c r="N3" s="7" t="inlineStr">
        <is>
          <t>structural rule of thumb</t>
        </is>
      </c>
      <c r="O3" s="7" t="inlineStr">
        <is>
          <t>partner estimate</t>
        </is>
      </c>
      <c r="P3" s="7" t="inlineStr">
        <is>
          <t>Common-sense estimate (Claude, for LCA-team review): Beam width is usually about half the depth (b = h/2, engineers use h/3 to 2h/3 as rule of thumb); narrower beams need more depth, wider ones clash with wall thickness. 0.4-0.6 spans the common range. | earlier note: No source found; b/h 0.4-0.6 is common practice. Left as team assumption.</t>
        </is>
      </c>
    </row>
    <row r="4" ht="16" customHeight="1">
      <c r="A4" s="7" t="inlineStr">
        <is>
          <t>reinforced concrete beam</t>
        </is>
      </c>
      <c r="B4" s="7" t="inlineStr">
        <is>
          <t>product size</t>
        </is>
      </c>
      <c r="C4" s="7" t="inlineStr">
        <is>
          <t>product</t>
        </is>
      </c>
      <c r="D4" s="7" t="n"/>
      <c r="E4" s="7" t="inlineStr">
        <is>
          <t>concrete_density</t>
        </is>
      </c>
      <c r="F4" s="7" t="inlineStr">
        <is>
          <t>Density of reinforced concrete</t>
        </is>
      </c>
      <c r="G4" s="7" t="inlineStr">
        <is>
          <t>kg/m3</t>
        </is>
      </c>
      <c r="H4" s="7" t="n">
        <v>2500</v>
      </c>
      <c r="I4" s="7" t="n">
        <v>2300</v>
      </c>
      <c r="J4" s="7" t="n">
        <v>2600</v>
      </c>
      <c r="K4" s="7" t="n"/>
      <c r="L4" s="7" t="inlineStr">
        <is>
          <t>triangular</t>
        </is>
      </c>
      <c r="M4" s="7" t="n"/>
      <c r="N4" s="7" t="inlineStr">
        <is>
          <t>EN 1991-1-1 Annex A: reinforced normal-weight concrete 25 kN/m3 (standard value, not re-checked online this session)</t>
        </is>
      </c>
      <c r="O4" s="7" t="inlineStr">
        <is>
          <t>literature</t>
        </is>
      </c>
      <c r="P4" s="7" t="inlineStr">
        <is>
          <t>Was 2400 (range 1920-2880 = +-20%, too wide for normal-weight concrete). Implied rebar ~150 kg/m3 = 6% of mass, consistent with the steel production row.</t>
        </is>
      </c>
    </row>
    <row r="5" ht="16" customHeight="1">
      <c r="A5" s="7" t="inlineStr">
        <is>
          <t>reinforced concrete beam</t>
        </is>
      </c>
      <c r="B5" s="7" t="inlineStr">
        <is>
          <t>production</t>
        </is>
      </c>
      <c r="C5" s="7" t="inlineStr">
        <is>
          <t>concrete</t>
        </is>
      </c>
      <c r="D5" s="7" t="n"/>
      <c r="E5" s="7" t="inlineStr">
        <is>
          <t>amount per kg product</t>
        </is>
      </c>
      <c r="F5" s="7" t="inlineStr">
        <is>
          <t>Amount of concrete per kg of product</t>
        </is>
      </c>
      <c r="G5" s="7" t="inlineStr">
        <is>
          <t>kg/kg</t>
        </is>
      </c>
      <c r="H5" s="7" t="n">
        <v>0.9399999999999999</v>
      </c>
      <c r="I5" s="7" t="n">
        <v>0.9</v>
      </c>
      <c r="J5" s="7" t="n">
        <v>0.96</v>
      </c>
      <c r="K5" s="7" t="n"/>
      <c r="L5" s="7" t="inlineStr">
        <is>
          <t>triangular</t>
        </is>
      </c>
      <c r="M5" s="7" t="n"/>
      <c r="N5" s="7" t="inlineStr">
        <is>
          <t>engineering estimate: rebar ratio 100-250 kg/m3</t>
        </is>
      </c>
      <c r="O5" s="7" t="inlineStr">
        <is>
          <t>partner estimate</t>
        </is>
      </c>
      <c r="P5" s="7" t="inlineStr">
        <is>
          <t>Common-sense estimate (Claude, for LCA-team review): Rebar in RC beams is typically 100-250 kg per m3 of concrete; 150 kg/m3 at 2500 kg/m3 gives 6% steel and 94% concrete. Rebar content is a real uncertainty that changes the beam's footprint a lot (steel is ~10x more carbon-intensive per kg), so it now varies in the uncertainty analysis (shares are re-normalised). Concrete is the complement of steel: 0.90-0.96.</t>
        </is>
      </c>
    </row>
    <row r="6" ht="16" customHeight="1">
      <c r="A6" s="7" t="inlineStr">
        <is>
          <t>reinforced concrete beam</t>
        </is>
      </c>
      <c r="B6" s="7" t="inlineStr">
        <is>
          <t>production</t>
        </is>
      </c>
      <c r="C6" s="7" t="inlineStr">
        <is>
          <t>steel</t>
        </is>
      </c>
      <c r="D6" s="7" t="n"/>
      <c r="E6" s="7" t="inlineStr">
        <is>
          <t>amount per kg product</t>
        </is>
      </c>
      <c r="F6" s="7" t="inlineStr">
        <is>
          <t>Amount of steel per kg of product</t>
        </is>
      </c>
      <c r="G6" s="7" t="inlineStr">
        <is>
          <t>kg/kg</t>
        </is>
      </c>
      <c r="H6" s="7" t="n">
        <v>0.06</v>
      </c>
      <c r="I6" s="7" t="n">
        <v>0.04</v>
      </c>
      <c r="J6" s="7" t="n">
        <v>0.1</v>
      </c>
      <c r="K6" s="7" t="n"/>
      <c r="L6" s="7" t="inlineStr">
        <is>
          <t>triangular</t>
        </is>
      </c>
      <c r="M6" s="7" t="n"/>
      <c r="N6" s="7" t="inlineStr">
        <is>
          <t>engineering estimate: rebar ratio 100-250 kg/m3</t>
        </is>
      </c>
      <c r="O6" s="7" t="inlineStr">
        <is>
          <t>partner estimate</t>
        </is>
      </c>
      <c r="P6" s="7" t="inlineStr">
        <is>
          <t>Common-sense estimate (Claude, for LCA-team review): 150 kg rebar per m3 of concrete / 2500 kg per m3 = 6%. Range 100-250 kg/m3 = 4-10%. Stiffer/heavily loaded beams and shorter spans sit at the top of the range.</t>
        </is>
      </c>
    </row>
    <row r="7" ht="16" customHeight="1">
      <c r="A7" s="7" t="inlineStr">
        <is>
          <t>reinforced concrete beam</t>
        </is>
      </c>
      <c r="B7" s="7" t="inlineStr">
        <is>
          <t>production</t>
        </is>
      </c>
      <c r="C7" s="7" t="inlineStr">
        <is>
          <t>formwork</t>
        </is>
      </c>
      <c r="D7" s="7" t="n"/>
      <c r="E7" s="7" t="inlineStr">
        <is>
          <t>amount per kg product</t>
        </is>
      </c>
      <c r="F7" s="7" t="inlineStr">
        <is>
          <t>Amount of formwork per kg of product</t>
        </is>
      </c>
      <c r="G7" s="7" t="inlineStr">
        <is>
          <t>kg/kg</t>
        </is>
      </c>
      <c r="H7" s="7" t="n">
        <v>0.00432</v>
      </c>
      <c r="I7" s="7" t="n">
        <v>0.00432</v>
      </c>
      <c r="J7" s="7" t="n">
        <v>0.00432</v>
      </c>
      <c r="K7" s="7" t="n"/>
      <c r="L7" s="7" t="inlineStr">
        <is>
          <t>fixed</t>
        </is>
      </c>
      <c r="M7" s="7" t="n"/>
      <c r="N7" s="7" t="inlineStr">
        <is>
          <t>recalculated for density 2500 kg/m3 ; derived from beam geometry, 10 reuses</t>
        </is>
      </c>
      <c r="O7" s="7" t="inlineStr">
        <is>
          <t>partner estimate</t>
        </is>
      </c>
      <c r="P7" s="7" t="inlineStr">
        <is>
          <t>Common-sense estimate (Claude, for LCA-team review): Plywood formwork reused ~10 times; 8.1 kg per 1875 kg beam at 6 m span (formula in the earlier note). Fixed because it is a geometric consequence of the reference span. | earlier note: fixed per kg of beam, exact at the 6 m reference span: formwork 6 x (2 x 0.5 + 0.25) m x 0.018 m x 600 kg/m3 / 10 reuses = 8.1 kg per 1875 kg of beam (6 m x 0.5 x 0.25 m x 2500 kg/m3) = 0.00432 kg/kg</t>
        </is>
      </c>
    </row>
    <row r="8" ht="16" customHeight="1">
      <c r="A8" s="7" t="inlineStr">
        <is>
          <t>reinforced concrete beam</t>
        </is>
      </c>
      <c r="B8" s="7" t="inlineStr">
        <is>
          <t>use</t>
        </is>
      </c>
      <c r="C8" s="7" t="inlineStr">
        <is>
          <t>product</t>
        </is>
      </c>
      <c r="D8" s="7" t="n"/>
      <c r="E8" s="7" t="inlineStr">
        <is>
          <t>service life</t>
        </is>
      </c>
      <c r="F8" s="7" t="inlineStr">
        <is>
          <t>Years the product lasts in use</t>
        </is>
      </c>
      <c r="G8" s="7" t="inlineStr">
        <is>
          <t>yrs</t>
        </is>
      </c>
      <c r="H8" s="7" t="n">
        <v>75</v>
      </c>
      <c r="I8" s="7" t="n">
        <v>50</v>
      </c>
      <c r="J8" s="7" t="n">
        <v>100</v>
      </c>
      <c r="K8" s="7" t="n"/>
      <c r="L8" s="7" t="inlineStr">
        <is>
          <t>triangular</t>
        </is>
      </c>
      <c r="M8" s="7" t="n"/>
      <c r="N8" s="7" t="inlineStr">
        <is>
          <t>EN 1990 design working life 50 y (class 3) to 100 y (class 4); SBR: service life of most concrete structural parts &gt; 100 y (betonhuis.nl/beton-en-de-technische-levensduur)</t>
        </is>
      </c>
      <c r="O8" s="7" t="inlineStr">
        <is>
          <t>literature</t>
        </is>
      </c>
      <c r="P8" s="7" t="inlineStr">
        <is>
          <t>75 = common building-life convention, kept as typical; range widened to 50-100.</t>
        </is>
      </c>
    </row>
    <row r="9" ht="16" customHeight="1">
      <c r="A9" s="7" t="inlineStr">
        <is>
          <t>reinforced concrete beam</t>
        </is>
      </c>
      <c r="B9" s="7" t="inlineStr">
        <is>
          <t>end-of-life</t>
        </is>
      </c>
      <c r="C9" s="7" t="inlineStr">
        <is>
          <t>waste reinforced concrete recycling</t>
        </is>
      </c>
      <c r="D9" s="7" t="inlineStr">
        <is>
          <t>reinforced concrete</t>
        </is>
      </c>
      <c r="E9" s="7" t="inlineStr">
        <is>
          <t>amount per kg product</t>
        </is>
      </c>
      <c r="F9" s="7" t="inlineStr">
        <is>
          <t>kg of reinforced concrete beam (concrete + rebar, treated as a whole) that goes to waste reinforced concrete recycling at end of life, per kg of product</t>
        </is>
      </c>
      <c r="G9" s="7" t="inlineStr">
        <is>
          <t>kg/kg</t>
        </is>
      </c>
      <c r="H9" s="7" t="n">
        <v>0.9</v>
      </c>
      <c r="I9" s="7" t="n">
        <v>0.8</v>
      </c>
      <c r="J9" s="7" t="n">
        <v>0.98</v>
      </c>
      <c r="K9" s="7" t="n"/>
      <c r="L9" s="7" t="inlineStr">
        <is>
          <t>triangular</t>
        </is>
      </c>
      <c r="M9" s="7" t="n"/>
      <c r="N9" s="7" t="inlineStr">
        <is>
          <t>EU-27 non-hazardous C&amp;D waste 2020-21: 80% recycling + 7% backfilling, 7% landfilling, 6% energy recovery (JRC131294, Use of recycled aggregates in concrete, p.10); NL 2012: 98% recovery, ~2% landfilled (EC CDW factsheet NL); rebar recovery 98% at demolition (Eurofer 2012 survey, steelconstruction.info)</t>
        </is>
      </c>
      <c r="O9" s="7" t="inlineStr">
        <is>
          <t>literature</t>
        </is>
      </c>
      <c r="P9" s="7" t="inlineStr">
        <is>
          <t>Whole beam treated as one stream (concrete + steel not split). Includes backfilling (7% of EU CDW), which has no separate activity here; EU mineral-only recycling+backfilling = 87/94 = 93% (energy-recovery share excluded), rounded down to 90% for reporting bias. Range: min ~ countries with 70-80% recovery, max ~ NL (98%).</t>
        </is>
      </c>
    </row>
    <row r="10" ht="16" customHeight="1">
      <c r="A10" s="7" t="inlineStr">
        <is>
          <t>reinforced concrete beam</t>
        </is>
      </c>
      <c r="B10" s="7" t="inlineStr">
        <is>
          <t>end-of-life</t>
        </is>
      </c>
      <c r="C10" s="7" t="inlineStr">
        <is>
          <t>waste concrete landfilling</t>
        </is>
      </c>
      <c r="D10" s="7" t="inlineStr">
        <is>
          <t>reinforced concrete</t>
        </is>
      </c>
      <c r="E10" s="7" t="inlineStr">
        <is>
          <t>amount per kg product</t>
        </is>
      </c>
      <c r="F10" s="7" t="inlineStr">
        <is>
          <t>kg of reinforced concrete beam (concrete + rebar, treated as a whole) that goes to waste concrete landfilling at end of life, per kg of product</t>
        </is>
      </c>
      <c r="G10" s="7" t="inlineStr">
        <is>
          <t>kg/kg</t>
        </is>
      </c>
      <c r="H10" s="7" t="n">
        <v>0.1</v>
      </c>
      <c r="I10" s="7" t="n">
        <v>0.02</v>
      </c>
      <c r="J10" s="7" t="n">
        <v>0.2</v>
      </c>
      <c r="K10" s="7" t="n"/>
      <c r="L10" s="7" t="inlineStr">
        <is>
          <t>triangular</t>
        </is>
      </c>
      <c r="M10" s="7" t="n"/>
      <c r="N10" s="7" t="inlineStr">
        <is>
          <t>EU-27 non-hazardous C&amp;D waste 2020-21: 80% recycling + 7% backfilling, 7% landfilling, 6% energy recovery (JRC131294, Use of recycled aggregates in concrete, p.10); NL 2012: 98% recovery, ~2% landfilled (EC CDW factsheet NL); rebar recovery 98% at demolition (Eurofer 2012 survey, steelconstruction.info)</t>
        </is>
      </c>
      <c r="O10" s="7" t="inlineStr">
        <is>
          <t>literature</t>
        </is>
      </c>
      <c r="P10" s="7" t="inlineStr">
        <is>
          <t>Complement of recycling row (shares re-normalised to 100%). EU ~7%, NL ~2%; typical 10% kept conservative for whole-Europe scope. Beam's ~6% steel is landfilled with the concrete here (ecoinvent 'waste concrete' dataset).</t>
        </is>
      </c>
    </row>
    <row r="11" ht="16" customHeight="1">
      <c r="A11" s="7" t="inlineStr">
        <is>
          <t>reinforced concrete beam</t>
        </is>
      </c>
      <c r="B11" s="7" t="inlineStr">
        <is>
          <t>general</t>
        </is>
      </c>
      <c r="C11" s="7" t="inlineStr">
        <is>
          <t>product</t>
        </is>
      </c>
      <c r="D11" s="7" t="n"/>
      <c r="E11" s="7" t="inlineStr">
        <is>
          <t>location</t>
        </is>
      </c>
      <c r="F11" s="7" t="inlineStr">
        <is>
          <t>Country whose electricity mix is displaced by energy recovered at end of life</t>
        </is>
      </c>
      <c r="G11" s="7" t="inlineStr">
        <is>
          <t>country code</t>
        </is>
      </c>
      <c r="H11" s="7" t="inlineStr">
        <is>
          <t>NL</t>
        </is>
      </c>
      <c r="I11" s="7" t="n"/>
      <c r="J11" s="7" t="n"/>
      <c r="K11" s="7" t="n"/>
      <c r="L11" s="7" t="inlineStr">
        <is>
          <t>choice</t>
        </is>
      </c>
      <c r="M11" s="7" t="n"/>
      <c r="N11" s="7" t="inlineStr">
        <is>
          <t>model choice</t>
        </is>
      </c>
      <c r="O11" s="7" t="inlineStr">
        <is>
          <t>partner estimate</t>
        </is>
      </c>
      <c r="P11" s="7" t="inlineStr">
        <is>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is>
      </c>
    </row>
    <row r="12" ht="16" customHeight="1"/>
    <row r="13" ht="16" customHeight="1"/>
    <row r="14" ht="16" customHeight="1"/>
    <row r="15" ht="16" customHeight="1"/>
    <row r="16" ht="16" customHeight="1"/>
    <row r="17" ht="16" customHeight="1"/>
    <row r="18" ht="16" customHeight="1"/>
    <row r="19" ht="16" customHeight="1"/>
    <row r="20" ht="16" customHeight="1"/>
    <row r="21" ht="32" customHeight="1"/>
    <row r="22" ht="32" customHeight="1"/>
    <row r="23" ht="32" customHeight="1"/>
    <row r="24" ht="32" customHeight="1"/>
    <row r="25" ht="32" customHeight="1"/>
    <row r="26" ht="32" customHeight="1"/>
    <row r="27" ht="32" customHeight="1"/>
    <row r="28" ht="32" customHeight="1"/>
    <row r="29" ht="32" customHeight="1"/>
    <row r="30" ht="32" customHeight="1"/>
    <row r="31" ht="32" customHeight="1"/>
    <row r="32" ht="32" customHeight="1"/>
    <row r="33" ht="32" customHeight="1"/>
    <row r="34" ht="16" customHeight="1"/>
    <row r="35" ht="32" customHeight="1"/>
    <row r="36" ht="32" customHeight="1"/>
    <row r="37" ht="16" customHeight="1"/>
    <row r="38" ht="16" customHeight="1"/>
    <row r="39" ht="32" customHeight="1"/>
    <row r="40" ht="32" customHeight="1"/>
    <row r="41" ht="32" customHeight="1"/>
    <row r="42" ht="16" customHeight="1"/>
    <row r="43" ht="16" customHeight="1"/>
    <row r="44" ht="32" customHeight="1"/>
    <row r="45" ht="32" customHeight="1"/>
    <row r="46" ht="32" customHeight="1"/>
    <row r="47" ht="16" customHeight="1"/>
  </sheetData>
  <conditionalFormatting sqref="H2:H247">
    <cfRule type="expression" priority="1" dxfId="0">
      <formula>AND($E2&lt;&gt;"",$H2="")</formula>
    </cfRule>
  </conditionalFormatting>
  <conditionalFormatting sqref="H2:O247">
    <cfRule type="expression" priority="2" dxfId="1">
      <formula>$O2="placeholder"</formula>
    </cfRule>
  </conditionalFormatting>
  <conditionalFormatting sqref="I2:J247">
    <cfRule type="expression" priority="3" dxfId="0">
      <formula>AND(OR($L2="triangular",$L2="uniform"),OR($I2="",$J2=""))</formula>
    </cfRule>
  </conditionalFormatting>
  <dataValidations count="3">
    <dataValidation sqref="B2:B247" showDropDown="0" showInputMessage="0" showErrorMessage="0" allowBlank="1" type="list">
      <formula1>"product size,production,repair,use,end-of-life,general"</formula1>
    </dataValidation>
    <dataValidation sqref="L2:L247" showDropDown="0" showInputMessage="0" showErrorMessage="0" allowBlank="1" type="list">
      <formula1>"fixed,triangular,uniform,choice,combination"</formula1>
    </dataValidation>
    <dataValidation sqref="O2:O247" showDropDown="0" showInputMessage="0" showErrorMessage="0" allowBlank="1" type="list">
      <formula1>"placeholder,partner estimate,measured,literature"</formula1>
    </dataValidation>
  </dataValidations>
  <pageMargins left="0.75" right="0.75" top="1" bottom="1" header="0.5" footer="0.5"/>
</worksheet>
</file>

<file path=xl/worksheets/sheet14.xml><?xml version="1.0" encoding="utf-8"?>
<worksheet xmlns="http://schemas.openxmlformats.org/spreadsheetml/2006/main">
  <sheetPr>
    <tabColor rgb="FF76A5AF"/>
    <outlinePr summaryBelow="1" summaryRight="1"/>
    <pageSetUpPr/>
  </sheetPr>
  <dimension ref="A1:P8"/>
  <sheetViews>
    <sheetView workbookViewId="0">
      <pane xSplit="11" ySplit="1" topLeftCell="L2" activePane="bottomRight" state="frozen"/>
      <selection pane="topRight"/>
      <selection pane="bottomLeft"/>
      <selection pane="bottomRight" activeCell="A1" sqref="A1"/>
    </sheetView>
  </sheetViews>
  <sheetFormatPr baseColWidth="10" defaultColWidth="8.83203125" defaultRowHeight="15"/>
  <cols>
    <col width="27.1640625" customWidth="1" min="1" max="1"/>
    <col width="13" customWidth="1" min="2" max="2"/>
    <col width="21" customWidth="1" min="3" max="3"/>
    <col width="17" customWidth="1" min="4" max="4"/>
    <col width="24" customWidth="1" min="5" max="5"/>
    <col width="60" customWidth="1" min="6" max="6"/>
    <col width="14" customWidth="1" min="7" max="7"/>
    <col width="9" customWidth="1" min="8" max="8"/>
    <col width="8" customWidth="1" min="9" max="9"/>
    <col width="13" customWidth="1" min="10" max="11"/>
    <col width="12" customWidth="1" min="12" max="12"/>
    <col width="12.83203125" customWidth="1" min="13" max="13"/>
    <col width="13" customWidth="1" min="14" max="14"/>
    <col width="40" customWidth="1" min="15" max="15"/>
    <col width="13" customWidth="1" min="16" max="17"/>
  </cols>
  <sheetData>
    <row r="1">
      <c r="A1" s="6" t="inlineStr">
        <is>
          <t>case</t>
        </is>
      </c>
      <c r="B1" s="6" t="inlineStr">
        <is>
          <t>stage</t>
        </is>
      </c>
      <c r="C1" s="6" t="inlineStr">
        <is>
          <t>item</t>
        </is>
      </c>
      <c r="D1" s="6" t="inlineStr">
        <is>
          <t>qualifier</t>
        </is>
      </c>
      <c r="E1" s="6" t="inlineStr">
        <is>
          <t>parameter</t>
        </is>
      </c>
      <c r="F1" s="6" t="inlineStr">
        <is>
          <t>description</t>
        </is>
      </c>
      <c r="G1" s="6" t="inlineStr">
        <is>
          <t>unit</t>
        </is>
      </c>
      <c r="H1" s="6" t="inlineStr">
        <is>
          <t>typical</t>
        </is>
      </c>
      <c r="I1" s="6" t="inlineStr">
        <is>
          <t>min</t>
        </is>
      </c>
      <c r="J1" s="6" t="inlineStr">
        <is>
          <t>max</t>
        </is>
      </c>
      <c r="K1" s="6" t="inlineStr">
        <is>
          <t>scaled_up</t>
        </is>
      </c>
      <c r="L1" s="6" t="inlineStr">
        <is>
          <t>distribution</t>
        </is>
      </c>
      <c r="M1" s="6" t="inlineStr">
        <is>
          <t>choices</t>
        </is>
      </c>
      <c r="N1" s="6" t="inlineStr">
        <is>
          <t>source</t>
        </is>
      </c>
      <c r="O1" s="6" t="inlineStr">
        <is>
          <t>status</t>
        </is>
      </c>
      <c r="P1" s="6" t="inlineStr">
        <is>
          <t>comments</t>
        </is>
      </c>
    </row>
    <row r="2" ht="16" customHeight="1">
      <c r="A2" s="7" t="inlineStr">
        <is>
          <t>adobe brick for interior wall</t>
        </is>
      </c>
      <c r="B2" s="7" t="inlineStr">
        <is>
          <t>product size</t>
        </is>
      </c>
      <c r="C2" s="7" t="inlineStr">
        <is>
          <t>product</t>
        </is>
      </c>
      <c r="D2" s="7" t="n"/>
      <c r="E2" s="7" t="inlineStr">
        <is>
          <t>wall_height</t>
        </is>
      </c>
      <c r="F2" s="7" t="inlineStr">
        <is>
          <t>Height of the wall</t>
        </is>
      </c>
      <c r="G2" s="7" t="inlineStr">
        <is>
          <t>m</t>
        </is>
      </c>
      <c r="H2" s="7" t="n">
        <v>3</v>
      </c>
      <c r="I2" s="7" t="n">
        <v>3</v>
      </c>
      <c r="J2" s="7" t="n">
        <v>3</v>
      </c>
      <c r="K2" s="7" t="n"/>
      <c r="L2" s="7" t="inlineStr">
        <is>
          <t>fixed</t>
        </is>
      </c>
      <c r="M2" s="7" t="n"/>
      <c r="N2" s="7" t="inlineStr">
        <is>
          <t>functional unit (fu_comparison)</t>
        </is>
      </c>
      <c r="O2" s="7" t="inlineStr">
        <is>
          <t>partner estimate</t>
        </is>
      </c>
      <c r="P2" s="7" t="inlineStr">
        <is>
          <t>Common-sense estimate (Claude, for LCA-team review): Part of the functional unit (3 m partition, standard storey height), must equal for all compared walls. | earlier note: part of the functional unit - keep equal across the compared walls</t>
        </is>
      </c>
    </row>
    <row r="3" ht="16" customHeight="1">
      <c r="A3" s="7" t="inlineStr">
        <is>
          <t>adobe brick for interior wall</t>
        </is>
      </c>
      <c r="B3" s="7" t="inlineStr">
        <is>
          <t>product size</t>
        </is>
      </c>
      <c r="C3" s="7" t="inlineStr">
        <is>
          <t>product</t>
        </is>
      </c>
      <c r="D3" s="7" t="n"/>
      <c r="E3" s="7" t="inlineStr">
        <is>
          <t>thickness_ratio</t>
        </is>
      </c>
      <c r="F3" s="7" t="inlineStr">
        <is>
          <t>Wall height divided by wall thickness</t>
        </is>
      </c>
      <c r="G3" s="7" t="inlineStr">
        <is>
          <t>-</t>
        </is>
      </c>
      <c r="H3" s="7" t="n">
        <v>10</v>
      </c>
      <c r="I3" s="7" t="n">
        <v>8</v>
      </c>
      <c r="J3" s="7" t="n">
        <v>12</v>
      </c>
      <c r="K3" s="7" t="n"/>
      <c r="L3" s="7" t="inlineStr">
        <is>
          <t>triangular</t>
        </is>
      </c>
      <c r="M3" s="7" t="n"/>
      <c r="N3" s="7" t="inlineStr">
        <is>
          <t>same value as lci_raw_biopol</t>
        </is>
      </c>
      <c r="O3" s="7" t="inlineStr">
        <is>
          <t>partner estimate</t>
        </is>
      </c>
      <c r="P3" s="7" t="inlineStr">
        <is>
          <t>Common-sense estimate (Claude, for LCA-team review): Height/thickness = 10 gives a 0.30 m wall, the thickness of the RAW printed wall (lci_raw_biopol uses the same 10); a thin unreinforced earth wall is limited by slenderness, so 8-12 (0.25-0.375 m) is realistic. Note: this makes adobe ~2.6x thicker than the clay brick partition (0.115 m), so its mass per m of wall is much higher.</t>
        </is>
      </c>
    </row>
    <row r="4" ht="16" customHeight="1">
      <c r="A4" s="7" t="inlineStr">
        <is>
          <t>adobe brick for interior wall</t>
        </is>
      </c>
      <c r="B4" s="7" t="inlineStr">
        <is>
          <t>product size</t>
        </is>
      </c>
      <c r="C4" s="7" t="inlineStr">
        <is>
          <t>product</t>
        </is>
      </c>
      <c r="D4" s="7" t="n"/>
      <c r="E4" s="7" t="inlineStr">
        <is>
          <t>density</t>
        </is>
      </c>
      <c r="F4" s="7" t="inlineStr">
        <is>
          <t>Density of the adobe wall (mortar is the same material)</t>
        </is>
      </c>
      <c r="G4" s="7" t="inlineStr">
        <is>
          <t>kg/m3</t>
        </is>
      </c>
      <c r="H4" s="7" t="n">
        <v>1700</v>
      </c>
      <c r="I4" s="7" t="n">
        <v>1300</v>
      </c>
      <c r="J4" s="7" t="n">
        <v>1900</v>
      </c>
      <c r="K4" s="7" t="n"/>
      <c r="L4" s="7" t="inlineStr">
        <is>
          <t>triangular</t>
        </is>
      </c>
      <c r="M4" s="7" t="n"/>
      <c r="N4" s="7" t="inlineStr">
        <is>
          <t>common sense: adobe/earth block dry density 1200-1900 kg/m3</t>
        </is>
      </c>
      <c r="O4" s="7" t="inlineStr">
        <is>
          <t>partner estimate</t>
        </is>
      </c>
      <c r="P4" s="7" t="inlineStr">
        <is>
          <t>Common-sense estimate (Claude, for LCA-team review): Dry adobe with straw/fibre is 1200-1900 kg/m3 (fully compacted soil reaches ~2000+, which adobe usually does not). Typical 1700, range narrowed to 1300-1900 (was 1360-2040). | earlier note: Adobe brick density: no adobe-specific source retrieved (compacted raw earth optimum 2160 kg/m3 is for rammed earth, not adobe). Kept placeholder.</t>
        </is>
      </c>
    </row>
    <row r="5" ht="16" customHeight="1">
      <c r="A5" s="7" t="inlineStr">
        <is>
          <t>adobe brick for interior wall</t>
        </is>
      </c>
      <c r="B5" s="7" t="inlineStr">
        <is>
          <t>production</t>
        </is>
      </c>
      <c r="C5" s="7" t="inlineStr">
        <is>
          <t>adobe brick</t>
        </is>
      </c>
      <c r="D5" s="7" t="n"/>
      <c r="E5" s="7" t="inlineStr">
        <is>
          <t>amount per kg product</t>
        </is>
      </c>
      <c r="F5" s="7" t="inlineStr">
        <is>
          <t>Amount of adobe brick per kg of product</t>
        </is>
      </c>
      <c r="G5" s="7" t="inlineStr">
        <is>
          <t>kg/kg</t>
        </is>
      </c>
      <c r="H5" s="7" t="n">
        <v>1</v>
      </c>
      <c r="I5" s="7" t="n">
        <v>1</v>
      </c>
      <c r="J5" s="7" t="n">
        <v>1</v>
      </c>
      <c r="K5" s="7" t="n"/>
      <c r="L5" s="7" t="inlineStr">
        <is>
          <t>fixed</t>
        </is>
      </c>
      <c r="M5" s="7" t="n"/>
      <c r="N5" s="7" t="inlineStr">
        <is>
          <t>definition</t>
        </is>
      </c>
      <c r="O5" s="7" t="inlineStr">
        <is>
          <t>partner estimate</t>
        </is>
      </c>
      <c r="P5" s="7" t="inlineStr">
        <is>
          <t>Common-sense estimate (Claude, for LCA-team review): Wall = bricks laid in earth mortar of the same material, so 1 kg wall = 1 kg adobe.</t>
        </is>
      </c>
    </row>
    <row r="6" ht="16" customHeight="1">
      <c r="A6" s="7" t="inlineStr">
        <is>
          <t>adobe brick for interior wall</t>
        </is>
      </c>
      <c r="B6" s="7" t="inlineStr">
        <is>
          <t>use</t>
        </is>
      </c>
      <c r="C6" s="7" t="inlineStr">
        <is>
          <t>product</t>
        </is>
      </c>
      <c r="D6" s="7" t="n"/>
      <c r="E6" s="7" t="inlineStr">
        <is>
          <t>service life</t>
        </is>
      </c>
      <c r="F6" s="7" t="inlineStr">
        <is>
          <t>Years the product lasts in use</t>
        </is>
      </c>
      <c r="G6" s="7" t="inlineStr">
        <is>
          <t>yrs</t>
        </is>
      </c>
      <c r="H6" s="7" t="n">
        <v>60</v>
      </c>
      <c r="I6" s="7" t="n">
        <v>40</v>
      </c>
      <c r="J6" s="7" t="n">
        <v>100</v>
      </c>
      <c r="K6" s="7" t="n"/>
      <c r="L6" s="7" t="inlineStr">
        <is>
          <t>triangular</t>
        </is>
      </c>
      <c r="M6" s="7" t="n"/>
      <c r="N6" s="7" t="inlineStr">
        <is>
          <t>common sense</t>
        </is>
      </c>
      <c r="O6" s="7" t="inlineStr">
        <is>
          <t>partner estimate</t>
        </is>
      </c>
      <c r="P6" s="7" t="inlineStr">
        <is>
          <t>Common-sense estimate (Claude, for LCA-team review): Protected interior earth walls last as long as the building if kept dry, but unfired earth is moisture-sensitive and partitions get rebuilt at refurbishments. Set at 60 y (clay brick 75 y): a modest discount for moisture risk, range 40-100. | earlier note: No source found for interior adobe walls. Protected, dry earthen walls can last centuries, so 50 y is conservative and penalises adobe vs clay brick (75 y): decision for you.</t>
        </is>
      </c>
    </row>
    <row r="7" ht="16" customHeight="1">
      <c r="A7" s="7" t="inlineStr">
        <is>
          <t>adobe brick for interior wall</t>
        </is>
      </c>
      <c r="B7" s="7" t="inlineStr">
        <is>
          <t>end-of-life</t>
        </is>
      </c>
      <c r="C7" s="7" t="inlineStr">
        <is>
          <t>waste inert landfilling</t>
        </is>
      </c>
      <c r="D7" s="7" t="inlineStr">
        <is>
          <t>adobe brick</t>
        </is>
      </c>
      <c r="E7" s="7" t="inlineStr">
        <is>
          <t>amount per kg product</t>
        </is>
      </c>
      <c r="F7" s="7" t="inlineStr">
        <is>
          <t>kg of adobe brick that goes to waste inert landfilling at end of life, per kg of product</t>
        </is>
      </c>
      <c r="G7" s="7" t="inlineStr">
        <is>
          <t>kg/kg</t>
        </is>
      </c>
      <c r="H7" s="7" t="n">
        <v>0.5</v>
      </c>
      <c r="I7" s="7" t="n">
        <v>0.25</v>
      </c>
      <c r="J7" s="7" t="n">
        <v>0.75</v>
      </c>
      <c r="K7" s="7" t="n"/>
      <c r="L7" s="7" t="inlineStr">
        <is>
          <t>triangular</t>
        </is>
      </c>
      <c r="M7" s="7" t="n"/>
      <c r="N7" s="7" t="inlineStr">
        <is>
          <t>common sense; adobe is infinitely recyclable in principle (Materials and Structures 2025)</t>
        </is>
      </c>
      <c r="O7" s="7" t="inlineStr">
        <is>
          <t>partner estimate</t>
        </is>
      </c>
      <c r="P7" s="7" t="inlineStr">
        <is>
          <t>Common-sense estimate (Claude, for LCA-team review): Unfired adobe is not fired ceramic: it can be re-wetted and reformed or used as fill/plaster, so about half is reused, half is disposed as inert waste. Range widened to 25-75% because practice is so uncertain. | earlier note: the other 50 % is reused (no treatment). Recycling of raw earth has no activity on the sheet, so it is not modelled.</t>
        </is>
      </c>
    </row>
    <row r="8" ht="16" customHeight="1">
      <c r="A8" s="7" t="inlineStr">
        <is>
          <t>adobe brick for interior wall</t>
        </is>
      </c>
      <c r="B8" s="7" t="inlineStr">
        <is>
          <t>general</t>
        </is>
      </c>
      <c r="C8" s="7" t="inlineStr">
        <is>
          <t>product</t>
        </is>
      </c>
      <c r="D8" s="7" t="n"/>
      <c r="E8" s="7" t="inlineStr">
        <is>
          <t>location</t>
        </is>
      </c>
      <c r="F8" s="7" t="inlineStr">
        <is>
          <t>Country whose electricity mix is displaced by energy recovered at end of life</t>
        </is>
      </c>
      <c r="G8" s="7" t="inlineStr">
        <is>
          <t>country code</t>
        </is>
      </c>
      <c r="H8" s="7" t="inlineStr">
        <is>
          <t>NL</t>
        </is>
      </c>
      <c r="I8" s="7" t="n"/>
      <c r="J8" s="7" t="n"/>
      <c r="K8" s="7" t="n"/>
      <c r="L8" s="7" t="inlineStr">
        <is>
          <t>choice</t>
        </is>
      </c>
      <c r="M8" s="7" t="n"/>
      <c r="N8" s="7" t="inlineStr">
        <is>
          <t>model choice</t>
        </is>
      </c>
      <c r="O8" s="7" t="inlineStr">
        <is>
          <t>partner estimate</t>
        </is>
      </c>
      <c r="P8" s="7" t="inlineStr">
        <is>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is>
      </c>
    </row>
    <row r="9" ht="16" customHeight="1"/>
    <row r="10" ht="16" customHeight="1"/>
    <row r="11" ht="16" customHeight="1"/>
    <row r="12" ht="16" customHeight="1"/>
    <row r="13" ht="16" customHeight="1"/>
    <row r="14" ht="16" customHeight="1"/>
    <row r="15" ht="16" customHeight="1"/>
    <row r="16" ht="16" customHeight="1"/>
    <row r="17" ht="16" customHeight="1"/>
    <row r="18" ht="16" customHeight="1"/>
    <row r="19" ht="16" customHeight="1"/>
    <row r="20" ht="16" customHeight="1"/>
    <row r="21" ht="32" customHeight="1"/>
    <row r="22" ht="32" customHeight="1"/>
    <row r="23" ht="32" customHeight="1"/>
    <row r="24" ht="32" customHeight="1"/>
    <row r="25" ht="32" customHeight="1"/>
    <row r="26" ht="32" customHeight="1"/>
    <row r="27" ht="32" customHeight="1"/>
    <row r="28" ht="32" customHeight="1"/>
    <row r="29" ht="32" customHeight="1"/>
    <row r="30" ht="32" customHeight="1"/>
    <row r="31" ht="32" customHeight="1"/>
    <row r="32" ht="32" customHeight="1"/>
    <row r="33" ht="32" customHeight="1"/>
    <row r="34" ht="16" customHeight="1"/>
    <row r="35" ht="32" customHeight="1"/>
    <row r="36" ht="32" customHeight="1"/>
    <row r="37" ht="16" customHeight="1"/>
    <row r="38" ht="16" customHeight="1"/>
    <row r="39" ht="32" customHeight="1"/>
    <row r="40" ht="32" customHeight="1"/>
    <row r="41" ht="32" customHeight="1"/>
    <row r="42" ht="16" customHeight="1"/>
    <row r="43" ht="16" customHeight="1"/>
    <row r="44" ht="32" customHeight="1"/>
    <row r="45" ht="32" customHeight="1"/>
    <row r="46" ht="32" customHeight="1"/>
    <row r="47" ht="16" customHeight="1"/>
  </sheetData>
  <conditionalFormatting sqref="H2:H247">
    <cfRule type="expression" priority="1" dxfId="0">
      <formula>AND($E2&lt;&gt;"",$H2="")</formula>
    </cfRule>
  </conditionalFormatting>
  <conditionalFormatting sqref="H2:O247">
    <cfRule type="expression" priority="2" dxfId="1">
      <formula>$O2="placeholder"</formula>
    </cfRule>
  </conditionalFormatting>
  <conditionalFormatting sqref="I2:J247">
    <cfRule type="expression" priority="3" dxfId="0">
      <formula>AND(OR($L2="triangular",$L2="uniform"),OR($I2="",$J2=""))</formula>
    </cfRule>
  </conditionalFormatting>
  <dataValidations count="3">
    <dataValidation sqref="B2:B247" showDropDown="0" showInputMessage="0" showErrorMessage="0" allowBlank="1" type="list">
      <formula1>"product size,production,repair,use,end-of-life,general"</formula1>
    </dataValidation>
    <dataValidation sqref="L2:L247" showDropDown="0" showInputMessage="0" showErrorMessage="0" allowBlank="1" type="list">
      <formula1>"fixed,triangular,uniform,choice,combination"</formula1>
    </dataValidation>
    <dataValidation sqref="O2:O247" showDropDown="0" showInputMessage="0" showErrorMessage="0" allowBlank="1" type="list">
      <formula1>"placeholder,partner estimate,measured,literature"</formula1>
    </dataValidation>
  </dataValidations>
  <pageMargins left="0.75" right="0.75" top="1" bottom="1" header="0.5" footer="0.5"/>
</worksheet>
</file>

<file path=xl/worksheets/sheet15.xml><?xml version="1.0" encoding="utf-8"?>
<worksheet xmlns="http://schemas.openxmlformats.org/spreadsheetml/2006/main">
  <sheetPr>
    <tabColor rgb="FF76A5AF"/>
    <outlinePr summaryBelow="1" summaryRight="1"/>
    <pageSetUpPr/>
  </sheetPr>
  <dimension ref="A1:P12"/>
  <sheetViews>
    <sheetView workbookViewId="0">
      <pane xSplit="11" ySplit="1" topLeftCell="L2" activePane="bottomRight" state="frozen"/>
      <selection pane="topRight"/>
      <selection pane="bottomLeft"/>
      <selection pane="bottomRight" activeCell="A1" sqref="A1"/>
    </sheetView>
  </sheetViews>
  <sheetFormatPr baseColWidth="10" defaultColWidth="8.83203125" defaultRowHeight="15"/>
  <cols>
    <col width="27.1640625" customWidth="1" min="1" max="1"/>
    <col width="13" customWidth="1" min="2" max="2"/>
    <col width="21" customWidth="1" min="3" max="3"/>
    <col width="17" customWidth="1" min="4" max="4"/>
    <col width="24" customWidth="1" min="5" max="5"/>
    <col width="60" customWidth="1" min="6" max="6"/>
    <col width="14" customWidth="1" min="7" max="7"/>
    <col width="9" customWidth="1" min="8" max="8"/>
    <col width="8" customWidth="1" min="9" max="9"/>
    <col width="13" customWidth="1" min="10" max="11"/>
    <col width="12" customWidth="1" min="12" max="12"/>
    <col width="12.83203125" customWidth="1" min="13" max="13"/>
    <col width="13" customWidth="1" min="14" max="14"/>
    <col width="40" customWidth="1" min="15" max="15"/>
    <col width="13" customWidth="1" min="16" max="17"/>
  </cols>
  <sheetData>
    <row r="1">
      <c r="A1" s="6" t="inlineStr">
        <is>
          <t>case</t>
        </is>
      </c>
      <c r="B1" s="6" t="inlineStr">
        <is>
          <t>stage</t>
        </is>
      </c>
      <c r="C1" s="6" t="inlineStr">
        <is>
          <t>item</t>
        </is>
      </c>
      <c r="D1" s="6" t="inlineStr">
        <is>
          <t>qualifier</t>
        </is>
      </c>
      <c r="E1" s="6" t="inlineStr">
        <is>
          <t>parameter</t>
        </is>
      </c>
      <c r="F1" s="6" t="inlineStr">
        <is>
          <t>description</t>
        </is>
      </c>
      <c r="G1" s="6" t="inlineStr">
        <is>
          <t>unit</t>
        </is>
      </c>
      <c r="H1" s="6" t="inlineStr">
        <is>
          <t>typical</t>
        </is>
      </c>
      <c r="I1" s="6" t="inlineStr">
        <is>
          <t>min</t>
        </is>
      </c>
      <c r="J1" s="6" t="inlineStr">
        <is>
          <t>max</t>
        </is>
      </c>
      <c r="K1" s="6" t="inlineStr">
        <is>
          <t>scaled_up</t>
        </is>
      </c>
      <c r="L1" s="6" t="inlineStr">
        <is>
          <t>distribution</t>
        </is>
      </c>
      <c r="M1" s="6" t="inlineStr">
        <is>
          <t>choices</t>
        </is>
      </c>
      <c r="N1" s="6" t="inlineStr">
        <is>
          <t>source</t>
        </is>
      </c>
      <c r="O1" s="6" t="inlineStr">
        <is>
          <t>status</t>
        </is>
      </c>
      <c r="P1" s="6" t="inlineStr">
        <is>
          <t>comments</t>
        </is>
      </c>
    </row>
    <row r="2" ht="16" customHeight="1">
      <c r="A2" s="7" t="inlineStr">
        <is>
          <t>clay brick for interior wall</t>
        </is>
      </c>
      <c r="B2" s="7" t="inlineStr">
        <is>
          <t>product size</t>
        </is>
      </c>
      <c r="C2" s="7" t="inlineStr">
        <is>
          <t>product</t>
        </is>
      </c>
      <c r="D2" s="7" t="n"/>
      <c r="E2" s="7" t="inlineStr">
        <is>
          <t>wall_height</t>
        </is>
      </c>
      <c r="F2" s="7" t="inlineStr">
        <is>
          <t>Height of the wall</t>
        </is>
      </c>
      <c r="G2" s="7" t="inlineStr">
        <is>
          <t>m</t>
        </is>
      </c>
      <c r="H2" s="7" t="n">
        <v>3</v>
      </c>
      <c r="I2" s="7" t="n">
        <v>3</v>
      </c>
      <c r="J2" s="7" t="n">
        <v>3</v>
      </c>
      <c r="K2" s="7" t="n"/>
      <c r="L2" s="7" t="inlineStr">
        <is>
          <t>fixed</t>
        </is>
      </c>
      <c r="M2" s="7" t="n"/>
      <c r="N2" s="7" t="inlineStr">
        <is>
          <t>functional unit (fu_comparison)</t>
        </is>
      </c>
      <c r="O2" s="7" t="inlineStr">
        <is>
          <t>partner estimate</t>
        </is>
      </c>
      <c r="P2" s="7" t="inlineStr">
        <is>
          <t>Common-sense estimate (Claude, for LCA-team review): Part of the functional unit (3 m partition), must equal for all compared walls. | earlier note: part of the functional unit - keep equal across the compared walls</t>
        </is>
      </c>
    </row>
    <row r="3" ht="16" customHeight="1">
      <c r="A3" s="7" t="inlineStr">
        <is>
          <t>clay brick for interior wall</t>
        </is>
      </c>
      <c r="B3" s="7" t="inlineStr">
        <is>
          <t>product size</t>
        </is>
      </c>
      <c r="C3" s="7" t="inlineStr">
        <is>
          <t>product</t>
        </is>
      </c>
      <c r="D3" s="7" t="n"/>
      <c r="E3" s="7" t="inlineStr">
        <is>
          <t>thickness</t>
        </is>
      </c>
      <c r="F3" s="7" t="inlineStr">
        <is>
          <t>Wall thickness (standard brick)</t>
        </is>
      </c>
      <c r="G3" s="7" t="inlineStr">
        <is>
          <t>m</t>
        </is>
      </c>
      <c r="H3" s="7" t="n">
        <v>0.115</v>
      </c>
      <c r="I3" s="7" t="n">
        <v>0.092</v>
      </c>
      <c r="J3" s="7" t="n">
        <v>0.138</v>
      </c>
      <c r="K3" s="7" t="n"/>
      <c r="L3" s="7" t="inlineStr">
        <is>
          <t>triangular</t>
        </is>
      </c>
      <c r="M3" s="7" t="n"/>
      <c r="N3" s="7" t="inlineStr">
        <is>
          <t>common sense: NL standard brick width 100-115 mm</t>
        </is>
      </c>
      <c r="O3" s="7" t="inlineStr">
        <is>
          <t>partner estimate</t>
        </is>
      </c>
      <c r="P3" s="7" t="inlineStr">
        <is>
          <t>Common-sense estimate (Claude, for LCA-team review): Standard Dutch brick partition: one brick wide (100 mm Waalformaat) to a half-brick wall (115 mm); range 92-138 mm covers 90 mm to 140 mm partitions.</t>
        </is>
      </c>
    </row>
    <row r="4" ht="16" customHeight="1">
      <c r="A4" s="7" t="inlineStr">
        <is>
          <t>clay brick for interior wall</t>
        </is>
      </c>
      <c r="B4" s="7" t="inlineStr">
        <is>
          <t>product size</t>
        </is>
      </c>
      <c r="C4" s="7" t="inlineStr">
        <is>
          <t>product</t>
        </is>
      </c>
      <c r="D4" s="7" t="n"/>
      <c r="E4" s="7" t="inlineStr">
        <is>
          <t>density</t>
        </is>
      </c>
      <c r="F4" s="7" t="inlineStr">
        <is>
          <t>Density of brick and mortar</t>
        </is>
      </c>
      <c r="G4" s="7" t="inlineStr">
        <is>
          <t>kg/m3</t>
        </is>
      </c>
      <c r="H4" s="7" t="n">
        <v>1900</v>
      </c>
      <c r="I4" s="7" t="n">
        <v>1600</v>
      </c>
      <c r="J4" s="7" t="n">
        <v>2100</v>
      </c>
      <c r="K4" s="7" t="n"/>
      <c r="L4" s="7" t="inlineStr">
        <is>
          <t>triangular</t>
        </is>
      </c>
      <c r="M4" s="7" t="n"/>
      <c r="N4" s="7" t="inlineStr">
        <is>
          <t>common sense: masonry density 1600-2100 kg/m3</t>
        </is>
      </c>
      <c r="O4" s="7" t="inlineStr">
        <is>
          <t>partner estimate</t>
        </is>
      </c>
      <c r="P4" s="7" t="inlineStr">
        <is>
          <t>Common-sense estimate (Claude, for LCA-team review): Solid clay brick is 1800-2000 kg/m3, perforated brick 1400-1700, mortar ~1800-2000. Wall average 1900 kept; range narrowed to 1600-2100 (was 1520-2280).</t>
        </is>
      </c>
    </row>
    <row r="5" ht="16" customHeight="1">
      <c r="A5" s="7" t="inlineStr">
        <is>
          <t>clay brick for interior wall</t>
        </is>
      </c>
      <c r="B5" s="7" t="inlineStr">
        <is>
          <t>production</t>
        </is>
      </c>
      <c r="C5" s="7" t="inlineStr">
        <is>
          <t>clay brick</t>
        </is>
      </c>
      <c r="D5" s="7" t="n"/>
      <c r="E5" s="7" t="inlineStr">
        <is>
          <t>amount per kg product</t>
        </is>
      </c>
      <c r="F5" s="7" t="inlineStr">
        <is>
          <t>Amount of clay brick per kg of product</t>
        </is>
      </c>
      <c r="G5" s="7" t="inlineStr">
        <is>
          <t>kg/kg</t>
        </is>
      </c>
      <c r="H5" s="7" t="n">
        <v>0.8</v>
      </c>
      <c r="I5" s="7" t="n">
        <v>0.8</v>
      </c>
      <c r="J5" s="7" t="n">
        <v>0.8</v>
      </c>
      <c r="K5" s="7" t="n"/>
      <c r="L5" s="7" t="inlineStr">
        <is>
          <t>fixed</t>
        </is>
      </c>
      <c r="M5" s="7" t="n"/>
      <c r="N5" s="7" t="inlineStr">
        <is>
          <t>Engineering calculation: Waalformaat brick 210x100x50 mm with 10 mm joints -&gt; face area of brick/module = (210x50)/(220x60) = 79.5%, so mortar = 20.5% of volume; mass share = 0.205x1800/(0.205x1800+0.795x1900) = 19.6% ; derived: 1 - mortar share</t>
        </is>
      </c>
      <c r="O5" s="7" t="inlineStr">
        <is>
          <t>partner estimate</t>
        </is>
      </c>
      <c r="P5" s="7" t="inlineStr">
        <is>
          <t>Common-sense estimate (Claude, for LCA-team review): Complement of the mortar share (0.2), see engineering calculation in the source column. | earlier note: Was 0.84 / 0.16. Assumes 10 mm joints and mortar 1800 kg/m3, brick 1900 kg/m3. Thin-bed (UK/DE) masonry would be ~10%.</t>
        </is>
      </c>
    </row>
    <row r="6" ht="16" customHeight="1">
      <c r="A6" s="7" t="inlineStr">
        <is>
          <t>clay brick for interior wall</t>
        </is>
      </c>
      <c r="B6" s="7" t="inlineStr">
        <is>
          <t>production</t>
        </is>
      </c>
      <c r="C6" s="7" t="inlineStr">
        <is>
          <t>lime mortar</t>
        </is>
      </c>
      <c r="D6" s="7" t="n"/>
      <c r="E6" s="7" t="inlineStr">
        <is>
          <t>amount per kg product</t>
        </is>
      </c>
      <c r="F6" s="7" t="inlineStr">
        <is>
          <t>Amount of lime mortar per kg of product</t>
        </is>
      </c>
      <c r="G6" s="7" t="inlineStr">
        <is>
          <t>kg/kg</t>
        </is>
      </c>
      <c r="H6" s="7" t="n">
        <v>0.2</v>
      </c>
      <c r="I6" s="7" t="n">
        <v>0.2</v>
      </c>
      <c r="J6" s="7" t="n">
        <v>0.2</v>
      </c>
      <c r="K6" s="7" t="n"/>
      <c r="L6" s="7" t="inlineStr">
        <is>
          <t>fixed</t>
        </is>
      </c>
      <c r="M6" s="7" t="n"/>
      <c r="N6" s="7" t="inlineStr">
        <is>
          <t>see clay brick row (engineering calculation) ; engineering calculation (see clay brick row)</t>
        </is>
      </c>
      <c r="O6" s="7" t="inlineStr">
        <is>
          <t>partner estimate</t>
        </is>
      </c>
      <c r="P6" s="7" t="inlineStr">
        <is>
          <t>Common-sense estimate (Claude, for LCA-team review): Joint volume = 20.5% of a Waalformaat wall (10 mm joints); by mass ~20%. Thin-bed masonry would be ~10%, so 0.2 is a conservative-high value. | earlier note: Was 0.16.</t>
        </is>
      </c>
    </row>
    <row r="7" ht="16" customHeight="1">
      <c r="A7" s="7" t="inlineStr">
        <is>
          <t>clay brick for interior wall</t>
        </is>
      </c>
      <c r="B7" s="7" t="inlineStr">
        <is>
          <t>use</t>
        </is>
      </c>
      <c r="C7" s="7" t="inlineStr">
        <is>
          <t>product</t>
        </is>
      </c>
      <c r="D7" s="7" t="n"/>
      <c r="E7" s="7" t="inlineStr">
        <is>
          <t>service life</t>
        </is>
      </c>
      <c r="F7" s="7" t="inlineStr">
        <is>
          <t>Years the product lasts in use</t>
        </is>
      </c>
      <c r="G7" s="7" t="inlineStr">
        <is>
          <t>yrs</t>
        </is>
      </c>
      <c r="H7" s="7" t="n">
        <v>75</v>
      </c>
      <c r="I7" s="7" t="n">
        <v>60</v>
      </c>
      <c r="J7" s="7" t="n">
        <v>100</v>
      </c>
      <c r="K7" s="7" t="n"/>
      <c r="L7" s="7" t="inlineStr">
        <is>
          <t>triangular</t>
        </is>
      </c>
      <c r="M7" s="7" t="n"/>
      <c r="N7" s="7" t="inlineStr">
        <is>
          <t>Brick facade masonry service life 'ruim boven 75', 100+ y in SBR tables (KNB, eindrapport LCC baksteenmetselwerk)</t>
        </is>
      </c>
      <c r="O7" s="7" t="inlineStr">
        <is>
          <t>literature</t>
        </is>
      </c>
      <c r="P7" s="7" t="inlineStr">
        <is>
          <t>75 kept as typical (building-life convention), max raised to 100. Interior walls are less exposed than facades.</t>
        </is>
      </c>
    </row>
    <row r="8" ht="16" customHeight="1">
      <c r="A8" s="7" t="inlineStr">
        <is>
          <t>clay brick for interior wall</t>
        </is>
      </c>
      <c r="B8" s="7" t="inlineStr">
        <is>
          <t>end-of-life</t>
        </is>
      </c>
      <c r="C8" s="7" t="inlineStr">
        <is>
          <t>waste brick recycling</t>
        </is>
      </c>
      <c r="D8" s="7" t="inlineStr">
        <is>
          <t>clay brick</t>
        </is>
      </c>
      <c r="E8" s="7" t="inlineStr">
        <is>
          <t>amount per kg product</t>
        </is>
      </c>
      <c r="F8" s="7" t="inlineStr">
        <is>
          <t>kg of clay brick that goes to waste brick recycling at end of life, per kg of product</t>
        </is>
      </c>
      <c r="G8" s="7" t="inlineStr">
        <is>
          <t>kg/kg</t>
        </is>
      </c>
      <c r="H8" s="7" t="n">
        <v>0.72</v>
      </c>
      <c r="I8" s="7" t="n">
        <v>0.64</v>
      </c>
      <c r="J8" s="7" t="n">
        <v>0.784</v>
      </c>
      <c r="K8" s="7" t="n"/>
      <c r="L8" s="7" t="inlineStr">
        <is>
          <t>triangular</t>
        </is>
      </c>
      <c r="M8" s="7" t="n"/>
      <c r="N8" s="7" t="inlineStr">
        <is>
          <t>EU-27 C&amp;D waste 2020-21: 80% recycling + 7% backfilling, 7% landfill, 6% energy recovery (JRC131294 p.10); NL 2012: 98% recovery, ~2% landfill (EC CDW factsheet NL). Same whole-masonry logic as the reinforced concrete beam: crushed as one stream</t>
        </is>
      </c>
      <c r="O8" s="7" t="inlineStr">
        <is>
          <t>literature</t>
        </is>
      </c>
      <c r="P8" s="7" t="inlineStr">
        <is>
          <t>90% of the brick fraction (0.80 kg/kg) recycled incl. backfilling. Selective deconstruction and reuse of whole bricks (24-79% reclaim rates in Finland/Belgium/Denmark, Buildings &amp; Cities 2024) is not modelled, so this is conservative.</t>
        </is>
      </c>
    </row>
    <row r="9" ht="16" customHeight="1">
      <c r="A9" s="7" t="inlineStr">
        <is>
          <t>clay brick for interior wall</t>
        </is>
      </c>
      <c r="B9" s="7" t="inlineStr">
        <is>
          <t>end-of-life</t>
        </is>
      </c>
      <c r="C9" s="7" t="inlineStr">
        <is>
          <t>waste inert landfilling</t>
        </is>
      </c>
      <c r="D9" s="7" t="inlineStr">
        <is>
          <t>clay brick</t>
        </is>
      </c>
      <c r="E9" s="7" t="inlineStr">
        <is>
          <t>amount per kg product</t>
        </is>
      </c>
      <c r="F9" s="7" t="inlineStr">
        <is>
          <t>kg of clay brick that goes to waste inert landfilling at end of life, per kg of product</t>
        </is>
      </c>
      <c r="G9" s="7" t="inlineStr">
        <is>
          <t>kg/kg</t>
        </is>
      </c>
      <c r="H9" s="7" t="n">
        <v>0.08</v>
      </c>
      <c r="I9" s="7" t="n">
        <v>0.016</v>
      </c>
      <c r="J9" s="7" t="n">
        <v>0.16</v>
      </c>
      <c r="K9" s="7" t="n"/>
      <c r="L9" s="7" t="inlineStr">
        <is>
          <t>triangular</t>
        </is>
      </c>
      <c r="M9" s="7" t="n"/>
      <c r="N9" s="7" t="inlineStr">
        <is>
          <t>EU-27 C&amp;D waste 2020-21: 80% recycling + 7% backfilling, 7% landfill, 6% energy recovery (JRC131294 p.10); NL 2012: 98% recovery, ~2% landfill (EC CDW factsheet NL). Same whole-masonry logic as the reinforced concrete beam: crushed as one stream</t>
        </is>
      </c>
      <c r="O9" s="7" t="inlineStr">
        <is>
          <t>literature</t>
        </is>
      </c>
      <c r="P9" s="7" t="inlineStr">
        <is>
          <t>10% of the brick fraction landfilled (range 2-20%).</t>
        </is>
      </c>
    </row>
    <row r="10" ht="16" customHeight="1">
      <c r="A10" s="7" t="inlineStr">
        <is>
          <t>clay brick for interior wall</t>
        </is>
      </c>
      <c r="B10" s="7" t="inlineStr">
        <is>
          <t>end-of-life</t>
        </is>
      </c>
      <c r="C10" s="7" t="inlineStr">
        <is>
          <t>waste inert landfilling</t>
        </is>
      </c>
      <c r="D10" s="7" t="inlineStr">
        <is>
          <t>lime mortar</t>
        </is>
      </c>
      <c r="E10" s="7" t="inlineStr">
        <is>
          <t>amount per kg product</t>
        </is>
      </c>
      <c r="F10" s="7" t="inlineStr">
        <is>
          <t>kg of lime mortar that goes to waste inert landfilling at end of life, per kg of product</t>
        </is>
      </c>
      <c r="G10" s="7" t="inlineStr">
        <is>
          <t>kg/kg</t>
        </is>
      </c>
      <c r="H10" s="7" t="n">
        <v>0.02</v>
      </c>
      <c r="I10" s="7" t="n">
        <v>0.004</v>
      </c>
      <c r="J10" s="7" t="n">
        <v>0.04</v>
      </c>
      <c r="K10" s="7" t="n"/>
      <c r="L10" s="7" t="inlineStr">
        <is>
          <t>triangular</t>
        </is>
      </c>
      <c r="M10" s="7" t="n"/>
      <c r="N10" s="7" t="inlineStr">
        <is>
          <t>EU-27 C&amp;D waste 2020-21: 80% recycling + 7% backfilling, 7% landfill, 6% energy recovery (JRC131294 p.10); NL 2012: 98% recovery, ~2% landfill (EC CDW factsheet NL). Same whole-masonry logic as the reinforced concrete beam: crushed as one stream</t>
        </is>
      </c>
      <c r="O10" s="7" t="inlineStr">
        <is>
          <t>literature</t>
        </is>
      </c>
      <c r="P10" s="7" t="inlineStr">
        <is>
          <t>10% of the mortar fraction (0.20 kg/kg) landfilled.</t>
        </is>
      </c>
    </row>
    <row r="11" ht="16" customHeight="1">
      <c r="A11" s="7" t="inlineStr">
        <is>
          <t>clay brick for interior wall</t>
        </is>
      </c>
      <c r="B11" s="7" t="inlineStr">
        <is>
          <t>end-of-life</t>
        </is>
      </c>
      <c r="C11" s="7" t="inlineStr">
        <is>
          <t>waste brick recycling</t>
        </is>
      </c>
      <c r="D11" s="7" t="inlineStr">
        <is>
          <t>lime mortar</t>
        </is>
      </c>
      <c r="E11" s="7" t="inlineStr">
        <is>
          <t>amount per kg product</t>
        </is>
      </c>
      <c r="F11" s="7" t="inlineStr">
        <is>
          <t>kg of lime mortar that goes to waste brick recycling at end of life, per kg of product</t>
        </is>
      </c>
      <c r="G11" s="7" t="inlineStr">
        <is>
          <t>kg/kg</t>
        </is>
      </c>
      <c r="H11" s="7" t="n">
        <v>0.18</v>
      </c>
      <c r="I11" s="7" t="n">
        <v>0.16</v>
      </c>
      <c r="J11" s="7" t="n">
        <v>0.196</v>
      </c>
      <c r="K11" s="7" t="n"/>
      <c r="L11" s="7" t="inlineStr">
        <is>
          <t>triangular</t>
        </is>
      </c>
      <c r="M11" s="7" t="n"/>
      <c r="N11" s="7" t="inlineStr">
        <is>
          <t>EU-27 C&amp;D waste 2020-21: 80% recycling + 7% backfilling, 7% landfill, 6% energy recovery (JRC131294 p.10); NL 2012: 98% recovery, ~2% landfill (EC CDW factsheet NL). Same whole-masonry logic as the reinforced concrete beam: crushed as one stream</t>
        </is>
      </c>
      <c r="O11" s="7" t="inlineStr">
        <is>
          <t>literature</t>
        </is>
      </c>
      <c r="P11" s="7" t="inlineStr">
        <is>
          <t>90% of the mortar fraction stays attached to the bricks and is crushed with them (range 80-98%).</t>
        </is>
      </c>
    </row>
    <row r="12" ht="16" customHeight="1">
      <c r="A12" s="7" t="inlineStr">
        <is>
          <t>clay brick for interior wall</t>
        </is>
      </c>
      <c r="B12" s="7" t="inlineStr">
        <is>
          <t>general</t>
        </is>
      </c>
      <c r="C12" s="7" t="inlineStr">
        <is>
          <t>product</t>
        </is>
      </c>
      <c r="D12" s="7" t="n"/>
      <c r="E12" s="7" t="inlineStr">
        <is>
          <t>location</t>
        </is>
      </c>
      <c r="F12" s="7" t="inlineStr">
        <is>
          <t>Country whose electricity mix is displaced by energy recovered at end of life</t>
        </is>
      </c>
      <c r="G12" s="7" t="inlineStr">
        <is>
          <t>country code</t>
        </is>
      </c>
      <c r="H12" s="7" t="inlineStr">
        <is>
          <t>NL</t>
        </is>
      </c>
      <c r="I12" s="7" t="n"/>
      <c r="J12" s="7" t="n"/>
      <c r="K12" s="7" t="n"/>
      <c r="L12" s="7" t="inlineStr">
        <is>
          <t>choice</t>
        </is>
      </c>
      <c r="M12" s="7" t="n"/>
      <c r="N12" s="7" t="inlineStr">
        <is>
          <t>model choice</t>
        </is>
      </c>
      <c r="O12" s="7" t="inlineStr">
        <is>
          <t>partner estimate</t>
        </is>
      </c>
      <c r="P12" s="7" t="inlineStr">
        <is>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is>
      </c>
    </row>
    <row r="13" ht="16" customHeight="1"/>
    <row r="14" ht="16" customHeight="1"/>
    <row r="15" ht="16" customHeight="1"/>
    <row r="16" ht="16" customHeight="1"/>
    <row r="17" ht="16" customHeight="1"/>
    <row r="18" ht="16" customHeight="1"/>
    <row r="19" ht="16" customHeight="1"/>
    <row r="20" ht="16" customHeight="1"/>
    <row r="21" ht="32" customHeight="1"/>
    <row r="22" ht="32" customHeight="1"/>
    <row r="23" ht="32" customHeight="1"/>
    <row r="24" ht="32" customHeight="1"/>
    <row r="25" ht="32" customHeight="1"/>
    <row r="26" ht="32" customHeight="1"/>
    <row r="27" ht="32" customHeight="1"/>
    <row r="28" ht="32" customHeight="1"/>
    <row r="29" ht="32" customHeight="1"/>
    <row r="30" ht="32" customHeight="1"/>
    <row r="31" ht="32" customHeight="1"/>
    <row r="32" ht="32" customHeight="1"/>
    <row r="33" ht="32" customHeight="1"/>
    <row r="34" ht="16" customHeight="1"/>
    <row r="35" ht="32" customHeight="1"/>
    <row r="36" ht="32" customHeight="1"/>
    <row r="37" ht="16" customHeight="1"/>
    <row r="38" ht="16" customHeight="1"/>
    <row r="39" ht="32" customHeight="1"/>
    <row r="40" ht="32" customHeight="1"/>
    <row r="41" ht="32" customHeight="1"/>
    <row r="42" ht="16" customHeight="1"/>
    <row r="43" ht="16" customHeight="1"/>
    <row r="44" ht="32" customHeight="1"/>
    <row r="45" ht="32" customHeight="1"/>
    <row r="46" ht="32" customHeight="1"/>
    <row r="47" ht="16" customHeight="1"/>
  </sheetData>
  <conditionalFormatting sqref="H2:H247">
    <cfRule type="expression" priority="1" dxfId="0">
      <formula>AND($E2&lt;&gt;"",$H2="")</formula>
    </cfRule>
  </conditionalFormatting>
  <conditionalFormatting sqref="H2:O247">
    <cfRule type="expression" priority="2" dxfId="1">
      <formula>$O2="placeholder"</formula>
    </cfRule>
  </conditionalFormatting>
  <conditionalFormatting sqref="I2:J247">
    <cfRule type="expression" priority="3" dxfId="0">
      <formula>AND(OR($L2="triangular",$L2="uniform"),OR($I2="",$J2=""))</formula>
    </cfRule>
  </conditionalFormatting>
  <dataValidations count="3">
    <dataValidation sqref="B2:B247" showDropDown="0" showInputMessage="0" showErrorMessage="0" allowBlank="1" type="list">
      <formula1>"product size,production,repair,use,end-of-life,general"</formula1>
    </dataValidation>
    <dataValidation sqref="L2:L247" showDropDown="0" showInputMessage="0" showErrorMessage="0" allowBlank="1" type="list">
      <formula1>"fixed,triangular,uniform,choice,combination"</formula1>
    </dataValidation>
    <dataValidation sqref="O2:O247" showDropDown="0" showInputMessage="0" showErrorMessage="0" allowBlank="1" type="list">
      <formula1>"placeholder,partner estimate,measured,literature"</formula1>
    </dataValidation>
  </dataValidations>
  <pageMargins left="0.75" right="0.75" top="1" bottom="1" header="0.5" footer="0.5"/>
</worksheet>
</file>

<file path=xl/worksheets/sheet16.xml><?xml version="1.0" encoding="utf-8"?>
<worksheet xmlns="http://schemas.openxmlformats.org/spreadsheetml/2006/main">
  <sheetPr>
    <tabColor rgb="FF76A5AF"/>
    <outlinePr summaryBelow="1" summaryRight="1"/>
    <pageSetUpPr/>
  </sheetPr>
  <dimension ref="A1:P8"/>
  <sheetViews>
    <sheetView workbookViewId="0">
      <pane xSplit="11" ySplit="1" topLeftCell="L2" activePane="bottomRight" state="frozen"/>
      <selection pane="topRight"/>
      <selection pane="bottomLeft"/>
      <selection pane="bottomRight" activeCell="A1" sqref="A1"/>
    </sheetView>
  </sheetViews>
  <sheetFormatPr baseColWidth="10" defaultColWidth="8.83203125" defaultRowHeight="15"/>
  <cols>
    <col width="27.1640625" customWidth="1" min="1" max="1"/>
    <col width="13" customWidth="1" min="2" max="2"/>
    <col width="21" customWidth="1" min="3" max="3"/>
    <col width="17" customWidth="1" min="4" max="4"/>
    <col width="24" customWidth="1" min="5" max="5"/>
    <col width="60" customWidth="1" min="6" max="6"/>
    <col width="14" customWidth="1" min="7" max="7"/>
    <col width="9" customWidth="1" min="8" max="8"/>
    <col width="8" customWidth="1" min="9" max="9"/>
    <col width="13" customWidth="1" min="10" max="11"/>
    <col width="12" customWidth="1" min="12" max="12"/>
    <col width="12.83203125" customWidth="1" min="13" max="13"/>
    <col width="13" customWidth="1" min="14" max="14"/>
    <col width="40" customWidth="1" min="15" max="15"/>
    <col width="13" customWidth="1" min="16" max="17"/>
  </cols>
  <sheetData>
    <row r="1">
      <c r="A1" s="6" t="inlineStr">
        <is>
          <t>case</t>
        </is>
      </c>
      <c r="B1" s="6" t="inlineStr">
        <is>
          <t>stage</t>
        </is>
      </c>
      <c r="C1" s="6" t="inlineStr">
        <is>
          <t>item</t>
        </is>
      </c>
      <c r="D1" s="6" t="inlineStr">
        <is>
          <t>qualifier</t>
        </is>
      </c>
      <c r="E1" s="6" t="inlineStr">
        <is>
          <t>parameter</t>
        </is>
      </c>
      <c r="F1" s="6" t="inlineStr">
        <is>
          <t>description</t>
        </is>
      </c>
      <c r="G1" s="6" t="inlineStr">
        <is>
          <t>unit</t>
        </is>
      </c>
      <c r="H1" s="6" t="inlineStr">
        <is>
          <t>typical</t>
        </is>
      </c>
      <c r="I1" s="6" t="inlineStr">
        <is>
          <t>min</t>
        </is>
      </c>
      <c r="J1" s="6" t="inlineStr">
        <is>
          <t>max</t>
        </is>
      </c>
      <c r="K1" s="6" t="inlineStr">
        <is>
          <t>scaled_up</t>
        </is>
      </c>
      <c r="L1" s="6" t="inlineStr">
        <is>
          <t>distribution</t>
        </is>
      </c>
      <c r="M1" s="6" t="inlineStr">
        <is>
          <t>choices</t>
        </is>
      </c>
      <c r="N1" s="6" t="inlineStr">
        <is>
          <t>source</t>
        </is>
      </c>
      <c r="O1" s="6" t="inlineStr">
        <is>
          <t>status</t>
        </is>
      </c>
      <c r="P1" s="6" t="inlineStr">
        <is>
          <t>comments</t>
        </is>
      </c>
    </row>
    <row r="2" ht="16" customHeight="1">
      <c r="A2" s="7" t="inlineStr">
        <is>
          <t>synthetic polymer architectural membrane</t>
        </is>
      </c>
      <c r="B2" s="7" t="inlineStr">
        <is>
          <t>product size</t>
        </is>
      </c>
      <c r="C2" s="7" t="inlineStr">
        <is>
          <t>product</t>
        </is>
      </c>
      <c r="D2" s="7" t="n"/>
      <c r="E2" s="7" t="inlineStr">
        <is>
          <t>areal_density</t>
        </is>
      </c>
      <c r="F2" s="7" t="inlineStr">
        <is>
          <t>Mass of polyester fibre per m2 of coverage</t>
        </is>
      </c>
      <c r="G2" s="7" t="inlineStr">
        <is>
          <t>kg/m2</t>
        </is>
      </c>
      <c r="H2" s="7" t="n">
        <v>0.3</v>
      </c>
      <c r="I2" s="7" t="n">
        <v>0.24</v>
      </c>
      <c r="J2" s="7" t="n">
        <v>0.36</v>
      </c>
      <c r="K2" s="7" t="n"/>
      <c r="L2" s="7" t="inlineStr">
        <is>
          <t>triangular</t>
        </is>
      </c>
      <c r="M2" s="7" t="n"/>
      <c r="N2" s="7" t="inlineStr">
        <is>
          <t>common sense: yarn share of PVC-coated PES fabric</t>
        </is>
      </c>
      <c r="O2" s="7" t="inlineStr">
        <is>
          <t>partner estimate</t>
        </is>
      </c>
      <c r="P2" s="7" t="inlineStr">
        <is>
          <t>Common-sense estimate (Claude, for LCA-team review): Kept 0.3 kg/m2: polyester yarn is roughly 25-35% of a 0.8-1.3 kg/m2 coated membrane; see the model-gap note (PVC coating not modelled). Range 0.24-0.36 = +-20%. | earlier note: MODEL GAP: real PVC-coated polyester membranes weigh ~0.8-1.3 kg/m2 (e.g. 1250-1300 g/m2 type III fabrics on the market); only ~25-35% of that is polyester yarn, the rest is PVC coating, which has no row in this baseline. 0.3 kg/m2 approximates the polyester alone. Adding a PVC coating production row (needs an activity on unit_burdens_dataSources) would be the fix; not done without asking.</t>
        </is>
      </c>
    </row>
    <row r="3" ht="16" customHeight="1">
      <c r="A3" s="7" t="inlineStr">
        <is>
          <t>synthetic polymer architectural membrane</t>
        </is>
      </c>
      <c r="B3" s="7" t="inlineStr">
        <is>
          <t>production</t>
        </is>
      </c>
      <c r="C3" s="7" t="inlineStr">
        <is>
          <t>polyester fiber</t>
        </is>
      </c>
      <c r="D3" s="7" t="n"/>
      <c r="E3" s="7" t="inlineStr">
        <is>
          <t>amount per kg product</t>
        </is>
      </c>
      <c r="F3" s="7" t="inlineStr">
        <is>
          <t>Amount of polyester fiber per kg of product</t>
        </is>
      </c>
      <c r="G3" s="7" t="inlineStr">
        <is>
          <t>kg/kg</t>
        </is>
      </c>
      <c r="H3" s="7" t="n">
        <v>1</v>
      </c>
      <c r="I3" s="7" t="n">
        <v>1</v>
      </c>
      <c r="J3" s="7" t="n">
        <v>1</v>
      </c>
      <c r="K3" s="7" t="n"/>
      <c r="L3" s="7" t="inlineStr">
        <is>
          <t>fixed</t>
        </is>
      </c>
      <c r="M3" s="7" t="n"/>
      <c r="N3" s="7" t="inlineStr">
        <is>
          <t>definition</t>
        </is>
      </c>
      <c r="O3" s="7" t="inlineStr">
        <is>
          <t>partner estimate</t>
        </is>
      </c>
      <c r="P3" s="7" t="inlineStr">
        <is>
          <t>Common-sense estimate (Claude, for LCA-team review): 1 kg of membrane textile is 1 kg polyester fibre (coating not modelled).</t>
        </is>
      </c>
    </row>
    <row r="4" ht="16" customHeight="1">
      <c r="A4" s="7" t="inlineStr">
        <is>
          <t>synthetic polymer architectural membrane</t>
        </is>
      </c>
      <c r="B4" s="7" t="inlineStr">
        <is>
          <t>production</t>
        </is>
      </c>
      <c r="C4" s="7" t="inlineStr">
        <is>
          <t>weaving</t>
        </is>
      </c>
      <c r="D4" s="7" t="n"/>
      <c r="E4" s="7" t="inlineStr">
        <is>
          <t>amount per kg product</t>
        </is>
      </c>
      <c r="F4" s="7" t="inlineStr">
        <is>
          <t>Amount of weaving per kg of product</t>
        </is>
      </c>
      <c r="G4" s="7" t="inlineStr">
        <is>
          <t>kg/kg</t>
        </is>
      </c>
      <c r="H4" s="7" t="n">
        <v>1</v>
      </c>
      <c r="I4" s="7" t="n">
        <v>1</v>
      </c>
      <c r="J4" s="7" t="n">
        <v>1</v>
      </c>
      <c r="K4" s="7" t="n"/>
      <c r="L4" s="7" t="inlineStr">
        <is>
          <t>fixed</t>
        </is>
      </c>
      <c r="M4" s="7" t="n"/>
      <c r="N4" s="7" t="inlineStr">
        <is>
          <t>definition</t>
        </is>
      </c>
      <c r="O4" s="7" t="inlineStr">
        <is>
          <t>partner estimate</t>
        </is>
      </c>
      <c r="P4" s="7" t="inlineStr">
        <is>
          <t>Common-sense estimate (Claude, for LCA-team review): Weaving is a per-kg process on the fabric, so 1 kg of weaving per kg of membrane.</t>
        </is>
      </c>
    </row>
    <row r="5" ht="16" customHeight="1">
      <c r="A5" s="7" t="inlineStr">
        <is>
          <t>synthetic polymer architectural membrane</t>
        </is>
      </c>
      <c r="B5" s="7" t="inlineStr">
        <is>
          <t>use</t>
        </is>
      </c>
      <c r="C5" s="7" t="inlineStr">
        <is>
          <t>product</t>
        </is>
      </c>
      <c r="D5" s="7" t="n"/>
      <c r="E5" s="7" t="inlineStr">
        <is>
          <t>service life</t>
        </is>
      </c>
      <c r="F5" s="7" t="inlineStr">
        <is>
          <t>Years the product lasts in use</t>
        </is>
      </c>
      <c r="G5" s="7" t="inlineStr">
        <is>
          <t>yrs</t>
        </is>
      </c>
      <c r="H5" s="7" t="n">
        <v>17.5</v>
      </c>
      <c r="I5" s="7" t="n">
        <v>10</v>
      </c>
      <c r="J5" s="7" t="n">
        <v>20</v>
      </c>
      <c r="K5" s="7" t="n"/>
      <c r="L5" s="7" t="inlineStr">
        <is>
          <t>triangular</t>
        </is>
      </c>
      <c r="M5" s="7" t="n"/>
      <c r="N5" s="7" t="inlineStr">
        <is>
          <t>PVC-coated polyester membranes: design life ~15-20 y, 10-15 y in high-UV climates (Birdair PVC membrane page; ETS PVC membrane page)</t>
        </is>
      </c>
      <c r="O5" s="7" t="inlineStr">
        <is>
          <t>literature</t>
        </is>
      </c>
      <c r="P5" s="7" t="inlineStr">
        <is>
          <t>Was 20 (16-24). 25+ years is claimed only for PTFE/PVDF-topcoated membranes.</t>
        </is>
      </c>
    </row>
    <row r="6" ht="16" customHeight="1">
      <c r="A6" s="7" t="inlineStr">
        <is>
          <t>synthetic polymer architectural membrane</t>
        </is>
      </c>
      <c r="B6" s="7" t="inlineStr">
        <is>
          <t>end-of-life</t>
        </is>
      </c>
      <c r="C6" s="7" t="inlineStr">
        <is>
          <t>waste plastic incineration</t>
        </is>
      </c>
      <c r="D6" s="7" t="inlineStr">
        <is>
          <t>polyester fiber</t>
        </is>
      </c>
      <c r="E6" s="7" t="inlineStr">
        <is>
          <t>amount per kg product</t>
        </is>
      </c>
      <c r="F6" s="7" t="inlineStr">
        <is>
          <t>kg of polyester fiber that goes to waste plastic incineration at end of life, per kg of product</t>
        </is>
      </c>
      <c r="G6" s="7" t="inlineStr">
        <is>
          <t>kg/kg</t>
        </is>
      </c>
      <c r="H6" s="7" t="n">
        <v>0.58</v>
      </c>
      <c r="I6" s="7" t="n">
        <v>0.4</v>
      </c>
      <c r="J6" s="7" t="n">
        <v>0.95</v>
      </c>
      <c r="K6" s="7" t="n"/>
      <c r="L6" s="7" t="inlineStr">
        <is>
          <t>triangular</t>
        </is>
      </c>
      <c r="M6" s="7" t="n"/>
      <c r="N6" s="7" t="inlineStr">
        <is>
          <t>EU 2022: separately collected textiles: 15% incinerated, 12% landfilled (EEA); plastic packaging 2022: 35.0% energy recovery vs ~24.3% other disposal (European Parliament); recycling assumed ~0 for coated membranes</t>
        </is>
      </c>
      <c r="O6" s="7" t="inlineStr">
        <is>
          <t>literature</t>
        </is>
      </c>
      <c r="P6" s="7" t="inlineStr">
        <is>
          <t>Incineration:landfill = 35/(35+24.3) = 59% (plastics) or 15/(15+12) = 56% (textiles). Was 0.7/0.3. NL has a landfill ban, so NL would be &gt;90% incineration: max set to 0.95.</t>
        </is>
      </c>
    </row>
    <row r="7" ht="16" customHeight="1">
      <c r="A7" s="7" t="inlineStr">
        <is>
          <t>synthetic polymer architectural membrane</t>
        </is>
      </c>
      <c r="B7" s="7" t="inlineStr">
        <is>
          <t>end-of-life</t>
        </is>
      </c>
      <c r="C7" s="7" t="inlineStr">
        <is>
          <t>waste plastic landfilling</t>
        </is>
      </c>
      <c r="D7" s="7" t="inlineStr">
        <is>
          <t>polyester fiber</t>
        </is>
      </c>
      <c r="E7" s="7" t="inlineStr">
        <is>
          <t>amount per kg product</t>
        </is>
      </c>
      <c r="F7" s="7" t="inlineStr">
        <is>
          <t>kg of polyester fiber that goes to waste plastic landfilling at end of life, per kg of product</t>
        </is>
      </c>
      <c r="G7" s="7" t="inlineStr">
        <is>
          <t>kg/kg</t>
        </is>
      </c>
      <c r="H7" s="7" t="n">
        <v>0.42</v>
      </c>
      <c r="I7" s="7" t="n">
        <v>0.05</v>
      </c>
      <c r="J7" s="7" t="n">
        <v>0.6</v>
      </c>
      <c r="K7" s="7" t="n"/>
      <c r="L7" s="7" t="inlineStr">
        <is>
          <t>triangular</t>
        </is>
      </c>
      <c r="M7" s="7" t="n"/>
      <c r="N7" s="7" t="inlineStr">
        <is>
          <t>EU 2022: separately collected textiles: 15% incinerated, 12% landfilled (EEA); plastic packaging 2022: 35.0% energy recovery vs ~24.3% other disposal (European Parliament); recycling assumed ~0 for coated membranes</t>
        </is>
      </c>
      <c r="O7" s="7" t="inlineStr">
        <is>
          <t>literature</t>
        </is>
      </c>
      <c r="P7" s="7" t="inlineStr">
        <is>
          <t>Complement of the incineration row.</t>
        </is>
      </c>
    </row>
    <row r="8" ht="16" customHeight="1">
      <c r="A8" s="7" t="inlineStr">
        <is>
          <t>synthetic polymer architectural membrane</t>
        </is>
      </c>
      <c r="B8" s="7" t="inlineStr">
        <is>
          <t>general</t>
        </is>
      </c>
      <c r="C8" s="7" t="inlineStr">
        <is>
          <t>product</t>
        </is>
      </c>
      <c r="D8" s="7" t="n"/>
      <c r="E8" s="7" t="inlineStr">
        <is>
          <t>location</t>
        </is>
      </c>
      <c r="F8" s="7" t="inlineStr">
        <is>
          <t>Country whose electricity mix is displaced by energy recovered at end of life</t>
        </is>
      </c>
      <c r="G8" s="7" t="inlineStr">
        <is>
          <t>country code</t>
        </is>
      </c>
      <c r="H8" s="7" t="inlineStr">
        <is>
          <t>NL</t>
        </is>
      </c>
      <c r="I8" s="7" t="n"/>
      <c r="J8" s="7" t="n"/>
      <c r="K8" s="7" t="n"/>
      <c r="L8" s="7" t="inlineStr">
        <is>
          <t>choice</t>
        </is>
      </c>
      <c r="M8" s="7" t="n"/>
      <c r="N8" s="7" t="inlineStr">
        <is>
          <t>model choice</t>
        </is>
      </c>
      <c r="O8" s="7" t="inlineStr">
        <is>
          <t>partner estimate</t>
        </is>
      </c>
      <c r="P8" s="7" t="inlineStr">
        <is>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is>
      </c>
    </row>
    <row r="9" ht="16" customHeight="1"/>
    <row r="10" ht="16" customHeight="1"/>
    <row r="11" ht="16" customHeight="1"/>
    <row r="12" ht="16" customHeight="1"/>
    <row r="13" ht="16" customHeight="1"/>
    <row r="14" ht="16" customHeight="1"/>
    <row r="15" ht="16" customHeight="1"/>
    <row r="16" ht="16" customHeight="1"/>
    <row r="17" ht="16" customHeight="1"/>
    <row r="18" ht="16" customHeight="1"/>
    <row r="19" ht="16" customHeight="1"/>
    <row r="20" ht="16" customHeight="1"/>
    <row r="21" ht="32" customHeight="1"/>
    <row r="22" ht="32" customHeight="1"/>
    <row r="23" ht="32" customHeight="1"/>
    <row r="24" ht="32" customHeight="1"/>
    <row r="25" ht="32" customHeight="1"/>
    <row r="26" ht="32" customHeight="1"/>
    <row r="27" ht="32" customHeight="1"/>
    <row r="28" ht="32" customHeight="1"/>
    <row r="29" ht="32" customHeight="1"/>
    <row r="30" ht="32" customHeight="1"/>
    <row r="31" ht="32" customHeight="1"/>
    <row r="32" ht="32" customHeight="1"/>
    <row r="33" ht="32" customHeight="1"/>
    <row r="34" ht="16" customHeight="1"/>
    <row r="35" ht="32" customHeight="1"/>
    <row r="36" ht="32" customHeight="1"/>
    <row r="37" ht="16" customHeight="1"/>
    <row r="38" ht="16" customHeight="1"/>
    <row r="39" ht="32" customHeight="1"/>
    <row r="40" ht="32" customHeight="1"/>
    <row r="41" ht="32" customHeight="1"/>
    <row r="42" ht="16" customHeight="1"/>
    <row r="43" ht="16" customHeight="1"/>
    <row r="44" ht="32" customHeight="1"/>
    <row r="45" ht="32" customHeight="1"/>
    <row r="46" ht="32" customHeight="1"/>
    <row r="47" ht="16" customHeight="1"/>
  </sheetData>
  <conditionalFormatting sqref="H2:H247">
    <cfRule type="expression" priority="1" dxfId="0">
      <formula>AND($E2&lt;&gt;"",$H2="")</formula>
    </cfRule>
  </conditionalFormatting>
  <conditionalFormatting sqref="H2:O247">
    <cfRule type="expression" priority="2" dxfId="1">
      <formula>$O2="placeholder"</formula>
    </cfRule>
  </conditionalFormatting>
  <conditionalFormatting sqref="I2:J247">
    <cfRule type="expression" priority="3" dxfId="0">
      <formula>AND(OR($L2="triangular",$L2="uniform"),OR($I2="",$J2=""))</formula>
    </cfRule>
  </conditionalFormatting>
  <dataValidations count="3">
    <dataValidation sqref="B2:B247" showDropDown="0" showInputMessage="0" showErrorMessage="0" allowBlank="1" type="list">
      <formula1>"product size,production,repair,use,end-of-life,general"</formula1>
    </dataValidation>
    <dataValidation sqref="L2:L247" showDropDown="0" showInputMessage="0" showErrorMessage="0" allowBlank="1" type="list">
      <formula1>"fixed,triangular,uniform,choice,combination"</formula1>
    </dataValidation>
    <dataValidation sqref="O2:O247" showDropDown="0" showInputMessage="0" showErrorMessage="0" allowBlank="1" type="list">
      <formula1>"placeholder,partner estimate,measured,literature"</formula1>
    </dataValidation>
  </dataValidations>
  <pageMargins left="0.75" right="0.75" top="1" bottom="1" header="0.5" footer="0.5"/>
</worksheet>
</file>

<file path=xl/worksheets/sheet17.xml><?xml version="1.0" encoding="utf-8"?>
<worksheet xmlns="http://schemas.openxmlformats.org/spreadsheetml/2006/main">
  <sheetPr>
    <tabColor rgb="FF93C47D"/>
    <outlinePr summaryBelow="1" summaryRight="1"/>
    <pageSetUpPr/>
  </sheetPr>
  <dimension ref="A1:L12"/>
  <sheetViews>
    <sheetView workbookViewId="0">
      <pane ySplit="1" topLeftCell="A2" activePane="bottomLeft" state="frozen"/>
      <selection pane="bottomLeft" activeCell="A1" sqref="A1"/>
    </sheetView>
  </sheetViews>
  <sheetFormatPr baseColWidth="10" defaultColWidth="8.83203125" defaultRowHeight="15"/>
  <cols>
    <col width="23" customWidth="1" min="1" max="1"/>
    <col width="20" customWidth="1" min="2" max="2"/>
    <col width="23" customWidth="1" min="3" max="3"/>
    <col width="21" customWidth="1" min="4" max="4"/>
    <col width="14" customWidth="1" min="5" max="5"/>
    <col width="27" customWidth="1" min="6" max="6"/>
    <col width="45" customWidth="1" min="7" max="8"/>
    <col width="15" customWidth="1" min="9" max="9"/>
    <col width="19" customWidth="1" min="10" max="10"/>
    <col width="11" customWidth="1" min="11" max="11"/>
    <col width="23" customWidth="1" min="12" max="12"/>
    <col width="15" customWidth="1" min="13" max="13"/>
    <col width="45" customWidth="1" min="14" max="14"/>
    <col width="24" customWidth="1" min="15" max="15"/>
    <col width="45" customWidth="1" min="16" max="16"/>
  </cols>
  <sheetData>
    <row r="1">
      <c r="A1" s="9" t="inlineStr">
        <is>
          <t>element_type</t>
        </is>
      </c>
      <c r="B1" s="9" t="inlineStr">
        <is>
          <t>case_type</t>
        </is>
      </c>
      <c r="C1" s="9" t="inlineStr">
        <is>
          <t>case_name</t>
        </is>
      </c>
      <c r="D1" s="9" t="inlineStr">
        <is>
          <t>display_name</t>
        </is>
      </c>
      <c r="E1" s="9" t="inlineStr">
        <is>
          <t>spec_variable</t>
        </is>
      </c>
      <c r="F1" s="9" t="inlineStr">
        <is>
          <t>spec_label</t>
        </is>
      </c>
      <c r="G1" s="9" t="inlineStr">
        <is>
          <t>spec_unit</t>
        </is>
      </c>
      <c r="H1" s="9" t="inlineStr">
        <is>
          <t>activity_name</t>
        </is>
      </c>
      <c r="I1" s="9" t="inlineStr">
        <is>
          <t>activity_unit</t>
        </is>
      </c>
      <c r="J1" s="9" t="inlineStr">
        <is>
          <t>formula</t>
        </is>
      </c>
      <c r="K1" s="9" t="inlineStr">
        <is>
          <t>amount_at_spec_1_check</t>
        </is>
      </c>
      <c r="L1" s="9" t="inlineStr">
        <is>
          <t>comments</t>
        </is>
      </c>
    </row>
    <row r="2">
      <c r="A2" s="10" t="inlineStr">
        <is>
          <t>beam</t>
        </is>
      </c>
      <c r="B2" s="10" t="inlineStr">
        <is>
          <t>conventional bio-based</t>
        </is>
      </c>
      <c r="C2" s="10" t="inlineStr">
        <is>
          <t>glulam beam</t>
        </is>
      </c>
      <c r="D2" s="10" t="inlineStr">
        <is>
          <t>glulam beam</t>
        </is>
      </c>
      <c r="E2" s="10" t="inlineStr">
        <is>
          <t>span</t>
        </is>
      </c>
      <c r="F2" s="10" t="inlineStr">
        <is>
          <t>beam span</t>
        </is>
      </c>
      <c r="G2" s="10" t="inlineStr">
        <is>
          <t>m</t>
        </is>
      </c>
      <c r="H2" s="10" t="inlineStr">
        <is>
          <t>glulam beam production</t>
        </is>
      </c>
      <c r="I2" s="10" t="inlineStr">
        <is>
          <t>kg</t>
        </is>
      </c>
      <c r="J2" s="10" t="inlineStr">
        <is>
          <t>(span / depth_ratio) * ((span / depth_ratio) / width_ratio) * span * density</t>
        </is>
      </c>
      <c r="K2" s="10" t="n">
        <v>0.365833</v>
      </c>
      <c r="L2" s="10" t="inlineStr">
        <is>
          <t>kg = depth (span / 20) * width (depth / 3) * span * density (439 kg/m3)</t>
        </is>
      </c>
    </row>
    <row r="3">
      <c r="A3" s="10" t="inlineStr">
        <is>
          <t>beam</t>
        </is>
      </c>
      <c r="B3" s="10" t="inlineStr">
        <is>
          <t>conventional fossil-based</t>
        </is>
      </c>
      <c r="C3" s="10" t="inlineStr">
        <is>
          <t>reinforced concrete beam</t>
        </is>
      </c>
      <c r="D3" s="10" t="inlineStr">
        <is>
          <t>reinforced concrete beam</t>
        </is>
      </c>
      <c r="E3" s="10" t="inlineStr">
        <is>
          <t>span</t>
        </is>
      </c>
      <c r="F3" s="10" t="inlineStr">
        <is>
          <t>beam span</t>
        </is>
      </c>
      <c r="G3" s="10" t="inlineStr">
        <is>
          <t>m</t>
        </is>
      </c>
      <c r="H3" s="10" t="inlineStr">
        <is>
          <t>reinforced concrete beam production</t>
        </is>
      </c>
      <c r="I3" s="10" t="inlineStr">
        <is>
          <t>kg</t>
        </is>
      </c>
      <c r="J3" s="10" t="inlineStr">
        <is>
          <t>span * (span / depth_ratio) * (width_over_depth * (span / depth_ratio)) * concrete_density</t>
        </is>
      </c>
      <c r="K3" s="10" t="n">
        <v>8.33333</v>
      </c>
      <c r="L3" s="10" t="inlineStr">
        <is>
          <t>kg = span * depth (span / 12) * width (0.5 * depth) * density (2400 kg/m3)</t>
        </is>
      </c>
    </row>
    <row r="4">
      <c r="A4" s="10" t="inlineStr">
        <is>
          <t>beam</t>
        </is>
      </c>
      <c r="B4" s="10" t="inlineStr">
        <is>
          <t>conventional bio-based</t>
        </is>
      </c>
      <c r="C4" s="10" t="inlineStr">
        <is>
          <t>flax fibre CFW beam (no in-line sensing)</t>
        </is>
      </c>
      <c r="D4" s="10" t="inlineStr">
        <is>
          <t>flax fibre CFW beam (no in-line sensing)</t>
        </is>
      </c>
      <c r="E4" s="10" t="inlineStr">
        <is>
          <t>span</t>
        </is>
      </c>
      <c r="F4" s="10" t="inlineStr">
        <is>
          <t>beam span</t>
        </is>
      </c>
      <c r="G4" s="10" t="inlineStr">
        <is>
          <t>m</t>
        </is>
      </c>
      <c r="H4" s="10" t="inlineStr">
        <is>
          <t>flax fibre CFW beam (no in-line sensing) production</t>
        </is>
      </c>
      <c r="I4" s="10" t="inlineStr">
        <is>
          <t>kg</t>
        </is>
      </c>
      <c r="J4" s="10" t="inlineStr">
        <is>
          <t>span * fibre_length_per_span * fibre_mass_per_length</t>
        </is>
      </c>
      <c r="K4" s="10" t="n">
        <v>3.1</v>
      </c>
      <c r="L4" s="10" t="inlineStr">
        <is>
          <t>kg = span * roving per m span (550) * composite mass per m roving (0.0057 kg/m, Di Bari FMR 42%); same form as raw_cfw</t>
        </is>
      </c>
    </row>
    <row r="5">
      <c r="A5" s="10" t="inlineStr">
        <is>
          <t>beam</t>
        </is>
      </c>
      <c r="B5" s="10" t="inlineStr">
        <is>
          <t>conventional fossil-based</t>
        </is>
      </c>
      <c r="C5" s="10" t="inlineStr">
        <is>
          <t>glass fibre CFW beam</t>
        </is>
      </c>
      <c r="D5" s="10" t="inlineStr">
        <is>
          <t>glass fibre CFW beam</t>
        </is>
      </c>
      <c r="E5" s="10" t="inlineStr">
        <is>
          <t>span</t>
        </is>
      </c>
      <c r="F5" s="10" t="inlineStr">
        <is>
          <t>beam span</t>
        </is>
      </c>
      <c r="G5" s="10" t="inlineStr">
        <is>
          <t>m</t>
        </is>
      </c>
      <c r="H5" s="10" t="inlineStr">
        <is>
          <t>glass fibre CFW beam production</t>
        </is>
      </c>
      <c r="I5" s="10" t="inlineStr">
        <is>
          <t>kg</t>
        </is>
      </c>
      <c r="J5" s="10" t="inlineStr">
        <is>
          <t>span * fibre_length_per_span * fibre_mass_per_length</t>
        </is>
      </c>
      <c r="K5" s="10" t="n">
        <v>0.96</v>
      </c>
      <c r="L5" s="10" t="inlineStr">
        <is>
          <t>kg = span * roving per m span (275, stiffness-scaled) * composite mass per m roving (0.0035 kg/m, glass 2400 tex at FVR 50%)</t>
        </is>
      </c>
    </row>
    <row r="6">
      <c r="A6" s="10" t="inlineStr">
        <is>
          <t>wall</t>
        </is>
      </c>
      <c r="B6" s="10" t="inlineStr">
        <is>
          <t>conventional bio-based</t>
        </is>
      </c>
      <c r="C6" s="10" t="inlineStr">
        <is>
          <t>adobe brick for interior wall</t>
        </is>
      </c>
      <c r="D6" s="10" t="inlineStr">
        <is>
          <t>adobe brick for interior wall</t>
        </is>
      </c>
      <c r="E6" s="10" t="inlineStr">
        <is>
          <t>length</t>
        </is>
      </c>
      <c r="F6" s="10" t="inlineStr">
        <is>
          <t>wall length</t>
        </is>
      </c>
      <c r="G6" s="10" t="inlineStr">
        <is>
          <t>m</t>
        </is>
      </c>
      <c r="H6" s="10" t="inlineStr">
        <is>
          <t>adobe brick for interior wall production</t>
        </is>
      </c>
      <c r="I6" s="10" t="inlineStr">
        <is>
          <t>kg</t>
        </is>
      </c>
      <c r="J6" s="10" t="inlineStr">
        <is>
          <t>length * wall_height * (wall_height / thickness_ratio) * density</t>
        </is>
      </c>
      <c r="K6" s="10" t="n">
        <v>1530</v>
      </c>
      <c r="L6" s="10" t="inlineStr">
        <is>
          <t>kg = wall length * height (3m) * thickness (height/10) * density (1700 kg/m3)... mortar is same material, so not listed separately</t>
        </is>
      </c>
    </row>
    <row r="7">
      <c r="A7" s="10" t="inlineStr">
        <is>
          <t>wall</t>
        </is>
      </c>
      <c r="B7" s="10" t="inlineStr">
        <is>
          <t>conventional fossil-based</t>
        </is>
      </c>
      <c r="C7" s="10" t="inlineStr">
        <is>
          <t>clay brick for interior wall</t>
        </is>
      </c>
      <c r="D7" s="10" t="inlineStr">
        <is>
          <t>clay brick for interior wall</t>
        </is>
      </c>
      <c r="E7" s="10" t="inlineStr">
        <is>
          <t>length</t>
        </is>
      </c>
      <c r="F7" s="10" t="inlineStr">
        <is>
          <t>wall length</t>
        </is>
      </c>
      <c r="G7" s="10" t="inlineStr">
        <is>
          <t>m</t>
        </is>
      </c>
      <c r="H7" s="10" t="inlineStr">
        <is>
          <t>clay brick for interior wall production</t>
        </is>
      </c>
      <c r="I7" s="10" t="inlineStr">
        <is>
          <t>kg</t>
        </is>
      </c>
      <c r="J7" s="10" t="inlineStr">
        <is>
          <t>length * wall_height * thickness * density</t>
        </is>
      </c>
      <c r="K7" s="10" t="n">
        <v>655.5</v>
      </c>
      <c r="L7" s="10" t="inlineStr">
        <is>
          <t>kg = length * height (3 m) * thickness (0.115 m) * density (1900 kg/m3), brick + mortar</t>
        </is>
      </c>
    </row>
    <row r="8">
      <c r="A8" s="10" t="inlineStr">
        <is>
          <t>membrane</t>
        </is>
      </c>
      <c r="B8" s="10" t="inlineStr">
        <is>
          <t>conventional fossil-based</t>
        </is>
      </c>
      <c r="C8" s="10" t="inlineStr">
        <is>
          <t>synthetic polymer architectural membrane</t>
        </is>
      </c>
      <c r="D8" s="10" t="inlineStr">
        <is>
          <t>synthetic polymer architectural membrane</t>
        </is>
      </c>
      <c r="E8" s="10" t="inlineStr">
        <is>
          <t>coverage</t>
        </is>
      </c>
      <c r="F8" s="10" t="inlineStr">
        <is>
          <t>membrane coverage</t>
        </is>
      </c>
      <c r="G8" s="10" t="inlineStr">
        <is>
          <t>m2</t>
        </is>
      </c>
      <c r="H8" s="10" t="inlineStr">
        <is>
          <t>synthetic polymer architectural membrane production</t>
        </is>
      </c>
      <c r="I8" s="10" t="inlineStr">
        <is>
          <t>kg</t>
        </is>
      </c>
      <c r="J8" s="10" t="inlineStr">
        <is>
          <t>coverage * areal_density</t>
        </is>
      </c>
      <c r="K8" s="10" t="n">
        <v>0.3</v>
      </c>
      <c r="L8" s="10" t="inlineStr">
        <is>
          <t>kg = coverage * areal density (0.3 kg/m2)</t>
        </is>
      </c>
    </row>
    <row r="9">
      <c r="A9" s="10" t="inlineStr">
        <is>
          <t>beam</t>
        </is>
      </c>
      <c r="B9" s="10" t="inlineStr">
        <is>
          <t>raw</t>
        </is>
      </c>
      <c r="C9" s="10" t="inlineStr">
        <is>
          <t>raw_timber</t>
        </is>
      </c>
      <c r="D9" s="10" t="inlineStr">
        <is>
          <t>RAW reclaimed timber (CNC beam)</t>
        </is>
      </c>
      <c r="E9" s="10" t="inlineStr">
        <is>
          <t>span</t>
        </is>
      </c>
      <c r="F9" s="10" t="inlineStr">
        <is>
          <t>beam span</t>
        </is>
      </c>
      <c r="G9" s="10" t="inlineStr">
        <is>
          <t>m</t>
        </is>
      </c>
      <c r="H9" s="10" t="inlineStr">
        <is>
          <t>raw_timber production</t>
        </is>
      </c>
      <c r="I9" s="10" t="inlineStr">
        <is>
          <t>kg</t>
        </is>
      </c>
      <c r="J9" s="10" t="inlineStr">
        <is>
          <t>span * (span / depth_ratio) * ((span / depth_ratio) / width_ratio) * density</t>
        </is>
      </c>
      <c r="K9" s="10" t="n">
        <v>0.4</v>
      </c>
      <c r="L9" s="10" t="inlineStr">
        <is>
          <t>check with Amin and Nadja dimensions and density: kg product = span * depth (span/20) * width (depth/3) * density (480kg/m3)</t>
        </is>
      </c>
    </row>
    <row r="10">
      <c r="A10" s="10" t="inlineStr">
        <is>
          <t>beam</t>
        </is>
      </c>
      <c r="B10" s="10" t="inlineStr">
        <is>
          <t>raw</t>
        </is>
      </c>
      <c r="C10" s="10" t="inlineStr">
        <is>
          <t>raw_cfw</t>
        </is>
      </c>
      <c r="D10" s="10" t="inlineStr">
        <is>
          <t>RAW coreless filament winding (beam)</t>
        </is>
      </c>
      <c r="E10" s="10" t="inlineStr">
        <is>
          <t>span</t>
        </is>
      </c>
      <c r="F10" s="10" t="inlineStr">
        <is>
          <t>beam span</t>
        </is>
      </c>
      <c r="G10" s="10" t="inlineStr">
        <is>
          <t>m</t>
        </is>
      </c>
      <c r="H10" s="10" t="inlineStr">
        <is>
          <t>raw_cfw production</t>
        </is>
      </c>
      <c r="I10" s="10" t="inlineStr">
        <is>
          <t>kg</t>
        </is>
      </c>
      <c r="J10" s="10" t="inlineStr">
        <is>
          <t>span * fibre_length_per_span * fibre_mass_per_length</t>
        </is>
      </c>
      <c r="K10" s="10" t="n">
        <v>3.1</v>
      </c>
      <c r="L10" s="10" t="inlineStr">
        <is>
          <t>check with Fabian and Otto numbers from Suttgart paper, seems ridiculously light: kg = span * fiber_length_perSpan (550m / span) * fiber_density (0.006 kg / m_fiber)</t>
        </is>
      </c>
    </row>
    <row r="11">
      <c r="A11" s="10" t="inlineStr">
        <is>
          <t>wall</t>
        </is>
      </c>
      <c r="B11" s="10" t="inlineStr">
        <is>
          <t>raw</t>
        </is>
      </c>
      <c r="C11" s="10" t="inlineStr">
        <is>
          <t>raw_biopol</t>
        </is>
      </c>
      <c r="D11" s="10" t="inlineStr">
        <is>
          <t>RAW biopol (3D-printed wall)</t>
        </is>
      </c>
      <c r="E11" s="10" t="inlineStr">
        <is>
          <t>length</t>
        </is>
      </c>
      <c r="F11" s="10" t="inlineStr">
        <is>
          <t>wall length</t>
        </is>
      </c>
      <c r="G11" s="10" t="inlineStr">
        <is>
          <t>m</t>
        </is>
      </c>
      <c r="H11" s="10" t="inlineStr">
        <is>
          <t>raw_biopol production</t>
        </is>
      </c>
      <c r="I11" s="10" t="inlineStr">
        <is>
          <t>kg</t>
        </is>
      </c>
      <c r="J11" s="10" t="inlineStr">
        <is>
          <t>length * wall_height * (wall_height / thickness_ratio) * density</t>
        </is>
      </c>
      <c r="K11" s="10" t="n">
        <v>315</v>
      </c>
      <c r="L11" s="10" t="inlineStr">
        <is>
          <t>check with Carl wall thickness and density: kg = wall length * height (3m) * thickness (height/10) * density (350 kg/m3)</t>
        </is>
      </c>
    </row>
    <row r="12">
      <c r="A12" s="10" t="inlineStr">
        <is>
          <t>membrane</t>
        </is>
      </c>
      <c r="B12" s="10" t="inlineStr">
        <is>
          <t>raw</t>
        </is>
      </c>
      <c r="C12" s="10" t="inlineStr">
        <is>
          <t>raw_knit</t>
        </is>
      </c>
      <c r="D12" s="10" t="inlineStr">
        <is>
          <t>RAW knitted hemp (membrane)</t>
        </is>
      </c>
      <c r="E12" s="10" t="inlineStr">
        <is>
          <t>coverage</t>
        </is>
      </c>
      <c r="F12" s="10" t="inlineStr">
        <is>
          <t>membrane coverage</t>
        </is>
      </c>
      <c r="G12" s="10" t="inlineStr">
        <is>
          <t>m2</t>
        </is>
      </c>
      <c r="H12" s="10" t="inlineStr">
        <is>
          <t>raw_knit production</t>
        </is>
      </c>
      <c r="I12" s="10" t="inlineStr">
        <is>
          <t>kg</t>
        </is>
      </c>
      <c r="J12" s="10" t="inlineStr">
        <is>
          <t>coverage * areal_density</t>
        </is>
      </c>
      <c r="K12" s="10" t="n">
        <v>0.4</v>
      </c>
      <c r="L12" s="10" t="inlineStr">
        <is>
          <t>check with Yulia formula and density: kg = coverage (m2) * density (0.4 kg/m2)</t>
        </is>
      </c>
    </row>
  </sheetData>
  <pageMargins left="0.75" right="0.75" top="1" bottom="1" header="0.5" footer="0.5"/>
</worksheet>
</file>

<file path=xl/worksheets/sheet18.xml><?xml version="1.0" encoding="utf-8"?>
<worksheet xmlns="http://schemas.openxmlformats.org/spreadsheetml/2006/main">
  <sheetPr>
    <tabColor rgb="FF9FC5E8"/>
    <outlinePr summaryBelow="1" summaryRight="1"/>
    <pageSetUpPr/>
  </sheetPr>
  <dimension ref="A1:I57"/>
  <sheetViews>
    <sheetView workbookViewId="0">
      <pane ySplit="1" topLeftCell="A25" activePane="bottomLeft" state="frozen"/>
      <selection pane="bottomLeft" activeCell="A53" sqref="A53"/>
    </sheetView>
  </sheetViews>
  <sheetFormatPr baseColWidth="10" defaultColWidth="8.83203125" defaultRowHeight="15"/>
  <cols>
    <col width="45" customWidth="1" min="1" max="1"/>
    <col width="8" customWidth="1" min="2" max="2"/>
    <col width="17" customWidth="1" min="3" max="3"/>
    <col width="45" customWidth="1" min="4" max="4"/>
    <col width="32" customWidth="1" min="5" max="5"/>
    <col width="45" customWidth="1" min="6" max="6"/>
    <col width="25" customWidth="1" min="7" max="7"/>
    <col width="45" customWidth="1" min="8" max="8"/>
    <col width="14" customWidth="1" min="9" max="9"/>
  </cols>
  <sheetData>
    <row r="1">
      <c r="A1" s="11" t="inlineStr">
        <is>
          <t>activity_name</t>
        </is>
      </c>
      <c r="B1" s="11" t="inlineStr">
        <is>
          <t>unit</t>
        </is>
      </c>
      <c r="C1" s="11" t="inlineStr">
        <is>
          <t>material_source</t>
        </is>
      </c>
      <c r="D1" s="11" t="inlineStr">
        <is>
          <t>ecoinventDataset_name</t>
        </is>
      </c>
      <c r="E1" s="11" t="inlineStr">
        <is>
          <t>geographicalCoverage</t>
        </is>
      </c>
      <c r="F1" s="11" t="inlineStr">
        <is>
          <t>referenceProduct</t>
        </is>
      </c>
      <c r="G1" s="11" t="inlineStr">
        <is>
          <t>alternative_data_source</t>
        </is>
      </c>
      <c r="H1" s="11" t="inlineStr">
        <is>
          <t>comments</t>
        </is>
      </c>
      <c r="I1" s="11" t="inlineStr">
        <is>
          <t>eol_type</t>
        </is>
      </c>
    </row>
    <row r="2">
      <c r="A2" s="12" t="inlineStr">
        <is>
          <t>Bio-based materials</t>
        </is>
      </c>
      <c r="B2" s="12" t="n"/>
      <c r="C2" s="12" t="n"/>
      <c r="D2" s="12" t="n"/>
      <c r="E2" s="12" t="n"/>
      <c r="F2" s="12" t="n"/>
      <c r="G2" s="12" t="n"/>
      <c r="H2" s="12" t="n"/>
      <c r="I2" s="12" t="n"/>
    </row>
    <row r="3">
      <c r="A3" s="12" t="inlineStr">
        <is>
          <t>Peas</t>
        </is>
      </c>
      <c r="B3" s="12" t="inlineStr">
        <is>
          <t>kg</t>
        </is>
      </c>
      <c r="C3" s="12" t="inlineStr">
        <is>
          <t>virgin</t>
        </is>
      </c>
      <c r="D3" s="12" t="inlineStr">
        <is>
          <t>market for protein pea</t>
        </is>
      </c>
      <c r="E3" s="12" t="inlineStr">
        <is>
          <t xml:space="preserve">GLO </t>
        </is>
      </c>
      <c r="F3" s="12" t="inlineStr">
        <is>
          <t>protein pea</t>
        </is>
      </c>
      <c r="G3" s="12" t="n"/>
      <c r="H3" s="12" t="n"/>
      <c r="I3" s="12" t="n"/>
    </row>
    <row r="4">
      <c r="A4" s="12" t="inlineStr">
        <is>
          <t>Cotton fiber</t>
        </is>
      </c>
      <c r="B4" s="12" t="inlineStr">
        <is>
          <t>kg</t>
        </is>
      </c>
      <c r="C4" s="12" t="inlineStr">
        <is>
          <t>virgin</t>
        </is>
      </c>
      <c r="D4" s="12" t="inlineStr">
        <is>
          <t>market for seed-cotton</t>
        </is>
      </c>
      <c r="E4" s="12" t="inlineStr">
        <is>
          <t xml:space="preserve">GLO </t>
        </is>
      </c>
      <c r="F4" s="12" t="inlineStr">
        <is>
          <t>seed-cotton</t>
        </is>
      </c>
      <c r="G4" s="12" t="n"/>
      <c r="H4" s="12" t="n"/>
      <c r="I4" s="12" t="n"/>
    </row>
    <row r="5">
      <c r="A5" s="12" t="inlineStr">
        <is>
          <t>Hemp fiber</t>
        </is>
      </c>
      <c r="B5" s="12" t="inlineStr">
        <is>
          <t>kg</t>
        </is>
      </c>
      <c r="C5" s="12" t="inlineStr">
        <is>
          <t>virgin</t>
        </is>
      </c>
      <c r="D5" s="12" t="inlineStr">
        <is>
          <t>decorticated fibre production, hemp</t>
        </is>
      </c>
      <c r="E5" s="12" t="inlineStr">
        <is>
          <t>FR</t>
        </is>
      </c>
      <c r="F5" s="12" t="inlineStr">
        <is>
          <t>decorticated fibre, hemp</t>
        </is>
      </c>
      <c r="G5" s="12" t="n"/>
      <c r="H5" s="12" t="n"/>
      <c r="I5" s="12" t="n"/>
    </row>
    <row r="6">
      <c r="A6" s="12" t="inlineStr">
        <is>
          <t>Flax fiber</t>
        </is>
      </c>
      <c r="B6" s="12" t="inlineStr">
        <is>
          <t>kg</t>
        </is>
      </c>
      <c r="C6" s="12" t="inlineStr">
        <is>
          <t>virgin</t>
        </is>
      </c>
      <c r="D6" s="12" t="inlineStr">
        <is>
          <t>decorticated fibre production, hemp</t>
        </is>
      </c>
      <c r="E6" s="12" t="inlineStr">
        <is>
          <t>FR</t>
        </is>
      </c>
      <c r="F6" s="12" t="inlineStr">
        <is>
          <t>decorticated fibre, hemp</t>
        </is>
      </c>
      <c r="G6" s="12" t="n"/>
      <c r="H6" s="12" t="inlineStr">
        <is>
          <t>PROXY: hemp fibre dataset copied; choose the ecoinvent flax fibre dataset (added for lci_baseline_cfw_flax, Di Bari case).</t>
        </is>
      </c>
      <c r="I6" s="12" t="n"/>
    </row>
    <row r="7">
      <c r="A7" s="12" t="inlineStr">
        <is>
          <t>Hard wood</t>
        </is>
      </c>
      <c r="B7" s="12" t="inlineStr">
        <is>
          <t>kg</t>
        </is>
      </c>
      <c r="C7" s="12" t="inlineStr">
        <is>
          <t>virgin</t>
        </is>
      </c>
      <c r="D7" s="12" t="inlineStr">
        <is>
          <t>market for sawnwood, hardwood, raw</t>
        </is>
      </c>
      <c r="E7" s="12" t="inlineStr">
        <is>
          <t>GLO</t>
        </is>
      </c>
      <c r="F7" s="12" t="inlineStr">
        <is>
          <t>sawnwood, hardwood, raw</t>
        </is>
      </c>
      <c r="G7" s="12" t="n"/>
      <c r="H7" s="12" t="n"/>
      <c r="I7" s="12" t="n"/>
    </row>
    <row r="8">
      <c r="A8" s="12" t="inlineStr">
        <is>
          <t>Soft wood</t>
        </is>
      </c>
      <c r="B8" s="12" t="inlineStr">
        <is>
          <t>kg</t>
        </is>
      </c>
      <c r="C8" s="12" t="inlineStr">
        <is>
          <t>virgin</t>
        </is>
      </c>
      <c r="D8" s="12" t="inlineStr">
        <is>
          <t>market for sawnwood, softwood, raw</t>
        </is>
      </c>
      <c r="E8" s="12" t="inlineStr">
        <is>
          <t>GLO</t>
        </is>
      </c>
      <c r="F8" s="12" t="inlineStr">
        <is>
          <t>sawnwood, softwood, raw</t>
        </is>
      </c>
      <c r="G8" s="12" t="n"/>
      <c r="H8" s="12" t="n"/>
      <c r="I8" s="12" t="n"/>
    </row>
    <row r="9">
      <c r="A9" s="12" t="inlineStr">
        <is>
          <t>Pea protein binder</t>
        </is>
      </c>
      <c r="B9" s="12" t="inlineStr">
        <is>
          <t>kg</t>
        </is>
      </c>
      <c r="C9" s="12" t="inlineStr">
        <is>
          <t>virgin</t>
        </is>
      </c>
      <c r="D9" s="12" t="n"/>
      <c r="E9" s="12" t="inlineStr">
        <is>
          <t>RER</t>
        </is>
      </c>
      <c r="F9" s="12" t="n"/>
      <c r="G9" s="12" t="inlineStr">
        <is>
          <t>biopol_lca_database</t>
        </is>
      </c>
      <c r="H9" s="12" t="n"/>
      <c r="I9" s="12" t="n"/>
    </row>
    <row r="10">
      <c r="A10" s="12" t="inlineStr">
        <is>
          <t>Hemp dust</t>
        </is>
      </c>
      <c r="B10" s="12" t="inlineStr">
        <is>
          <t>kg</t>
        </is>
      </c>
      <c r="C10" s="12" t="inlineStr">
        <is>
          <t>co-product</t>
        </is>
      </c>
      <c r="D10" s="12" t="inlineStr">
        <is>
          <t>decorticated fibre production, hemp</t>
        </is>
      </c>
      <c r="E10" s="12" t="inlineStr">
        <is>
          <t>FR</t>
        </is>
      </c>
      <c r="F10" s="12" t="inlineStr">
        <is>
          <t>hemp residues</t>
        </is>
      </c>
      <c r="G10" s="12" t="n"/>
      <c r="H10" s="12" t="n"/>
      <c r="I10" s="12" t="n"/>
    </row>
    <row r="11">
      <c r="A11" s="12" t="inlineStr">
        <is>
          <t>Bark chips</t>
        </is>
      </c>
      <c r="B11" s="12" t="inlineStr">
        <is>
          <t>kg</t>
        </is>
      </c>
      <c r="C11" s="12" t="inlineStr">
        <is>
          <t>co-product</t>
        </is>
      </c>
      <c r="D11" s="12" t="inlineStr">
        <is>
          <t>market for bark chips, green, measured as dry mass</t>
        </is>
      </c>
      <c r="E11" s="12" t="inlineStr">
        <is>
          <t>Europe without Switzerland</t>
        </is>
      </c>
      <c r="F11" s="12" t="inlineStr">
        <is>
          <t>bark chips, green, measured as dry mass</t>
        </is>
      </c>
      <c r="G11" s="12" t="n"/>
      <c r="H11" s="12" t="n"/>
      <c r="I11" s="12" t="n"/>
    </row>
    <row r="12">
      <c r="A12" s="12" t="inlineStr">
        <is>
          <t>Sawdust</t>
        </is>
      </c>
      <c r="B12" s="12" t="inlineStr">
        <is>
          <t>kg</t>
        </is>
      </c>
      <c r="C12" s="12" t="inlineStr">
        <is>
          <t>co-product</t>
        </is>
      </c>
      <c r="D12" s="12" t="inlineStr">
        <is>
          <t>market for sawdust, green, collected, measured as dry mass</t>
        </is>
      </c>
      <c r="E12" s="12" t="inlineStr">
        <is>
          <t>Europe without Switzerland</t>
        </is>
      </c>
      <c r="F12" s="12" t="inlineStr">
        <is>
          <t>sawdust, green, collected, measured as dry mass</t>
        </is>
      </c>
      <c r="G12" s="12" t="n"/>
      <c r="H12" s="12" t="n"/>
      <c r="I12" s="12" t="n"/>
    </row>
    <row r="13">
      <c r="A13" s="12" t="inlineStr">
        <is>
          <t>Cellulose reject fibers</t>
        </is>
      </c>
      <c r="B13" s="12" t="inlineStr">
        <is>
          <t>kg</t>
        </is>
      </c>
      <c r="C13" s="12" t="inlineStr">
        <is>
          <t>co-product</t>
        </is>
      </c>
      <c r="D13" s="12" t="n"/>
      <c r="E13" s="12" t="inlineStr">
        <is>
          <t>RER</t>
        </is>
      </c>
      <c r="F13" s="12" t="n"/>
      <c r="G13" s="12" t="inlineStr">
        <is>
          <t>road transport</t>
        </is>
      </c>
      <c r="H13" s="12" t="inlineStr">
        <is>
          <t>distance: transport_distance_km on the constants tab</t>
        </is>
      </c>
      <c r="I13" s="12" t="n"/>
    </row>
    <row r="14">
      <c r="A14" s="12" t="inlineStr">
        <is>
          <t>Peas</t>
        </is>
      </c>
      <c r="B14" s="12" t="inlineStr">
        <is>
          <t>kg</t>
        </is>
      </c>
      <c r="C14" s="12" t="inlineStr">
        <is>
          <t>recycled</t>
        </is>
      </c>
      <c r="D14" s="12" t="n"/>
      <c r="E14" s="12" t="inlineStr">
        <is>
          <t>RER</t>
        </is>
      </c>
      <c r="F14" s="12" t="n"/>
      <c r="G14" s="12" t="inlineStr">
        <is>
          <t>road transport</t>
        </is>
      </c>
      <c r="H14" s="12" t="inlineStr">
        <is>
          <t>distance: transport_distance_km on the constants tab</t>
        </is>
      </c>
      <c r="I14" s="12" t="n"/>
    </row>
    <row r="15">
      <c r="A15" s="12" t="inlineStr">
        <is>
          <t>Cotton fiber</t>
        </is>
      </c>
      <c r="B15" s="12" t="inlineStr">
        <is>
          <t>kg</t>
        </is>
      </c>
      <c r="C15" s="12" t="inlineStr">
        <is>
          <t>recycled</t>
        </is>
      </c>
      <c r="D15" s="12" t="inlineStr">
        <is>
          <t>market for waste yarn and waste textile</t>
        </is>
      </c>
      <c r="E15" s="12" t="inlineStr">
        <is>
          <t>RoW</t>
        </is>
      </c>
      <c r="F15" s="12" t="inlineStr">
        <is>
          <t>waste yarn and waste textile</t>
        </is>
      </c>
      <c r="G15" s="12" t="n"/>
      <c r="H15" s="12" t="n"/>
      <c r="I15" s="12" t="n"/>
    </row>
    <row r="16">
      <c r="A16" s="12" t="inlineStr">
        <is>
          <t>Hard wood</t>
        </is>
      </c>
      <c r="B16" s="12" t="inlineStr">
        <is>
          <t>kg</t>
        </is>
      </c>
      <c r="C16" s="12" t="inlineStr">
        <is>
          <t>recycled</t>
        </is>
      </c>
      <c r="D16" s="12" t="inlineStr">
        <is>
          <t>market group for waste wood, untreated</t>
        </is>
      </c>
      <c r="E16" s="12" t="inlineStr">
        <is>
          <t>RER</t>
        </is>
      </c>
      <c r="F16" s="12" t="inlineStr">
        <is>
          <t>waste wood, untreated</t>
        </is>
      </c>
      <c r="G16" s="12" t="n"/>
      <c r="H16" s="12" t="n"/>
      <c r="I16" s="12" t="n"/>
    </row>
    <row r="17">
      <c r="A17" s="12" t="inlineStr">
        <is>
          <t>Soft wood</t>
        </is>
      </c>
      <c r="B17" s="12" t="inlineStr">
        <is>
          <t>kg</t>
        </is>
      </c>
      <c r="C17" s="12" t="inlineStr">
        <is>
          <t>recycled</t>
        </is>
      </c>
      <c r="D17" s="12" t="inlineStr">
        <is>
          <t>market group for waste wood, untreated</t>
        </is>
      </c>
      <c r="E17" s="12" t="inlineStr">
        <is>
          <t>RER</t>
        </is>
      </c>
      <c r="F17" s="12" t="inlineStr">
        <is>
          <t>waste wood, untreated</t>
        </is>
      </c>
      <c r="G17" s="12" t="n"/>
      <c r="H17" s="12" t="n"/>
      <c r="I17" s="12" t="n"/>
    </row>
    <row r="18">
      <c r="A18" s="12" t="inlineStr">
        <is>
          <t>Seagrass</t>
        </is>
      </c>
      <c r="B18" s="12" t="inlineStr">
        <is>
          <t>kg</t>
        </is>
      </c>
      <c r="C18" s="12" t="inlineStr">
        <is>
          <t>wild-harvested</t>
        </is>
      </c>
      <c r="D18" s="12" t="n"/>
      <c r="E18" s="12" t="n"/>
      <c r="F18" s="12" t="n"/>
      <c r="G18" s="12" t="inlineStr">
        <is>
          <t>road transport</t>
        </is>
      </c>
      <c r="H18" s="12" t="inlineStr">
        <is>
          <t>distance: transport_distance_km on the constants tab</t>
        </is>
      </c>
      <c r="I18" s="12" t="n"/>
    </row>
    <row r="19">
      <c r="A19" s="12" t="inlineStr">
        <is>
          <t>Baseline cases</t>
        </is>
      </c>
      <c r="B19" s="12" t="n"/>
      <c r="C19" s="12" t="n"/>
      <c r="D19" s="12" t="n"/>
      <c r="E19" s="12" t="n"/>
      <c r="F19" s="12" t="n"/>
      <c r="G19" s="12" t="n"/>
      <c r="H19" s="12" t="n"/>
      <c r="I19" s="12" t="n"/>
    </row>
    <row r="20">
      <c r="A20" s="12" t="inlineStr">
        <is>
          <t>glulam timber</t>
        </is>
      </c>
      <c r="B20" s="12" t="inlineStr">
        <is>
          <t>m3</t>
        </is>
      </c>
      <c r="C20" s="12" t="n"/>
      <c r="D20" s="12" t="inlineStr">
        <is>
          <t>market for glued laminated timber, PUR-glue</t>
        </is>
      </c>
      <c r="E20" s="12" t="inlineStr">
        <is>
          <t>CH</t>
        </is>
      </c>
      <c r="F20" s="12" t="inlineStr">
        <is>
          <t>glued laminated timber, PUR-glue</t>
        </is>
      </c>
      <c r="G20" s="12" t="n"/>
      <c r="H20" s="12" t="n"/>
      <c r="I20" s="12" t="n"/>
    </row>
    <row r="21">
      <c r="A21" s="12" t="inlineStr">
        <is>
          <t>concrete</t>
        </is>
      </c>
      <c r="B21" s="12" t="inlineStr">
        <is>
          <t>kg</t>
        </is>
      </c>
      <c r="C21" s="12" t="n"/>
      <c r="D21" s="12" t="inlineStr">
        <is>
          <t>market for concrete, medium strength</t>
        </is>
      </c>
      <c r="E21" s="12" t="inlineStr">
        <is>
          <t>RoW</t>
        </is>
      </c>
      <c r="F21" s="12" t="inlineStr">
        <is>
          <t>concrete, medium strength</t>
        </is>
      </c>
      <c r="G21" s="12" t="n"/>
      <c r="H21" s="12" t="n"/>
      <c r="I21" s="12" t="n"/>
    </row>
    <row r="22">
      <c r="A22" s="12" t="inlineStr">
        <is>
          <t>steel</t>
        </is>
      </c>
      <c r="B22" s="12" t="inlineStr">
        <is>
          <t>kg</t>
        </is>
      </c>
      <c r="C22" s="12" t="n"/>
      <c r="D22" s="12" t="inlineStr">
        <is>
          <t>market for reinforcing steel</t>
        </is>
      </c>
      <c r="E22" s="12" t="inlineStr">
        <is>
          <t>GLO</t>
        </is>
      </c>
      <c r="F22" s="12" t="inlineStr">
        <is>
          <t>reinforcing steel</t>
        </is>
      </c>
      <c r="G22" s="12" t="n"/>
      <c r="H22" s="12" t="n"/>
      <c r="I22" s="12" t="n"/>
    </row>
    <row r="23">
      <c r="A23" s="12" t="inlineStr">
        <is>
          <t>formwork</t>
        </is>
      </c>
      <c r="B23" s="12" t="inlineStr">
        <is>
          <t>kg</t>
        </is>
      </c>
      <c r="C23" s="12" t="n"/>
      <c r="D23" s="12" t="inlineStr">
        <is>
          <t>market for plywood</t>
        </is>
      </c>
      <c r="E23" s="12" t="inlineStr">
        <is>
          <t>RER</t>
        </is>
      </c>
      <c r="F23" s="12" t="inlineStr">
        <is>
          <t>plywood</t>
        </is>
      </c>
      <c r="G23" s="12" t="n"/>
      <c r="H23" s="12" t="n"/>
      <c r="I23" s="12" t="n"/>
    </row>
    <row r="24">
      <c r="A24" s="12" t="inlineStr">
        <is>
          <t>glass fibre</t>
        </is>
      </c>
      <c r="B24" s="12" t="inlineStr">
        <is>
          <t>kg</t>
        </is>
      </c>
      <c r="C24" s="12" t="n"/>
      <c r="D24" s="12" t="inlineStr">
        <is>
          <t>market for glass fibre</t>
        </is>
      </c>
      <c r="E24" s="12" t="inlineStr">
        <is>
          <t>GLO</t>
        </is>
      </c>
      <c r="F24" s="12" t="inlineStr">
        <is>
          <t>glass fibre</t>
        </is>
      </c>
      <c r="G24" s="12" t="n"/>
      <c r="H24" s="12" t="inlineStr">
        <is>
          <t>used by lci_baseline_cfw_glass (glass fibre CFW beam baseline).</t>
        </is>
      </c>
      <c r="I24" s="12" t="n"/>
    </row>
    <row r="25">
      <c r="A25" s="12" t="inlineStr">
        <is>
          <t>adobe brick</t>
        </is>
      </c>
      <c r="B25" s="12" t="inlineStr">
        <is>
          <t>kg</t>
        </is>
      </c>
      <c r="C25" s="12" t="n"/>
      <c r="D25" s="12" t="inlineStr">
        <is>
          <t>market for adobe brick</t>
        </is>
      </c>
      <c r="E25" s="12" t="inlineStr">
        <is>
          <t>RoW</t>
        </is>
      </c>
      <c r="F25" s="12" t="inlineStr">
        <is>
          <t>adobe brick</t>
        </is>
      </c>
      <c r="G25" s="12" t="n"/>
      <c r="H25" s="12" t="n"/>
      <c r="I25" s="12" t="n"/>
    </row>
    <row r="26">
      <c r="A26" s="12" t="inlineStr">
        <is>
          <t>clay brick</t>
        </is>
      </c>
      <c r="B26" s="12" t="inlineStr">
        <is>
          <t>kg</t>
        </is>
      </c>
      <c r="C26" s="12" t="n"/>
      <c r="D26" s="12" t="inlineStr">
        <is>
          <t>market for clay brick</t>
        </is>
      </c>
      <c r="E26" s="12" t="inlineStr">
        <is>
          <t>RoW</t>
        </is>
      </c>
      <c r="F26" s="12" t="inlineStr">
        <is>
          <t>clay brick</t>
        </is>
      </c>
      <c r="G26" s="12" t="n"/>
      <c r="H26" s="12" t="n"/>
      <c r="I26" s="12" t="n"/>
    </row>
    <row r="27">
      <c r="A27" s="12" t="inlineStr">
        <is>
          <t>lime mortar</t>
        </is>
      </c>
      <c r="B27" s="12" t="inlineStr">
        <is>
          <t>kg</t>
        </is>
      </c>
      <c r="C27" s="12" t="n"/>
      <c r="D27" s="12" t="inlineStr">
        <is>
          <t>market for lime mortar</t>
        </is>
      </c>
      <c r="E27" s="12" t="inlineStr">
        <is>
          <t>GLO</t>
        </is>
      </c>
      <c r="F27" s="12" t="inlineStr">
        <is>
          <t>lime mortar</t>
        </is>
      </c>
      <c r="G27" s="12" t="n"/>
      <c r="H27" s="12" t="n"/>
      <c r="I27" s="12" t="n"/>
    </row>
    <row r="28">
      <c r="A28" s="12" t="inlineStr">
        <is>
          <t>polyester fiber</t>
        </is>
      </c>
      <c r="B28" s="12" t="inlineStr">
        <is>
          <t>kg</t>
        </is>
      </c>
      <c r="C28" s="12" t="n"/>
      <c r="D28" s="12" t="inlineStr">
        <is>
          <t>market for fibre, polyester</t>
        </is>
      </c>
      <c r="E28" s="12" t="inlineStr">
        <is>
          <t>GLO</t>
        </is>
      </c>
      <c r="F28" s="12" t="inlineStr">
        <is>
          <t>fibre, polyester</t>
        </is>
      </c>
      <c r="G28" s="12" t="n"/>
      <c r="H28" s="12" t="n"/>
      <c r="I28" s="12" t="n"/>
    </row>
    <row r="29">
      <c r="A29" s="12" t="inlineStr">
        <is>
          <t>weaving</t>
        </is>
      </c>
      <c r="B29" s="12" t="inlineStr">
        <is>
          <t>kg</t>
        </is>
      </c>
      <c r="C29" s="12" t="n"/>
      <c r="D29" s="12" t="inlineStr">
        <is>
          <t>market for weaving, synthetic fibre</t>
        </is>
      </c>
      <c r="E29" s="12" t="inlineStr">
        <is>
          <t>GLO</t>
        </is>
      </c>
      <c r="F29" s="12" t="inlineStr">
        <is>
          <t>weaving, synthetic fibre</t>
        </is>
      </c>
      <c r="G29" s="12" t="n"/>
      <c r="H29" s="12" t="n"/>
      <c r="I29" s="12" t="n"/>
    </row>
    <row r="30">
      <c r="A30" s="12" t="inlineStr">
        <is>
          <t>Binding materials</t>
        </is>
      </c>
      <c r="B30" s="12" t="n"/>
      <c r="C30" s="12" t="n"/>
      <c r="D30" s="12" t="n"/>
      <c r="E30" s="12" t="n"/>
      <c r="F30" s="12" t="n"/>
      <c r="G30" s="12" t="n"/>
      <c r="H30" s="12" t="n"/>
      <c r="I30" s="12" t="n"/>
    </row>
    <row r="31">
      <c r="A31" s="12" t="inlineStr">
        <is>
          <t xml:space="preserve">Mechanical fastener (screws, nails, brackets) </t>
        </is>
      </c>
      <c r="B31" s="12" t="inlineStr">
        <is>
          <t>kg</t>
        </is>
      </c>
      <c r="C31" s="12" t="inlineStr">
        <is>
          <t>virgin</t>
        </is>
      </c>
      <c r="D31" s="12" t="inlineStr">
        <is>
          <t>market for steel, low-alloyed, hot rolled</t>
        </is>
      </c>
      <c r="E31" s="12" t="inlineStr">
        <is>
          <t>GLO</t>
        </is>
      </c>
      <c r="F31" s="12" t="inlineStr">
        <is>
          <t>steel, low-alloyed, hot rolled</t>
        </is>
      </c>
      <c r="G31" s="12" t="n"/>
      <c r="H31" s="12" t="n"/>
      <c r="I31" s="12" t="n"/>
    </row>
    <row r="32">
      <c r="A32" s="12" t="inlineStr">
        <is>
          <t>Wood glue</t>
        </is>
      </c>
      <c r="B32" s="12" t="inlineStr">
        <is>
          <t>kg</t>
        </is>
      </c>
      <c r="C32" s="12" t="inlineStr">
        <is>
          <t>virgin</t>
        </is>
      </c>
      <c r="D32" s="12" t="inlineStr">
        <is>
          <t>market for melamine urea formaldehyde adhesive</t>
        </is>
      </c>
      <c r="E32" s="12" t="inlineStr">
        <is>
          <t>GLO</t>
        </is>
      </c>
      <c r="F32" s="12" t="inlineStr">
        <is>
          <t>melamine urea formaldehyde adhesive</t>
        </is>
      </c>
      <c r="G32" s="12" t="n"/>
      <c r="H32" s="12" t="inlineStr">
        <is>
          <t>MUF is usually used for gluing wood in engineered timber products</t>
        </is>
      </c>
      <c r="I32" s="12" t="n"/>
    </row>
    <row r="33">
      <c r="A33" s="12" t="inlineStr">
        <is>
          <t>Fiber glue (epoxy resin)</t>
        </is>
      </c>
      <c r="B33" s="12" t="inlineStr">
        <is>
          <t>kg</t>
        </is>
      </c>
      <c r="C33" s="12" t="inlineStr">
        <is>
          <t>virgin</t>
        </is>
      </c>
      <c r="D33" s="12" t="inlineStr">
        <is>
          <t>market for epoxy resin, liquid</t>
        </is>
      </c>
      <c r="E33" s="12" t="inlineStr">
        <is>
          <t>RER</t>
        </is>
      </c>
      <c r="F33" s="12" t="inlineStr">
        <is>
          <t>epoxy resin, liquid</t>
        </is>
      </c>
      <c r="G33" s="12" t="n"/>
      <c r="H33" s="12" t="inlineStr">
        <is>
          <t>Most commonly used in natural-fiber composite research</t>
        </is>
      </c>
      <c r="I33" s="12" t="n"/>
    </row>
    <row r="34">
      <c r="A34" s="12" t="inlineStr">
        <is>
          <t>Cement</t>
        </is>
      </c>
      <c r="B34" s="12" t="inlineStr">
        <is>
          <t>kg</t>
        </is>
      </c>
      <c r="C34" s="12" t="inlineStr">
        <is>
          <t>virgin</t>
        </is>
      </c>
      <c r="D34" s="12" t="inlineStr">
        <is>
          <t>market for cement, Portland</t>
        </is>
      </c>
      <c r="E34" s="12" t="inlineStr">
        <is>
          <t>Europe without Switzerland</t>
        </is>
      </c>
      <c r="F34" s="12" t="inlineStr">
        <is>
          <t>cement, Portland</t>
        </is>
      </c>
      <c r="G34" s="12" t="n"/>
      <c r="H34" s="12" t="n"/>
      <c r="I34" s="12" t="n"/>
    </row>
    <row r="35">
      <c r="A35" s="12" t="inlineStr">
        <is>
          <t>Lime</t>
        </is>
      </c>
      <c r="B35" s="12" t="inlineStr">
        <is>
          <t>kg</t>
        </is>
      </c>
      <c r="C35" s="12" t="inlineStr">
        <is>
          <t>virgin</t>
        </is>
      </c>
      <c r="D35" s="12" t="inlineStr">
        <is>
          <t>market for hydraulic lime</t>
        </is>
      </c>
      <c r="E35" s="12" t="inlineStr">
        <is>
          <t>RER</t>
        </is>
      </c>
      <c r="F35" s="12" t="inlineStr">
        <is>
          <t>hydraulic lime</t>
        </is>
      </c>
      <c r="G35" s="12" t="n"/>
      <c r="H35" s="12" t="n"/>
      <c r="I35" s="12" t="n"/>
    </row>
    <row r="36">
      <c r="A36" s="12" t="inlineStr">
        <is>
          <t>Transportation</t>
        </is>
      </c>
      <c r="B36" s="12" t="n"/>
      <c r="C36" s="12" t="n"/>
      <c r="D36" s="12" t="n"/>
      <c r="E36" s="12" t="n"/>
      <c r="F36" s="12" t="n"/>
      <c r="G36" s="12" t="n"/>
      <c r="H36" s="12" t="n"/>
      <c r="I36" s="12" t="n"/>
    </row>
    <row r="37">
      <c r="A37" s="12" t="inlineStr">
        <is>
          <t xml:space="preserve">Road transport </t>
        </is>
      </c>
      <c r="B37" s="12" t="inlineStr">
        <is>
          <t>ton km</t>
        </is>
      </c>
      <c r="C37" s="12" t="n"/>
      <c r="D37" s="12" t="inlineStr">
        <is>
          <t>market for transport, freight, lorry, unspecified</t>
        </is>
      </c>
      <c r="E37" s="12" t="inlineStr">
        <is>
          <t>RER</t>
        </is>
      </c>
      <c r="F37" s="12" t="inlineStr">
        <is>
          <t>transport, freight, lorry, diesel, unspecified</t>
        </is>
      </c>
      <c r="G37" s="12" t="n"/>
      <c r="H37" s="12" t="n"/>
      <c r="I37" s="12" t="n"/>
    </row>
    <row r="38">
      <c r="A38" s="12" t="inlineStr">
        <is>
          <t>Processes</t>
        </is>
      </c>
      <c r="B38" s="12" t="n"/>
      <c r="C38" s="12" t="n"/>
      <c r="D38" s="12" t="n"/>
      <c r="E38" s="12" t="n"/>
      <c r="F38" s="12" t="n"/>
      <c r="G38" s="12" t="n"/>
      <c r="H38" s="12" t="n"/>
      <c r="I38" s="12" t="n"/>
    </row>
    <row r="39">
      <c r="A39" s="12" t="inlineStr">
        <is>
          <t>energy use</t>
        </is>
      </c>
      <c r="B39" s="12" t="inlineStr">
        <is>
          <t>kwh</t>
        </is>
      </c>
      <c r="C39" s="12" t="n"/>
      <c r="D39" s="12" t="inlineStr">
        <is>
          <t>market for electricity, low voltage</t>
        </is>
      </c>
      <c r="E39" s="12" t="inlineStr">
        <is>
          <t>lookup: all european countries</t>
        </is>
      </c>
      <c r="F39" s="12" t="inlineStr">
        <is>
          <t>electricity, low voltage</t>
        </is>
      </c>
      <c r="G39" s="12" t="n"/>
      <c r="H39" s="12" t="n"/>
      <c r="I39" s="12" t="n"/>
    </row>
    <row r="40">
      <c r="A40" s="12" t="inlineStr">
        <is>
          <t>machine wear</t>
        </is>
      </c>
      <c r="B40" s="12" t="inlineStr">
        <is>
          <t>kg</t>
        </is>
      </c>
      <c r="C40" s="12" t="inlineStr">
        <is>
          <t>virgin</t>
        </is>
      </c>
      <c r="D40" s="12" t="inlineStr">
        <is>
          <t>market for industrial machine, heavy, unspecified</t>
        </is>
      </c>
      <c r="E40" s="12" t="inlineStr">
        <is>
          <t>RER</t>
        </is>
      </c>
      <c r="F40" s="12" t="inlineStr">
        <is>
          <t>industrial machine, heavy, unspecified</t>
        </is>
      </c>
      <c r="G40" s="12" t="n"/>
      <c r="H40" s="12" t="n"/>
      <c r="I40" s="12" t="n"/>
    </row>
    <row r="41">
      <c r="A41" s="12" t="inlineStr">
        <is>
          <t>machine wear</t>
        </is>
      </c>
      <c r="B41" s="12" t="inlineStr">
        <is>
          <t>kg</t>
        </is>
      </c>
      <c r="C41" s="12" t="inlineStr">
        <is>
          <t>recycled</t>
        </is>
      </c>
      <c r="D41" s="12" t="n"/>
      <c r="E41" s="12" t="inlineStr">
        <is>
          <t>RER</t>
        </is>
      </c>
      <c r="F41" s="12" t="n"/>
      <c r="G41" s="12" t="inlineStr">
        <is>
          <t>road transport</t>
        </is>
      </c>
      <c r="H41" s="12" t="inlineStr">
        <is>
          <t>distance: transport_distance_km on the constants tab</t>
        </is>
      </c>
      <c r="I41" s="12" t="n"/>
    </row>
    <row r="42">
      <c r="A42" s="12" t="inlineStr">
        <is>
          <t>waste composting</t>
        </is>
      </c>
      <c r="B42" s="12" t="inlineStr">
        <is>
          <t>kg</t>
        </is>
      </c>
      <c r="C42" s="12" t="n"/>
      <c r="D42" s="12" t="inlineStr">
        <is>
          <t>treatment of biowaste, industrial composting</t>
        </is>
      </c>
      <c r="E42" s="12" t="inlineStr">
        <is>
          <t>RoW</t>
        </is>
      </c>
      <c r="F42" s="12" t="inlineStr">
        <is>
          <t>biowaste</t>
        </is>
      </c>
      <c r="G42" s="12" t="n"/>
      <c r="H42" s="12" t="n"/>
      <c r="I42" s="12" t="inlineStr">
        <is>
          <t>composting</t>
        </is>
      </c>
    </row>
    <row r="43">
      <c r="A43" s="12" t="inlineStr">
        <is>
          <t>waste recycling</t>
        </is>
      </c>
      <c r="B43" s="12" t="inlineStr">
        <is>
          <t>kg</t>
        </is>
      </c>
      <c r="C43" s="12" t="n"/>
      <c r="D43" s="12" t="inlineStr">
        <is>
          <t>treatment of waste wood, post-consumer, sorting and shredding</t>
        </is>
      </c>
      <c r="E43" s="12" t="inlineStr">
        <is>
          <t>RoW</t>
        </is>
      </c>
      <c r="F43" s="12" t="inlineStr">
        <is>
          <t>wood chips, from post-consumer wood, dry, measured as dry mass</t>
        </is>
      </c>
      <c r="G43" s="12" t="n"/>
      <c r="H43" s="12" t="n"/>
      <c r="I43" s="12" t="inlineStr">
        <is>
          <t>recycling</t>
        </is>
      </c>
    </row>
    <row r="44">
      <c r="A44" s="12" t="inlineStr">
        <is>
          <t>waste incineration</t>
        </is>
      </c>
      <c r="B44" s="12" t="inlineStr">
        <is>
          <t>kg</t>
        </is>
      </c>
      <c r="C44" s="12" t="n"/>
      <c r="D44" s="12" t="inlineStr">
        <is>
          <t>treatment of biowaste, municipal incineration</t>
        </is>
      </c>
      <c r="E44" s="12" t="inlineStr">
        <is>
          <t>GLO</t>
        </is>
      </c>
      <c r="F44" s="12" t="inlineStr">
        <is>
          <t>biowaste</t>
        </is>
      </c>
      <c r="G44" s="12" t="n"/>
      <c r="H44" s="12" t="n"/>
      <c r="I44" s="12" t="inlineStr">
        <is>
          <t>incineration</t>
        </is>
      </c>
    </row>
    <row r="45">
      <c r="A45" s="12" t="inlineStr">
        <is>
          <t>waste landfilling</t>
        </is>
      </c>
      <c r="B45" s="12" t="inlineStr">
        <is>
          <t>kg</t>
        </is>
      </c>
      <c r="C45" s="12" t="n"/>
      <c r="D45" s="12" t="inlineStr">
        <is>
          <t>treatment of biowaste, open dump</t>
        </is>
      </c>
      <c r="E45" s="12" t="inlineStr">
        <is>
          <t>RoW</t>
        </is>
      </c>
      <c r="F45" s="12" t="inlineStr">
        <is>
          <t>biowaste</t>
        </is>
      </c>
      <c r="G45" s="12" t="n"/>
      <c r="H45" s="12" t="n"/>
      <c r="I45" s="12" t="inlineStr">
        <is>
          <t>landfill</t>
        </is>
      </c>
    </row>
    <row r="46">
      <c r="A46" s="12" t="inlineStr">
        <is>
          <t>Avoided burdens</t>
        </is>
      </c>
      <c r="B46" s="12" t="n"/>
      <c r="C46" s="12" t="n"/>
      <c r="D46" s="12" t="n"/>
      <c r="E46" s="12" t="n"/>
      <c r="F46" s="12" t="n"/>
      <c r="G46" s="12" t="n"/>
      <c r="H46" s="12" t="n"/>
      <c r="I46" s="12" t="n"/>
    </row>
    <row r="47">
      <c r="A47" s="12" t="inlineStr">
        <is>
          <t>avoided burden - composting</t>
        </is>
      </c>
      <c r="B47" s="12" t="inlineStr">
        <is>
          <t>kg</t>
        </is>
      </c>
      <c r="C47" s="12" t="n"/>
      <c r="D47" s="12" t="inlineStr">
        <is>
          <t>market for compost</t>
        </is>
      </c>
      <c r="E47" s="12" t="inlineStr">
        <is>
          <t>GLO</t>
        </is>
      </c>
      <c r="F47" s="12" t="inlineStr">
        <is>
          <t>compost</t>
        </is>
      </c>
      <c r="G47" s="12" t="n"/>
      <c r="H47" s="12" t="n"/>
      <c r="I47" s="12" t="n"/>
    </row>
    <row r="48">
      <c r="A48" s="12" t="inlineStr">
        <is>
          <t>avoided burden - open loop recycling</t>
        </is>
      </c>
      <c r="B48" s="12" t="inlineStr">
        <is>
          <t>kg</t>
        </is>
      </c>
      <c r="C48" s="12" t="n"/>
      <c r="D48" s="12" t="inlineStr">
        <is>
          <t>market for wood chips, dry, measured as dry mass</t>
        </is>
      </c>
      <c r="E48" s="12" t="inlineStr">
        <is>
          <t>RER</t>
        </is>
      </c>
      <c r="F48" s="12" t="inlineStr">
        <is>
          <t>wood chips, dry, measured as dry mass</t>
        </is>
      </c>
      <c r="G48" s="12" t="n"/>
      <c r="H48" s="12" t="n"/>
      <c r="I48" s="12" t="n"/>
    </row>
    <row r="49">
      <c r="A49" s="12" t="inlineStr">
        <is>
          <t>avoided burden - incineration, heat</t>
        </is>
      </c>
      <c r="B49" s="12" t="inlineStr">
        <is>
          <t>MJ</t>
        </is>
      </c>
      <c r="C49" s="12" t="n"/>
      <c r="D49" s="12" t="inlineStr">
        <is>
          <t>market group for heat, district or industrial, natural gas</t>
        </is>
      </c>
      <c r="E49" s="12" t="inlineStr">
        <is>
          <t>RER</t>
        </is>
      </c>
      <c r="F49" s="12" t="inlineStr">
        <is>
          <t>heat, district or industrial, natural gas</t>
        </is>
      </c>
      <c r="G49" s="12" t="n"/>
      <c r="H49" s="12" t="n"/>
      <c r="I49" s="12" t="n"/>
    </row>
    <row r="50">
      <c r="A50" s="12" t="inlineStr">
        <is>
          <t>avoided burden - incineration, electricity</t>
        </is>
      </c>
      <c r="B50" s="12" t="inlineStr">
        <is>
          <t>kwh</t>
        </is>
      </c>
      <c r="C50" s="12" t="n"/>
      <c r="D50" s="12" t="inlineStr">
        <is>
          <t>market for electricity, low voltage</t>
        </is>
      </c>
      <c r="E50" s="12" t="inlineStr">
        <is>
          <t>lookup: all european countries</t>
        </is>
      </c>
      <c r="F50" s="12" t="inlineStr">
        <is>
          <t>electricity, low voltage</t>
        </is>
      </c>
      <c r="G50" s="12" t="n"/>
      <c r="H50" s="12" t="n"/>
      <c r="I50" s="12" t="n"/>
    </row>
    <row r="51">
      <c r="A51" s="12" t="inlineStr">
        <is>
          <t>End-of-life datasets for baseline products</t>
        </is>
      </c>
      <c r="B51" s="12" t="n"/>
      <c r="C51" s="12" t="n"/>
      <c r="D51" s="12" t="n"/>
      <c r="E51" s="12" t="n"/>
      <c r="F51" s="12" t="n"/>
      <c r="G51" s="12" t="n"/>
      <c r="H51" s="12" t="n"/>
      <c r="I51" s="12" t="n"/>
    </row>
    <row r="52">
      <c r="A52" s="12" t="inlineStr">
        <is>
          <t>waste inert landfilling</t>
        </is>
      </c>
      <c r="B52" s="12" t="inlineStr">
        <is>
          <t>kg</t>
        </is>
      </c>
      <c r="C52" s="12" t="n"/>
      <c r="D52" s="12" t="inlineStr">
        <is>
          <t>treatment of inert waste, inert material landfill</t>
        </is>
      </c>
      <c r="E52" s="12" t="inlineStr">
        <is>
          <t>CH</t>
        </is>
      </c>
      <c r="F52" s="12" t="inlineStr">
        <is>
          <t>inert waste, for final disposal</t>
        </is>
      </c>
      <c r="G52" s="12" t="n"/>
      <c r="H52" s="12" t="inlineStr">
        <is>
          <t>EoL of brick/mortar/adobe baselines</t>
        </is>
      </c>
      <c r="I52" s="12" t="inlineStr">
        <is>
          <t>landfill</t>
        </is>
      </c>
    </row>
    <row r="53">
      <c r="A53" s="12" t="inlineStr">
        <is>
          <t>waste concrete landfilling</t>
        </is>
      </c>
      <c r="B53" s="12" t="inlineStr">
        <is>
          <t>kg</t>
        </is>
      </c>
      <c r="C53" s="12" t="n"/>
      <c r="D53" s="12" t="inlineStr">
        <is>
          <t>treatment of waste concrete, inert material landfill</t>
        </is>
      </c>
      <c r="E53" s="12" t="inlineStr">
        <is>
          <t>Europe without Switzerland</t>
        </is>
      </c>
      <c r="F53" s="12" t="inlineStr">
        <is>
          <t>waste concrete</t>
        </is>
      </c>
      <c r="G53" s="12" t="n"/>
      <c r="H53" s="12" t="inlineStr">
        <is>
          <t>EoL of reinforced concrete beam baseline</t>
        </is>
      </c>
      <c r="I53" s="12" t="inlineStr">
        <is>
          <t>landfill</t>
        </is>
      </c>
    </row>
    <row r="54">
      <c r="A54" s="12" t="inlineStr">
        <is>
          <t>waste reinforced concrete recycling</t>
        </is>
      </c>
      <c r="B54" s="12" t="inlineStr">
        <is>
          <t>kg</t>
        </is>
      </c>
      <c r="C54" s="12" t="n"/>
      <c r="D54" s="12" t="inlineStr">
        <is>
          <t>treatment of waste reinforced concrete, recycling</t>
        </is>
      </c>
      <c r="E54" s="12" t="inlineStr">
        <is>
          <t>Europe without Switzerland</t>
        </is>
      </c>
      <c r="F54" s="12" t="inlineStr">
        <is>
          <t>waste reinforced concrete</t>
        </is>
      </c>
      <c r="G54" s="12" t="n"/>
      <c r="H54" s="12" t="inlineStr">
        <is>
          <t>EoL of reinforced concrete beam baseline, applied to concrete + steel mass</t>
        </is>
      </c>
      <c r="I54" s="12" t="inlineStr">
        <is>
          <t>recycling</t>
        </is>
      </c>
    </row>
    <row r="55">
      <c r="A55" s="12" t="inlineStr">
        <is>
          <t>waste brick recycling</t>
        </is>
      </c>
      <c r="B55" s="12" t="inlineStr">
        <is>
          <t>kg</t>
        </is>
      </c>
      <c r="C55" s="12" t="n"/>
      <c r="D55" s="12" t="inlineStr">
        <is>
          <t>treatment of waste brick, recycling</t>
        </is>
      </c>
      <c r="E55" s="12" t="inlineStr">
        <is>
          <t>CH</t>
        </is>
      </c>
      <c r="F55" s="12" t="inlineStr">
        <is>
          <t>waste brick</t>
        </is>
      </c>
      <c r="G55" s="12" t="n"/>
      <c r="H55" s="12" t="inlineStr">
        <is>
          <t>EoL of clay brick baseline</t>
        </is>
      </c>
      <c r="I55" s="12" t="inlineStr">
        <is>
          <t>recycling</t>
        </is>
      </c>
    </row>
    <row r="56">
      <c r="A56" s="12" t="inlineStr">
        <is>
          <t>waste plastic incineration</t>
        </is>
      </c>
      <c r="B56" s="12" t="inlineStr">
        <is>
          <t>kg</t>
        </is>
      </c>
      <c r="C56" s="12" t="n"/>
      <c r="D56" s="12" t="inlineStr">
        <is>
          <t>treatment of waste plastic, mixture, municipal incineration FAE</t>
        </is>
      </c>
      <c r="E56" s="12" t="inlineStr">
        <is>
          <t>CH</t>
        </is>
      </c>
      <c r="F56" s="12" t="inlineStr">
        <is>
          <t>waste plastic, mixture</t>
        </is>
      </c>
      <c r="G56" s="12" t="n"/>
      <c r="H56" s="12" t="inlineStr">
        <is>
          <t>EoL of polyester membrane baseline</t>
        </is>
      </c>
      <c r="I56" s="12" t="inlineStr">
        <is>
          <t>incineration</t>
        </is>
      </c>
    </row>
    <row r="57">
      <c r="A57" s="12" t="inlineStr">
        <is>
          <t>waste plastic landfilling</t>
        </is>
      </c>
      <c r="B57" s="12" t="inlineStr">
        <is>
          <t>kg</t>
        </is>
      </c>
      <c r="C57" s="12" t="n"/>
      <c r="D57" s="12" t="inlineStr">
        <is>
          <t>treatment of waste plastic, mixture, sanitary landfill</t>
        </is>
      </c>
      <c r="E57" s="12" t="inlineStr">
        <is>
          <t>CH</t>
        </is>
      </c>
      <c r="F57" s="12" t="inlineStr">
        <is>
          <t>waste plastic, mixture</t>
        </is>
      </c>
      <c r="G57" s="12" t="n"/>
      <c r="H57" s="12" t="inlineStr">
        <is>
          <t>EoL of polyester membrane baseline</t>
        </is>
      </c>
      <c r="I57" s="12" t="inlineStr">
        <is>
          <t>landfill</t>
        </is>
      </c>
    </row>
  </sheetData>
  <pageMargins left="0.75" right="0.75" top="1" bottom="1" header="0.5" footer="0.5"/>
</worksheet>
</file>

<file path=xl/worksheets/sheet19.xml><?xml version="1.0" encoding="utf-8"?>
<worksheet xmlns="http://schemas.openxmlformats.org/spreadsheetml/2006/main">
  <sheetPr>
    <tabColor rgb="FF9FC5E8"/>
    <outlinePr summaryBelow="1" summaryRight="1"/>
    <pageSetUpPr/>
  </sheetPr>
  <dimension ref="A1:J24"/>
  <sheetViews>
    <sheetView workbookViewId="0">
      <pane ySplit="1" topLeftCell="A2" activePane="bottomLeft" state="frozen"/>
      <selection pane="bottomLeft" activeCell="A1" sqref="A1"/>
    </sheetView>
  </sheetViews>
  <sheetFormatPr baseColWidth="10" defaultColWidth="8.83203125" defaultRowHeight="15"/>
  <cols>
    <col width="45" customWidth="1" min="1" max="1"/>
    <col width="8" customWidth="1" min="2" max="2"/>
    <col width="45" customWidth="1" min="3" max="3"/>
    <col width="28" customWidth="1" min="4" max="4"/>
    <col width="45" customWidth="1" min="5" max="5"/>
    <col width="28" customWidth="1" min="6" max="6"/>
    <col width="45" customWidth="1" min="7" max="7"/>
    <col width="19" customWidth="1" min="8" max="8"/>
    <col width="45" customWidth="1" min="9" max="10"/>
  </cols>
  <sheetData>
    <row r="1">
      <c r="A1" s="11" t="inlineStr">
        <is>
          <t>material_name</t>
        </is>
      </c>
      <c r="B1" s="11" t="inlineStr">
        <is>
          <t>unit</t>
        </is>
      </c>
      <c r="C1" s="11" t="inlineStr">
        <is>
          <t>ecoinventDataset_name</t>
        </is>
      </c>
      <c r="D1" s="11" t="inlineStr">
        <is>
          <t>geographicalCoverage</t>
        </is>
      </c>
      <c r="E1" s="11" t="inlineStr">
        <is>
          <t>referenceProduct</t>
        </is>
      </c>
      <c r="F1" s="11" t="inlineStr">
        <is>
          <t>carbonContent_dryWeight_kg</t>
        </is>
      </c>
      <c r="G1" s="11" t="inlineStr">
        <is>
          <t>carbonContent_source</t>
        </is>
      </c>
      <c r="H1" s="11" t="inlineStr">
        <is>
          <t>rotationPeriod_yr</t>
        </is>
      </c>
      <c r="I1" s="11" t="inlineStr">
        <is>
          <t>rotationPeriod_source</t>
        </is>
      </c>
      <c r="J1" s="11" t="inlineStr">
        <is>
          <t>comments</t>
        </is>
      </c>
    </row>
    <row r="2">
      <c r="A2" s="12" t="inlineStr">
        <is>
          <t>Peas</t>
        </is>
      </c>
      <c r="B2" s="12" t="inlineStr">
        <is>
          <t xml:space="preserve">1 kg </t>
        </is>
      </c>
      <c r="C2" s="12" t="inlineStr">
        <is>
          <t>market for protein pea</t>
        </is>
      </c>
      <c r="D2" s="12" t="inlineStr">
        <is>
          <t xml:space="preserve">GLO </t>
        </is>
      </c>
      <c r="E2" s="12" t="inlineStr">
        <is>
          <t>protein pea</t>
        </is>
      </c>
      <c r="F2" s="12" t="inlineStr">
        <is>
          <t>to extract w/ bw</t>
        </is>
      </c>
      <c r="G2" s="12" t="inlineStr">
        <is>
          <t>ecoinvent</t>
        </is>
      </c>
      <c r="H2" s="12" t="n">
        <v>1</v>
      </c>
      <c r="I2" s="12" t="inlineStr">
        <is>
          <t>Cherubini et al. 2011 (GWPbio methodology)</t>
        </is>
      </c>
      <c r="J2" s="12" t="n"/>
    </row>
    <row r="3">
      <c r="A3" s="12" t="inlineStr">
        <is>
          <t>Cotton fiber</t>
        </is>
      </c>
      <c r="B3" s="12" t="inlineStr">
        <is>
          <t xml:space="preserve">1 kg </t>
        </is>
      </c>
      <c r="C3" s="12" t="inlineStr">
        <is>
          <t>market for seed-cotton</t>
        </is>
      </c>
      <c r="D3" s="12" t="inlineStr">
        <is>
          <t xml:space="preserve">GLO </t>
        </is>
      </c>
      <c r="E3" s="12" t="inlineStr">
        <is>
          <t>seed-cotton</t>
        </is>
      </c>
      <c r="F3" s="12" t="inlineStr">
        <is>
          <t>to extract w/ bw</t>
        </is>
      </c>
      <c r="G3" s="12" t="inlineStr">
        <is>
          <t>ecoinvent</t>
        </is>
      </c>
      <c r="H3" s="12" t="n">
        <v>1</v>
      </c>
      <c r="I3" s="12" t="inlineStr">
        <is>
          <t>Cherubini et al. 2011 (GWPbio methodology)</t>
        </is>
      </c>
      <c r="J3" s="12" t="n"/>
    </row>
    <row r="4">
      <c r="A4" s="12" t="inlineStr">
        <is>
          <t>Hemp fiber</t>
        </is>
      </c>
      <c r="B4" s="12" t="inlineStr">
        <is>
          <t xml:space="preserve">1 kg </t>
        </is>
      </c>
      <c r="C4" s="12" t="inlineStr">
        <is>
          <t>decorticated fibre production, hemp</t>
        </is>
      </c>
      <c r="D4" s="12" t="inlineStr">
        <is>
          <t>FR</t>
        </is>
      </c>
      <c r="E4" s="12" t="inlineStr">
        <is>
          <t>decorticated fibre, hemp</t>
        </is>
      </c>
      <c r="F4" s="12" t="inlineStr">
        <is>
          <t>to extract w/ bw</t>
        </is>
      </c>
      <c r="G4" s="12" t="inlineStr">
        <is>
          <t>ecoinvent</t>
        </is>
      </c>
      <c r="H4" s="12" t="n">
        <v>1</v>
      </c>
      <c r="I4" s="12" t="inlineStr">
        <is>
          <t>Cherubini et al. 2011 (GWPbio methodology)</t>
        </is>
      </c>
      <c r="J4" s="12" t="n"/>
    </row>
    <row r="5">
      <c r="A5" s="12" t="inlineStr">
        <is>
          <t>Bark chips</t>
        </is>
      </c>
      <c r="B5" s="12" t="inlineStr">
        <is>
          <t xml:space="preserve">1 kg </t>
        </is>
      </c>
      <c r="C5" s="12" t="inlineStr">
        <is>
          <t>market for bark chips, green, measured as dry mass</t>
        </is>
      </c>
      <c r="D5" s="12" t="inlineStr">
        <is>
          <t>Europe without Switzerland</t>
        </is>
      </c>
      <c r="E5" s="12" t="inlineStr">
        <is>
          <t>bark chips, green, measured as dry mass</t>
        </is>
      </c>
      <c r="F5" s="12" t="inlineStr">
        <is>
          <t>to extract w/ bw</t>
        </is>
      </c>
      <c r="G5" s="12" t="inlineStr">
        <is>
          <t>ecoinvent</t>
        </is>
      </c>
      <c r="H5" s="12" t="n">
        <v>80</v>
      </c>
      <c r="I5" s="12" t="inlineStr">
        <is>
          <t>average between soft and hard wood</t>
        </is>
      </c>
      <c r="J5" s="12" t="n"/>
    </row>
    <row r="6">
      <c r="A6" s="12" t="inlineStr">
        <is>
          <t>Sawdust</t>
        </is>
      </c>
      <c r="B6" s="12" t="inlineStr">
        <is>
          <t xml:space="preserve">1 kg </t>
        </is>
      </c>
      <c r="C6" s="12" t="inlineStr">
        <is>
          <t>market for sawdust, green, collected, measured as dry mass</t>
        </is>
      </c>
      <c r="D6" s="12" t="inlineStr">
        <is>
          <t>Europe without Switzerland</t>
        </is>
      </c>
      <c r="E6" s="12" t="inlineStr">
        <is>
          <t>sawdust, green, collected, measured as dry mass</t>
        </is>
      </c>
      <c r="F6" s="12" t="inlineStr">
        <is>
          <t>to extract w/ bw</t>
        </is>
      </c>
      <c r="G6" s="12" t="inlineStr">
        <is>
          <t>ecoinvent</t>
        </is>
      </c>
      <c r="H6" s="12" t="n">
        <v>80</v>
      </c>
      <c r="I6" s="12" t="inlineStr">
        <is>
          <t>average between soft and hard wood</t>
        </is>
      </c>
      <c r="J6" s="12" t="n"/>
    </row>
    <row r="7">
      <c r="A7" s="12" t="inlineStr">
        <is>
          <t>Hard wood</t>
        </is>
      </c>
      <c r="B7" s="12" t="inlineStr">
        <is>
          <t xml:space="preserve">1 kg </t>
        </is>
      </c>
      <c r="C7" s="12" t="inlineStr">
        <is>
          <t>market for sawnwood, hardwood, raw</t>
        </is>
      </c>
      <c r="D7" s="12" t="inlineStr">
        <is>
          <t>GLO</t>
        </is>
      </c>
      <c r="E7" s="12" t="inlineStr">
        <is>
          <t>sawnwood, hardwood, raw</t>
        </is>
      </c>
      <c r="F7" s="12" t="inlineStr">
        <is>
          <t>to extract w/ bw</t>
        </is>
      </c>
      <c r="G7" s="12" t="inlineStr">
        <is>
          <t>ecoinvent</t>
        </is>
      </c>
      <c r="H7" s="12" t="n">
        <v>100</v>
      </c>
      <c r="I7" s="12" t="inlineStr">
        <is>
          <t>Beech rotation (110–140 yr, or 80–100 yr in some countries): Analysis and evaluation of the impact of stand age on the occurrence and metamorphosis of red heartwood — iForest, 2017 (https://iforest.sisef.org/contents/?id=ifor2116-010)</t>
        </is>
      </c>
      <c r="J7" s="12" t="inlineStr">
        <is>
          <t>There is a large range for hardwood rotation periods. Normally they are 100+ years, but optimized forests can be as quick as 20 years. See Short-rotation hardwood paper (8–20 yr): Fuels of the Future for Renewable Energy Sources review (https://arxiv.org/pdf/2102.00439)</t>
        </is>
      </c>
    </row>
    <row r="8">
      <c r="A8" s="12" t="inlineStr">
        <is>
          <t>Soft wood</t>
        </is>
      </c>
      <c r="B8" s="12" t="inlineStr">
        <is>
          <t xml:space="preserve">1 kg </t>
        </is>
      </c>
      <c r="C8" s="12" t="inlineStr">
        <is>
          <t>market for sawnwood, softwood, raw</t>
        </is>
      </c>
      <c r="D8" s="12" t="inlineStr">
        <is>
          <t>GLO</t>
        </is>
      </c>
      <c r="E8" s="12" t="inlineStr">
        <is>
          <t>sawnwood, softwood, raw</t>
        </is>
      </c>
      <c r="F8" s="12" t="inlineStr">
        <is>
          <t>to extract w/ bw</t>
        </is>
      </c>
      <c r="G8" s="12" t="inlineStr">
        <is>
          <t>ecoinvent</t>
        </is>
      </c>
      <c r="H8" s="12" t="n">
        <v>65</v>
      </c>
      <c r="I8" s="12" t="inlineStr">
        <is>
          <t>Softwood CORRIM figure: Cradle-to-gate LCA of softwood lumber production, NE-NC region (https://corrim.org/wp-content/uploads/2018/06/NENC-Lumber-LCA-final-May-2013.pdf)</t>
        </is>
      </c>
      <c r="J8" s="12" t="n"/>
    </row>
    <row r="9">
      <c r="A9" s="12" t="inlineStr">
        <is>
          <t>Cellulose reject fibers</t>
        </is>
      </c>
      <c r="B9" s="12" t="inlineStr">
        <is>
          <t xml:space="preserve">1 kg </t>
        </is>
      </c>
      <c r="C9" s="12" t="inlineStr">
        <is>
          <t>market for waste paper, sorted</t>
        </is>
      </c>
      <c r="D9" s="12" t="inlineStr">
        <is>
          <t>GLO</t>
        </is>
      </c>
      <c r="E9" s="12" t="inlineStr">
        <is>
          <t>waste paper, sorted</t>
        </is>
      </c>
      <c r="F9" s="12" t="inlineStr">
        <is>
          <t>to extract w/ bw</t>
        </is>
      </c>
      <c r="G9" s="12" t="inlineStr">
        <is>
          <t>ecoinvent</t>
        </is>
      </c>
      <c r="H9" s="12" t="n"/>
      <c r="I9" s="12" t="n"/>
      <c r="J9" s="12" t="n"/>
    </row>
    <row r="10">
      <c r="A10" s="12" t="inlineStr">
        <is>
          <t>Seagrass</t>
        </is>
      </c>
      <c r="B10" s="12" t="inlineStr">
        <is>
          <t xml:space="preserve">1 kg </t>
        </is>
      </c>
      <c r="C10" s="12" t="n"/>
      <c r="D10" s="12" t="n"/>
      <c r="E10" s="12" t="n"/>
      <c r="F10" s="12" t="n">
        <v>0.336</v>
      </c>
      <c r="G10" s="12" t="inlineStr">
        <is>
          <t>The seagrass carbon content of 0.336 of dry weight can be applied in Indonesian seagrasses — Rahmawati, Hernawan &amp; Rustam, AIP Conference Proceedings, 2019 (https://pubs.aip.org/aip/acp/article/2120/1/030012/1024597/The-seagrass-carbon-content-of-0-336-of-dry-weight)</t>
        </is>
      </c>
      <c r="H10" s="12" t="n"/>
      <c r="I10" s="12" t="n"/>
      <c r="J10" s="12" t="n"/>
    </row>
    <row r="11">
      <c r="A11" s="12" t="inlineStr">
        <is>
          <t>Hemp dust</t>
        </is>
      </c>
      <c r="B11" s="12" t="inlineStr">
        <is>
          <t xml:space="preserve">1 kg </t>
        </is>
      </c>
      <c r="C11" s="12" t="inlineStr">
        <is>
          <t>decorticated fibre production, hemp</t>
        </is>
      </c>
      <c r="D11" s="12" t="inlineStr">
        <is>
          <t>FR</t>
        </is>
      </c>
      <c r="E11" s="12" t="inlineStr">
        <is>
          <t>hemp residues</t>
        </is>
      </c>
      <c r="F11" s="12" t="inlineStr">
        <is>
          <t>to extract w/ bw</t>
        </is>
      </c>
      <c r="G11" s="12" t="inlineStr">
        <is>
          <t>ecoinvent</t>
        </is>
      </c>
      <c r="H11" s="12" t="n">
        <v>1</v>
      </c>
      <c r="I11" s="12" t="inlineStr">
        <is>
          <t>Cherubini et al. 2011 (GWPbio methodology)</t>
        </is>
      </c>
      <c r="J11" s="12" t="inlineStr">
        <is>
          <t>Added for the variable biopolymer recipe (Hemp dust is a possible filler); same crop as Hemp fiber</t>
        </is>
      </c>
    </row>
    <row r="12">
      <c r="A12" s="12" t="n"/>
      <c r="B12" s="12" t="n"/>
      <c r="C12" s="12" t="n"/>
      <c r="D12" s="12" t="n"/>
      <c r="E12" s="12" t="n"/>
      <c r="F12" s="12" t="n"/>
      <c r="G12" s="12" t="n"/>
      <c r="H12" s="12" t="n"/>
      <c r="I12" s="12" t="n"/>
      <c r="J12" s="12" t="n"/>
    </row>
    <row r="13">
      <c r="A13" s="12" t="n"/>
      <c r="B13" s="12" t="n"/>
      <c r="C13" s="12" t="n"/>
      <c r="D13" s="12" t="n"/>
      <c r="E13" s="12" t="n"/>
      <c r="F13" s="12" t="n"/>
      <c r="G13" s="12" t="n"/>
      <c r="H13" s="12" t="n"/>
      <c r="I13" s="12" t="n"/>
      <c r="J13" s="12" t="n"/>
    </row>
    <row r="14">
      <c r="A14" s="12" t="inlineStr">
        <is>
          <t xml:space="preserve">note: </t>
        </is>
      </c>
      <c r="B14" s="12" t="n"/>
      <c r="C14" s="12" t="n"/>
      <c r="D14" s="12" t="n"/>
      <c r="E14" s="12" t="n"/>
      <c r="F14" s="12" t="n"/>
      <c r="G14" s="12" t="n"/>
      <c r="H14" s="12" t="n"/>
      <c r="I14" s="12" t="n"/>
      <c r="J14" s="12" t="n"/>
    </row>
    <row r="15">
      <c r="A15" s="12" t="inlineStr">
        <is>
          <t xml:space="preserve">If the material is a (co-) product, then the benefit is carbon sequestration (GWPbio method that includes both storage and rotation period) </t>
        </is>
      </c>
      <c r="B15" s="12" t="n"/>
      <c r="C15" s="12" t="n"/>
      <c r="D15" s="12" t="n"/>
      <c r="E15" s="12" t="n"/>
      <c r="F15" s="12" t="n"/>
      <c r="G15" s="12" t="n"/>
      <c r="H15" s="12" t="n"/>
      <c r="I15" s="12" t="n"/>
      <c r="J15" s="12" t="n"/>
    </row>
    <row r="16">
      <c r="A16" s="12" t="inlineStr">
        <is>
          <t>If material is a waste / wild-harvested product, then the benefit is delayed carbon emissions (GWPbio method that only includes storage period)</t>
        </is>
      </c>
      <c r="B16" s="12" t="n"/>
      <c r="C16" s="12" t="n"/>
      <c r="D16" s="12" t="n"/>
      <c r="E16" s="12" t="n"/>
      <c r="F16" s="12" t="n"/>
      <c r="G16" s="12" t="n"/>
      <c r="H16" s="12" t="n"/>
      <c r="I16" s="12" t="n"/>
      <c r="J16" s="12" t="n"/>
    </row>
    <row r="17">
      <c r="A17" s="12" t="inlineStr">
        <is>
          <t>on carbon content: beware that it is dry weight, so you need to take into account the water content. this info is available in ecoinvent.</t>
        </is>
      </c>
      <c r="B17" s="12" t="n"/>
      <c r="C17" s="12" t="n"/>
      <c r="D17" s="12" t="n"/>
      <c r="E17" s="12" t="n"/>
      <c r="F17" s="12" t="n"/>
      <c r="G17" s="12" t="n"/>
      <c r="H17" s="12" t="n"/>
      <c r="I17" s="12" t="n"/>
      <c r="J17" s="12" t="n"/>
    </row>
    <row r="18">
      <c r="A18" s="12" t="inlineStr">
        <is>
          <t>Fiber glue (epoxy resin)</t>
        </is>
      </c>
      <c r="B18" s="12" t="inlineStr">
        <is>
          <t xml:space="preserve">1 kg </t>
        </is>
      </c>
      <c r="C18" s="12" t="n"/>
      <c r="D18" s="12" t="n"/>
      <c r="E18" s="12" t="n"/>
      <c r="F18" s="12" t="n">
        <v>0</v>
      </c>
      <c r="G18" s="12" t="inlineStr">
        <is>
          <t>fossil/mineral material: no biogenic carbon</t>
        </is>
      </c>
      <c r="H18" s="12" t="inlineStr">
        <is>
          <t>n/a</t>
        </is>
      </c>
      <c r="I18" s="12" t="inlineStr">
        <is>
          <t>n/a</t>
        </is>
      </c>
      <c r="J18" s="12" t="n"/>
    </row>
    <row r="19">
      <c r="A19" s="12" t="inlineStr">
        <is>
          <t>Wood glue</t>
        </is>
      </c>
      <c r="B19" s="12" t="inlineStr">
        <is>
          <t xml:space="preserve">1 kg </t>
        </is>
      </c>
      <c r="C19" s="12" t="n"/>
      <c r="D19" s="12" t="n"/>
      <c r="E19" s="12" t="n"/>
      <c r="F19" s="12" t="n">
        <v>0</v>
      </c>
      <c r="G19" s="12" t="inlineStr">
        <is>
          <t>fossil/mineral material: no biogenic carbon</t>
        </is>
      </c>
      <c r="H19" s="12" t="inlineStr">
        <is>
          <t>n/a</t>
        </is>
      </c>
      <c r="I19" s="12" t="inlineStr">
        <is>
          <t>n/a</t>
        </is>
      </c>
      <c r="J19" s="12" t="n"/>
    </row>
    <row r="20">
      <c r="A20" s="12" t="inlineStr">
        <is>
          <t>Mechanical fastener (screws, nails, brackets)</t>
        </is>
      </c>
      <c r="B20" s="12" t="inlineStr">
        <is>
          <t xml:space="preserve">1 kg </t>
        </is>
      </c>
      <c r="C20" s="12" t="n"/>
      <c r="D20" s="12" t="n"/>
      <c r="E20" s="12" t="n"/>
      <c r="F20" s="12" t="n">
        <v>0</v>
      </c>
      <c r="G20" s="12" t="inlineStr">
        <is>
          <t>fossil/mineral material: no biogenic carbon</t>
        </is>
      </c>
      <c r="H20" s="12" t="inlineStr">
        <is>
          <t>n/a</t>
        </is>
      </c>
      <c r="I20" s="12" t="inlineStr">
        <is>
          <t>n/a</t>
        </is>
      </c>
      <c r="J20" s="12" t="n"/>
    </row>
    <row r="21">
      <c r="A21" s="12" t="inlineStr">
        <is>
          <t>Cement</t>
        </is>
      </c>
      <c r="B21" s="12" t="inlineStr">
        <is>
          <t xml:space="preserve">1 kg </t>
        </is>
      </c>
      <c r="C21" s="12" t="n"/>
      <c r="D21" s="12" t="n"/>
      <c r="E21" s="12" t="n"/>
      <c r="F21" s="12" t="n">
        <v>0</v>
      </c>
      <c r="G21" s="12" t="inlineStr">
        <is>
          <t>fossil/mineral material: no biogenic carbon</t>
        </is>
      </c>
      <c r="H21" s="12" t="inlineStr">
        <is>
          <t>n/a</t>
        </is>
      </c>
      <c r="I21" s="12" t="inlineStr">
        <is>
          <t>n/a</t>
        </is>
      </c>
      <c r="J21" s="12" t="n"/>
    </row>
    <row r="22">
      <c r="A22" s="12" t="inlineStr">
        <is>
          <t>Lime</t>
        </is>
      </c>
      <c r="B22" s="12" t="inlineStr">
        <is>
          <t xml:space="preserve">1 kg </t>
        </is>
      </c>
      <c r="C22" s="12" t="n"/>
      <c r="D22" s="12" t="n"/>
      <c r="E22" s="12" t="n"/>
      <c r="F22" s="12" t="n">
        <v>0</v>
      </c>
      <c r="G22" s="12" t="inlineStr">
        <is>
          <t>fossil/mineral material: no biogenic carbon</t>
        </is>
      </c>
      <c r="H22" s="12" t="inlineStr">
        <is>
          <t>n/a</t>
        </is>
      </c>
      <c r="I22" s="12" t="inlineStr">
        <is>
          <t>n/a</t>
        </is>
      </c>
      <c r="J22" s="12" t="n"/>
    </row>
    <row r="23">
      <c r="A23" s="12" t="inlineStr">
        <is>
          <t>Pea protein binder</t>
        </is>
      </c>
      <c r="B23" s="12" t="inlineStr">
        <is>
          <t xml:space="preserve">1 kg </t>
        </is>
      </c>
      <c r="C23" s="12" t="n"/>
      <c r="D23" s="12" t="n"/>
      <c r="E23" s="12" t="n"/>
      <c r="F23" s="12" t="n">
        <v>0.2651685</v>
      </c>
      <c r="G23" s="12" t="inlineStr">
        <is>
          <t>derived: 0.45 kgC per kg pea (IPCC Tier 1 / Lal 2004) x 0.5893 kg peas per kg binder (biopol_lca LCI: peas -&gt; isolate -&gt; binder)</t>
        </is>
      </c>
      <c r="H23" s="12" t="n">
        <v>1</v>
      </c>
      <c r="I23" s="12" t="inlineStr">
        <is>
          <t>Annual crop, same as peas</t>
        </is>
      </c>
      <c r="J23" s="12" t="n"/>
    </row>
    <row r="24">
      <c r="A24" s="12" t="inlineStr">
        <is>
          <t>glulam timber</t>
        </is>
      </c>
      <c r="B24" s="12" t="inlineStr">
        <is>
          <t>1 m3</t>
        </is>
      </c>
      <c r="C24" s="12" t="inlineStr">
        <is>
          <t>market for glued laminated timber, PUR-glue</t>
        </is>
      </c>
      <c r="D24" s="12" t="inlineStr">
        <is>
          <t>CH</t>
        </is>
      </c>
      <c r="E24" s="12" t="inlineStr">
        <is>
          <t>glued laminated timber, PUR-glue</t>
        </is>
      </c>
      <c r="F24" s="12" t="inlineStr">
        <is>
          <t>to extract w/ bw</t>
        </is>
      </c>
      <c r="G24" s="12" t="inlineStr">
        <is>
          <t>ecoinvent</t>
        </is>
      </c>
      <c r="H24" s="12" t="n">
        <v>65</v>
      </c>
      <c r="I24" s="12" t="inlineStr">
        <is>
          <t>Softwood CORRIM figure, same as Soft wood</t>
        </is>
      </c>
      <c r="J24" s="12" t="n"/>
    </row>
  </sheetData>
  <pageMargins left="0.75" right="0.75" top="1" bottom="1" header="0.5" footer="0.5"/>
</worksheet>
</file>

<file path=xl/worksheets/sheet20.xml><?xml version="1.0" encoding="utf-8"?>
<worksheet xmlns="http://schemas.openxmlformats.org/spreadsheetml/2006/main">
  <sheetPr>
    <tabColor rgb="FF9FC5E8"/>
    <outlinePr summaryBelow="1" summaryRight="1"/>
    <pageSetUpPr/>
  </sheetPr>
  <dimension ref="A1:I30"/>
  <sheetViews>
    <sheetView workbookViewId="0">
      <pane ySplit="1" topLeftCell="A2" activePane="bottomLeft" state="frozen"/>
      <selection pane="bottomLeft" activeCell="A1" sqref="A1"/>
    </sheetView>
  </sheetViews>
  <sheetFormatPr baseColWidth="10" defaultColWidth="8.83203125" defaultRowHeight="15"/>
  <cols>
    <col width="45" customWidth="1" min="1" max="2"/>
    <col width="19" customWidth="1" min="3" max="3"/>
    <col width="15" customWidth="1" min="4" max="4"/>
    <col width="32" customWidth="1" min="5" max="5"/>
    <col width="45" customWidth="1" min="6" max="6"/>
    <col width="27" customWidth="1" min="7" max="7"/>
    <col width="34" customWidth="1" min="8" max="8"/>
    <col width="40" customWidth="1" min="9" max="9"/>
  </cols>
  <sheetData>
    <row r="1">
      <c r="A1" s="11" t="inlineStr">
        <is>
          <t>material_name</t>
        </is>
      </c>
      <c r="B1" s="11" t="inlineStr">
        <is>
          <t>unit</t>
        </is>
      </c>
      <c r="C1" s="11" t="inlineStr">
        <is>
          <t>allocation_factor</t>
        </is>
      </c>
      <c r="D1" s="11" t="inlineStr">
        <is>
          <t>quality_ratio</t>
        </is>
      </c>
      <c r="E1" s="11" t="inlineStr">
        <is>
          <t>lower_heating_value_MJperKgDry</t>
        </is>
      </c>
      <c r="F1" s="11" t="inlineStr">
        <is>
          <t>LHV_basis</t>
        </is>
      </c>
      <c r="G1" s="11" t="inlineStr">
        <is>
          <t>conversionEfficiency_heat</t>
        </is>
      </c>
      <c r="H1" s="11" t="inlineStr">
        <is>
          <t>conversionEfficiency_electricity</t>
        </is>
      </c>
      <c r="I1" s="11" t="inlineStr">
        <is>
          <t>recycling_credit_activity</t>
        </is>
      </c>
    </row>
    <row r="2">
      <c r="A2" s="12" t="inlineStr">
        <is>
          <t>Pea protein binder</t>
        </is>
      </c>
      <c r="B2" s="12" t="inlineStr">
        <is>
          <t xml:space="preserve">1 kg </t>
        </is>
      </c>
      <c r="C2" s="12" t="n">
        <v>0.8</v>
      </c>
      <c r="D2" s="12" t="n">
        <v>0.9</v>
      </c>
      <c r="E2" s="12" t="n">
        <v>22.5</v>
      </c>
      <c r="F2" s="12" t="inlineStr">
        <is>
          <t>Bomb-calorimetry data across nine protein samples found heat of combustion for protein varying between 22.0 and 24.6 kJ/g PubMed — directly supports this estimate</t>
        </is>
      </c>
      <c r="G2" s="12" t="n">
        <v>0.6</v>
      </c>
      <c r="H2" s="12" t="n">
        <v>0.25</v>
      </c>
      <c r="I2" s="12" t="n"/>
    </row>
    <row r="3">
      <c r="A3" s="12" t="inlineStr">
        <is>
          <t>Peas</t>
        </is>
      </c>
      <c r="B3" s="12" t="inlineStr">
        <is>
          <t xml:space="preserve">1 kg </t>
        </is>
      </c>
      <c r="C3" s="12" t="n">
        <v>0.8</v>
      </c>
      <c r="D3" s="12" t="n">
        <v>0.9</v>
      </c>
      <c r="E3" s="12" t="n">
        <v>16</v>
      </c>
      <c r="F3" s="12" t="inlineStr">
        <is>
          <t>Phyllis2 dataset - bean plant (#2888)</t>
        </is>
      </c>
      <c r="G3" s="12" t="n">
        <v>0.6</v>
      </c>
      <c r="H3" s="12" t="n">
        <v>0.25</v>
      </c>
      <c r="I3" s="12" t="n"/>
    </row>
    <row r="4">
      <c r="A4" s="12" t="inlineStr">
        <is>
          <t>Cotton fiber</t>
        </is>
      </c>
      <c r="B4" s="12" t="inlineStr">
        <is>
          <t xml:space="preserve">1 kg </t>
        </is>
      </c>
      <c r="C4" s="12" t="n">
        <v>0.8</v>
      </c>
      <c r="D4" s="12" t="n">
        <v>0.9</v>
      </c>
      <c r="E4" s="12" t="n">
        <v>16</v>
      </c>
      <c r="F4" s="12" t="inlineStr">
        <is>
          <t>Phyllis2 dataset - cotton, values between 15 and 17</t>
        </is>
      </c>
      <c r="G4" s="12" t="n">
        <v>0.6</v>
      </c>
      <c r="H4" s="12" t="n">
        <v>0.25</v>
      </c>
      <c r="I4" s="12" t="n"/>
    </row>
    <row r="5">
      <c r="A5" s="12" t="inlineStr">
        <is>
          <t>Hard wood</t>
        </is>
      </c>
      <c r="B5" s="12" t="inlineStr">
        <is>
          <t xml:space="preserve">1 kg </t>
        </is>
      </c>
      <c r="C5" s="12" t="n">
        <v>0.8</v>
      </c>
      <c r="D5" s="12" t="n">
        <v>0.9</v>
      </c>
      <c r="E5" s="12" t="n">
        <v>18.5</v>
      </c>
      <c r="F5" s="12" t="inlineStr">
        <is>
          <t>Within the confirmed dry-matter wood range of 18.7–21.9 MJ/kg, slightly lower for deciduous species than coniferous due to lower lignin/resin content Woodenergy</t>
        </is>
      </c>
      <c r="G5" s="12" t="n">
        <v>0.6</v>
      </c>
      <c r="H5" s="12" t="n">
        <v>0.25</v>
      </c>
      <c r="I5" s="12" t="n"/>
    </row>
    <row r="6">
      <c r="A6" s="12" t="inlineStr">
        <is>
          <t>Soft wood</t>
        </is>
      </c>
      <c r="B6" s="12" t="inlineStr">
        <is>
          <t xml:space="preserve">1 kg </t>
        </is>
      </c>
      <c r="C6" s="12" t="n">
        <v>0.8</v>
      </c>
      <c r="D6" s="12" t="n">
        <v>0.9</v>
      </c>
      <c r="E6" s="12" t="n">
        <v>19.5</v>
      </c>
      <c r="F6" s="12" t="inlineStr">
        <is>
          <t>Same source — coniferous species run slightly higher than deciduous because of higher lignin and resin content Woodenergy</t>
        </is>
      </c>
      <c r="G6" s="12" t="n">
        <v>0.6</v>
      </c>
      <c r="H6" s="12" t="n">
        <v>0.25</v>
      </c>
      <c r="I6" s="12" t="n"/>
    </row>
    <row r="7">
      <c r="A7" s="12" t="inlineStr">
        <is>
          <t>Hemp fiber</t>
        </is>
      </c>
      <c r="B7" s="12" t="inlineStr">
        <is>
          <t xml:space="preserve">1 kg </t>
        </is>
      </c>
      <c r="C7" s="12" t="n">
        <v>0.8</v>
      </c>
      <c r="D7" s="12" t="n">
        <v>0.9</v>
      </c>
      <c r="E7" s="12" t="n">
        <v>17.5</v>
      </c>
      <c r="F7" s="12" t="inlineStr">
        <is>
          <t>Phyllis2 dataset - hemp (#398, 399)</t>
        </is>
      </c>
      <c r="G7" s="12" t="n">
        <v>0.6</v>
      </c>
      <c r="H7" s="12" t="n">
        <v>0.25</v>
      </c>
      <c r="I7" s="12" t="n"/>
    </row>
    <row r="8">
      <c r="A8" s="12" t="inlineStr">
        <is>
          <t>Flax fiber</t>
        </is>
      </c>
      <c r="B8" s="12" t="inlineStr">
        <is>
          <t xml:space="preserve">1 kg </t>
        </is>
      </c>
      <c r="C8" s="12" t="n">
        <v>0.8</v>
      </c>
      <c r="D8" s="12" t="n">
        <v>0.9</v>
      </c>
      <c r="E8" s="12" t="n">
        <v>17.5</v>
      </c>
      <c r="F8" s="12" t="inlineStr">
        <is>
          <t>assumed equal to hemp (similar bast fibre); not checked against Phyllis2</t>
        </is>
      </c>
      <c r="G8" s="12" t="n">
        <v>0.6</v>
      </c>
      <c r="H8" s="12" t="n">
        <v>0.25</v>
      </c>
      <c r="I8" s="12" t="n"/>
    </row>
    <row r="9">
      <c r="A9" s="12" t="inlineStr">
        <is>
          <t>Hemp dust</t>
        </is>
      </c>
      <c r="B9" s="12" t="inlineStr">
        <is>
          <t xml:space="preserve">1 kg </t>
        </is>
      </c>
      <c r="C9" s="12" t="n">
        <v>0.8</v>
      </c>
      <c r="D9" s="12" t="n">
        <v>0.9</v>
      </c>
      <c r="E9" s="12" t="n">
        <v>17</v>
      </c>
      <c r="F9" s="12" t="inlineStr">
        <is>
          <t>Phyllis2 dataset - hemp (#398, 399)</t>
        </is>
      </c>
      <c r="G9" s="12" t="n">
        <v>0.6</v>
      </c>
      <c r="H9" s="12" t="n">
        <v>0.25</v>
      </c>
      <c r="I9" s="12" t="n"/>
    </row>
    <row r="10">
      <c r="A10" s="12" t="inlineStr">
        <is>
          <t>Bark chips</t>
        </is>
      </c>
      <c r="B10" s="12" t="inlineStr">
        <is>
          <t xml:space="preserve">1 kg </t>
        </is>
      </c>
      <c r="C10" s="12" t="n">
        <v>0.8</v>
      </c>
      <c r="D10" s="12" t="n">
        <v>0.9</v>
      </c>
      <c r="E10" s="12" t="n">
        <v>19</v>
      </c>
      <c r="F10" s="12" t="inlineStr">
        <is>
          <t>Placed within the general wood dry-matter range; no bark-specific literature value found</t>
        </is>
      </c>
      <c r="G10" s="12" t="n">
        <v>0.6</v>
      </c>
      <c r="H10" s="12" t="n">
        <v>0.25</v>
      </c>
      <c r="I10" s="12" t="n"/>
    </row>
    <row r="11">
      <c r="A11" s="12" t="inlineStr">
        <is>
          <t>Sawdust</t>
        </is>
      </c>
      <c r="B11" s="12" t="inlineStr">
        <is>
          <t xml:space="preserve">1 kg </t>
        </is>
      </c>
      <c r="C11" s="12" t="n">
        <v>0.8</v>
      </c>
      <c r="D11" s="12" t="n">
        <v>0.9</v>
      </c>
      <c r="E11" s="12" t="n">
        <v>19</v>
      </c>
      <c r="F11" s="12" t="inlineStr">
        <is>
          <t>Placed within the general wood dry-matter range; no bark-specific literature value found</t>
        </is>
      </c>
      <c r="G11" s="12" t="n">
        <v>0.6</v>
      </c>
      <c r="H11" s="12" t="n">
        <v>0.25</v>
      </c>
      <c r="I11" s="12" t="n"/>
    </row>
    <row r="12">
      <c r="A12" s="12" t="inlineStr">
        <is>
          <t>Cellulose reject fibers</t>
        </is>
      </c>
      <c r="B12" s="12" t="inlineStr">
        <is>
          <t xml:space="preserve">1 kg </t>
        </is>
      </c>
      <c r="C12" s="12" t="n">
        <v>0.8</v>
      </c>
      <c r="D12" s="12" t="n">
        <v>0.9</v>
      </c>
      <c r="E12" s="12" t="n">
        <v>11</v>
      </c>
      <c r="F12" s="12" t="inlineStr">
        <is>
          <t>Paper mill reject/sludge values in the literature range widely — 8.38 MJ/kg for primary recycled-fiber sludge, ResearchGate 6.4 MJ/kg for high-ash (51.6%) de-inking sludge, ScienceDirect up to 14.31 MJ/kg for OCC papermaking sludge with 58.84% ash. ResearchGate Mineral fillers like calcium carbonate, titanium dioxide, and silica increase ash content while not contributing to combustion, lowering total calorific value. ResearchGate I picked a midpoint, but this one is genuinely uncertain without knowing your specific reject stream's filler load</t>
        </is>
      </c>
      <c r="G12" s="12" t="n">
        <v>0.6</v>
      </c>
      <c r="H12" s="12" t="n">
        <v>0.25</v>
      </c>
      <c r="I12" s="12" t="n"/>
    </row>
    <row r="13">
      <c r="A13" s="12" t="inlineStr">
        <is>
          <t>Seagrass</t>
        </is>
      </c>
      <c r="B13" s="12" t="inlineStr">
        <is>
          <t xml:space="preserve">1 kg </t>
        </is>
      </c>
      <c r="C13" s="12" t="n">
        <v>0.8</v>
      </c>
      <c r="D13" s="12" t="n">
        <v>0.9</v>
      </c>
      <c r="E13" s="12" t="n">
        <v>10</v>
      </c>
      <c r="F13" s="12" t="inlineStr">
        <is>
          <t>Posidonia oceanica (Mediterranean seagrass) studies found heating values around 9–11 MJ/kg with very high ash content (16–36%); ResearchGate leaf debris specifically was around 10 MJ/kg, versus 13.6–15.7 MJ/kg for the more fibrous portion. ScienceDirect</t>
        </is>
      </c>
      <c r="G13" s="12" t="n">
        <v>0.6</v>
      </c>
      <c r="H13" s="12" t="n">
        <v>0.25</v>
      </c>
      <c r="I13" s="12" t="n"/>
    </row>
    <row r="14">
      <c r="A14" s="12" t="inlineStr">
        <is>
          <t>RAW product</t>
        </is>
      </c>
      <c r="B14" s="12" t="inlineStr">
        <is>
          <t xml:space="preserve">1 kg </t>
        </is>
      </c>
      <c r="C14" s="12" t="n">
        <v>0.8</v>
      </c>
      <c r="D14" s="12" t="n">
        <v>0.9</v>
      </c>
      <c r="E14" s="12" t="n">
        <v>16.35</v>
      </c>
      <c r="F14" s="12" t="inlineStr">
        <is>
          <t>conservative average of input ingredients</t>
        </is>
      </c>
      <c r="G14" s="12" t="n">
        <v>0.6</v>
      </c>
      <c r="H14" s="12" t="n">
        <v>0.25</v>
      </c>
      <c r="I14" s="12" t="n"/>
    </row>
    <row r="15">
      <c r="A15" s="12" t="inlineStr">
        <is>
          <t>glulam timber</t>
        </is>
      </c>
      <c r="B15" s="12" t="inlineStr">
        <is>
          <t xml:space="preserve">1 kg </t>
        </is>
      </c>
      <c r="C15" s="12" t="n">
        <v>0.8</v>
      </c>
      <c r="D15" s="12" t="n">
        <v>0.9</v>
      </c>
      <c r="E15" s="12" t="n">
        <v>17.7</v>
      </c>
      <c r="F15" s="12" t="inlineStr">
        <is>
          <t>previous baseline_eol_setup (glulam timber)</t>
        </is>
      </c>
      <c r="G15" s="12" t="n">
        <v>0.6</v>
      </c>
      <c r="H15" s="12" t="n">
        <v>0.25</v>
      </c>
      <c r="I15" s="12" t="inlineStr">
        <is>
          <t>avoided burden - open loop recycling</t>
        </is>
      </c>
    </row>
    <row r="16">
      <c r="A16" s="12" t="inlineStr">
        <is>
          <t>concrete</t>
        </is>
      </c>
      <c r="B16" s="12" t="inlineStr">
        <is>
          <t xml:space="preserve">1 kg </t>
        </is>
      </c>
      <c r="C16" s="12" t="n">
        <v>0.8</v>
      </c>
      <c r="D16" s="12" t="n">
        <v>0.9</v>
      </c>
      <c r="E16" s="12" t="n"/>
      <c r="F16" s="12" t="n"/>
      <c r="G16" s="12" t="n">
        <v>0.6</v>
      </c>
      <c r="H16" s="12" t="n">
        <v>0.25</v>
      </c>
      <c r="I16" s="12" t="n"/>
    </row>
    <row r="17">
      <c r="A17" s="12" t="inlineStr">
        <is>
          <t>steel</t>
        </is>
      </c>
      <c r="B17" s="12" t="inlineStr">
        <is>
          <t xml:space="preserve">1 kg </t>
        </is>
      </c>
      <c r="C17" s="12" t="n">
        <v>0.8</v>
      </c>
      <c r="D17" s="12" t="n">
        <v>0.9</v>
      </c>
      <c r="E17" s="12" t="n"/>
      <c r="F17" s="12" t="n"/>
      <c r="G17" s="12" t="n">
        <v>0.6</v>
      </c>
      <c r="H17" s="12" t="n">
        <v>0.25</v>
      </c>
      <c r="I17" s="12" t="n"/>
    </row>
    <row r="18">
      <c r="A18" s="12" t="inlineStr">
        <is>
          <t>formwork</t>
        </is>
      </c>
      <c r="B18" s="12" t="inlineStr">
        <is>
          <t xml:space="preserve">1 kg </t>
        </is>
      </c>
      <c r="C18" s="12" t="n">
        <v>0.8</v>
      </c>
      <c r="D18" s="12" t="n">
        <v>0.9</v>
      </c>
      <c r="E18" s="12" t="n">
        <v>14.2</v>
      </c>
      <c r="F18" s="12" t="inlineStr">
        <is>
          <t>previous baseline_eol_setup (plywood formwork)</t>
        </is>
      </c>
      <c r="G18" s="12" t="n">
        <v>0.6</v>
      </c>
      <c r="H18" s="12" t="n">
        <v>0.25</v>
      </c>
      <c r="I18" s="12" t="n"/>
    </row>
    <row r="19">
      <c r="A19" s="12" t="inlineStr">
        <is>
          <t>adobe brick</t>
        </is>
      </c>
      <c r="B19" s="12" t="inlineStr">
        <is>
          <t xml:space="preserve">1 kg </t>
        </is>
      </c>
      <c r="C19" s="12" t="n">
        <v>0.8</v>
      </c>
      <c r="D19" s="12" t="n">
        <v>0.9</v>
      </c>
      <c r="E19" s="12" t="n"/>
      <c r="F19" s="12" t="n"/>
      <c r="G19" s="12" t="n">
        <v>0.6</v>
      </c>
      <c r="H19" s="12" t="n">
        <v>0.25</v>
      </c>
      <c r="I19" s="12" t="n"/>
    </row>
    <row r="20">
      <c r="A20" s="12" t="inlineStr">
        <is>
          <t>clay brick</t>
        </is>
      </c>
      <c r="B20" s="12" t="inlineStr">
        <is>
          <t xml:space="preserve">1 kg </t>
        </is>
      </c>
      <c r="C20" s="12" t="n">
        <v>0.8</v>
      </c>
      <c r="D20" s="12" t="n">
        <v>0.9</v>
      </c>
      <c r="E20" s="12" t="n"/>
      <c r="F20" s="12" t="n"/>
      <c r="G20" s="12" t="n">
        <v>0.6</v>
      </c>
      <c r="H20" s="12" t="n">
        <v>0.25</v>
      </c>
      <c r="I20" s="12" t="n"/>
    </row>
    <row r="21">
      <c r="A21" s="12" t="inlineStr">
        <is>
          <t>lime mortar</t>
        </is>
      </c>
      <c r="B21" s="12" t="inlineStr">
        <is>
          <t xml:space="preserve">1 kg </t>
        </is>
      </c>
      <c r="C21" s="12" t="n">
        <v>0.8</v>
      </c>
      <c r="D21" s="12" t="n">
        <v>0.9</v>
      </c>
      <c r="E21" s="12" t="n"/>
      <c r="F21" s="12" t="n"/>
      <c r="G21" s="12" t="n">
        <v>0.6</v>
      </c>
      <c r="H21" s="12" t="n">
        <v>0.25</v>
      </c>
      <c r="I21" s="12" t="n"/>
    </row>
    <row r="22">
      <c r="A22" s="12" t="inlineStr">
        <is>
          <t>polyester fiber</t>
        </is>
      </c>
      <c r="B22" s="12" t="inlineStr">
        <is>
          <t xml:space="preserve">1 kg </t>
        </is>
      </c>
      <c r="C22" s="12" t="n">
        <v>0.8</v>
      </c>
      <c r="D22" s="12" t="n">
        <v>0.9</v>
      </c>
      <c r="E22" s="12" t="n">
        <v>23</v>
      </c>
      <c r="F22" s="12" t="inlineStr">
        <is>
          <t>previous baseline_eol_setup (polyester)</t>
        </is>
      </c>
      <c r="G22" s="12" t="n">
        <v>0.6</v>
      </c>
      <c r="H22" s="12" t="n">
        <v>0.25</v>
      </c>
      <c r="I22" s="12" t="n"/>
    </row>
    <row r="23">
      <c r="A23" s="12" t="inlineStr">
        <is>
          <t>glass fibre</t>
        </is>
      </c>
      <c r="B23" s="12" t="inlineStr">
        <is>
          <t xml:space="preserve">1 kg </t>
        </is>
      </c>
      <c r="C23" s="12" t="n">
        <v>0.8</v>
      </c>
      <c r="D23" s="12" t="n">
        <v>0.9</v>
      </c>
      <c r="E23" s="12" t="n"/>
      <c r="F23" s="12" t="n"/>
      <c r="G23" s="12" t="n">
        <v>0.6</v>
      </c>
      <c r="H23" s="12" t="n">
        <v>0.25</v>
      </c>
      <c r="I23" s="12" t="n"/>
    </row>
    <row r="24">
      <c r="A24" s="12" t="inlineStr">
        <is>
          <t>Fiber glue (epoxy resin)</t>
        </is>
      </c>
      <c r="B24" s="12" t="inlineStr">
        <is>
          <t xml:space="preserve">1 kg </t>
        </is>
      </c>
      <c r="C24" s="12" t="n">
        <v>0.8</v>
      </c>
      <c r="D24" s="12" t="n">
        <v>0.9</v>
      </c>
      <c r="E24" s="12" t="n"/>
      <c r="F24" s="12" t="n"/>
      <c r="G24" s="12" t="n">
        <v>0.6</v>
      </c>
      <c r="H24" s="12" t="n">
        <v>0.25</v>
      </c>
      <c r="I24" s="12" t="n"/>
    </row>
    <row r="25">
      <c r="A25" s="12" t="inlineStr">
        <is>
          <t>reinforced concrete</t>
        </is>
      </c>
      <c r="B25" s="12" t="inlineStr">
        <is>
          <t xml:space="preserve">1 kg </t>
        </is>
      </c>
      <c r="C25" s="12" t="n">
        <v>0.8</v>
      </c>
      <c r="D25" s="12" t="n">
        <v>0.9</v>
      </c>
      <c r="E25" s="12" t="n"/>
      <c r="F25" s="12" t="n"/>
      <c r="G25" s="12" t="n">
        <v>0.6</v>
      </c>
      <c r="H25" s="12" t="n">
        <v>0.25</v>
      </c>
      <c r="I25" s="12" t="n"/>
    </row>
    <row r="26">
      <c r="A26" s="12" t="n"/>
      <c r="B26" s="12" t="n"/>
      <c r="C26" s="12" t="n"/>
      <c r="D26" s="12" t="n"/>
      <c r="E26" s="12" t="n"/>
      <c r="F26" s="12" t="n"/>
      <c r="G26" s="12" t="n"/>
      <c r="H26" s="12" t="n"/>
      <c r="I26" s="12" t="n"/>
    </row>
    <row r="27">
      <c r="A27" s="12" t="n"/>
      <c r="B27" s="12" t="n"/>
      <c r="C27" s="12" t="n"/>
      <c r="D27" s="12" t="n"/>
      <c r="E27" s="12" t="n"/>
      <c r="F27" s="12" t="n"/>
      <c r="G27" s="12" t="n"/>
      <c r="H27" s="12" t="n"/>
      <c r="I27" s="12" t="n"/>
    </row>
    <row r="28">
      <c r="A28" s="12" t="inlineStr">
        <is>
          <t xml:space="preserve">source for allocation factors: </t>
        </is>
      </c>
      <c r="B28" s="12" t="inlineStr">
        <is>
          <t>https://eplca.jrc.ec.europa.eu/permalink/Annex_C_V2.1_May2020.xlsx</t>
        </is>
      </c>
      <c r="C28" s="12" t="n"/>
      <c r="D28" s="12" t="n"/>
      <c r="E28" s="12" t="n"/>
      <c r="F28" s="12" t="n"/>
      <c r="G28" s="12" t="n"/>
      <c r="H28" s="12" t="n"/>
      <c r="I28" s="12" t="n"/>
    </row>
    <row r="29">
      <c r="A29" s="12" t="inlineStr">
        <is>
          <t>note: a high allocation factor (e.g. A = 0.8) means recycling rate is low, suggested less well established recycling infrastructure.</t>
        </is>
      </c>
      <c r="B29" s="12" t="n"/>
      <c r="C29" s="12" t="n"/>
      <c r="D29" s="12" t="n"/>
      <c r="E29" s="12" t="n"/>
      <c r="F29" s="12" t="n"/>
      <c r="G29" s="12" t="n"/>
      <c r="H29" s="12" t="n"/>
      <c r="I29" s="12" t="n"/>
    </row>
    <row r="30">
      <c r="A30" s="12" t="inlineStr">
        <is>
          <t>note: the JRC uses three possible allocation factors: 0.2, 0.5, and 0.8.</t>
        </is>
      </c>
      <c r="B30" s="12" t="n"/>
      <c r="C30" s="12" t="n"/>
      <c r="D30" s="12" t="n"/>
      <c r="E30" s="12" t="n"/>
      <c r="F30" s="12" t="n"/>
      <c r="G30" s="12" t="n"/>
      <c r="H30" s="12" t="n"/>
      <c r="I30" s="12" t="n"/>
    </row>
  </sheetData>
  <pageMargins left="0.75" right="0.75" top="1" bottom="1" header="0.5" footer="0.5"/>
</worksheet>
</file>

<file path=xl/worksheets/sheet21.xml><?xml version="1.0" encoding="utf-8"?>
<worksheet xmlns="http://schemas.openxmlformats.org/spreadsheetml/2006/main">
  <sheetPr>
    <tabColor rgb="FF9FC5E8"/>
    <outlinePr summaryBelow="1" summaryRight="1"/>
    <pageSetUpPr/>
  </sheetPr>
  <dimension ref="A1:F6"/>
  <sheetViews>
    <sheetView workbookViewId="0">
      <pane ySplit="1" topLeftCell="A2" activePane="bottomLeft" state="frozen"/>
      <selection pane="bottomLeft" activeCell="A1" sqref="A1"/>
    </sheetView>
  </sheetViews>
  <sheetFormatPr baseColWidth="10" defaultColWidth="8.83203125" defaultRowHeight="15"/>
  <cols>
    <col width="17" customWidth="1" min="1" max="1"/>
    <col width="20" customWidth="1" min="2" max="3"/>
    <col width="38" customWidth="1" min="4" max="4"/>
    <col width="37" customWidth="1" min="5" max="5"/>
    <col width="44" customWidth="1" min="6" max="6"/>
  </cols>
  <sheetData>
    <row r="1">
      <c r="A1" s="11" t="inlineStr">
        <is>
          <t>route</t>
        </is>
      </c>
      <c r="B1" s="11" t="inlineStr">
        <is>
          <t>treatment_activity</t>
        </is>
      </c>
      <c r="C1" s="11" t="inlineStr">
        <is>
          <t>cff_factor_applies</t>
        </is>
      </c>
      <c r="D1" s="11" t="inlineStr">
        <is>
          <t>material_credit_activity</t>
        </is>
      </c>
      <c r="E1" s="11" t="inlineStr">
        <is>
          <t>energy_credit_heat_activity</t>
        </is>
      </c>
      <c r="F1" s="11" t="inlineStr">
        <is>
          <t>energy_credit_electricity_activity</t>
        </is>
      </c>
    </row>
    <row r="2">
      <c r="A2" s="12" t="inlineStr">
        <is>
          <t>composted</t>
        </is>
      </c>
      <c r="B2" s="12" t="inlineStr">
        <is>
          <t>waste composting</t>
        </is>
      </c>
      <c r="C2" s="12" t="inlineStr">
        <is>
          <t>True</t>
        </is>
      </c>
      <c r="D2" s="12" t="inlineStr">
        <is>
          <t>avoided burden - composting</t>
        </is>
      </c>
      <c r="E2" s="12" t="n"/>
      <c r="F2" s="12" t="n"/>
    </row>
    <row r="3">
      <c r="A3" s="12" t="inlineStr">
        <is>
          <t>recycled_open</t>
        </is>
      </c>
      <c r="B3" s="12" t="inlineStr">
        <is>
          <t>waste recycling</t>
        </is>
      </c>
      <c r="C3" s="12" t="inlineStr">
        <is>
          <t>True</t>
        </is>
      </c>
      <c r="D3" s="12" t="inlineStr">
        <is>
          <t>avoided burden - open loop recycling</t>
        </is>
      </c>
      <c r="E3" s="12" t="n"/>
      <c r="F3" s="12" t="n"/>
    </row>
    <row r="4">
      <c r="A4" s="12" t="inlineStr">
        <is>
          <t>recycled_closed</t>
        </is>
      </c>
      <c r="B4" s="12" t="inlineStr">
        <is>
          <t>waste recycling</t>
        </is>
      </c>
      <c r="C4" s="12" t="inlineStr">
        <is>
          <t>True</t>
        </is>
      </c>
      <c r="D4" s="12" t="n"/>
      <c r="E4" s="12" t="n"/>
      <c r="F4" s="12" t="n"/>
    </row>
    <row r="5">
      <c r="A5" s="12" t="inlineStr">
        <is>
          <t>incinerated</t>
        </is>
      </c>
      <c r="B5" s="12" t="inlineStr">
        <is>
          <t>waste incineration</t>
        </is>
      </c>
      <c r="C5" s="12" t="inlineStr">
        <is>
          <t>False</t>
        </is>
      </c>
      <c r="D5" s="12" t="n"/>
      <c r="E5" s="12" t="inlineStr">
        <is>
          <t>avoided burden - incineration, heat</t>
        </is>
      </c>
      <c r="F5" s="12" t="inlineStr">
        <is>
          <t>avoided burden - incineration, electricity</t>
        </is>
      </c>
    </row>
    <row r="6">
      <c r="A6" s="12" t="inlineStr">
        <is>
          <t>landfilled</t>
        </is>
      </c>
      <c r="B6" s="12" t="inlineStr">
        <is>
          <t>waste landfilling</t>
        </is>
      </c>
      <c r="C6" s="12" t="inlineStr">
        <is>
          <t>False</t>
        </is>
      </c>
      <c r="D6" s="12" t="n"/>
      <c r="E6" s="12" t="n"/>
      <c r="F6" s="12" t="n"/>
    </row>
  </sheetData>
  <pageMargins left="0.75" right="0.75" top="1" bottom="1" header="0.5" footer="0.5"/>
</worksheet>
</file>

<file path=xl/worksheets/sheet22.xml><?xml version="1.0" encoding="utf-8"?>
<worksheet xmlns="http://schemas.openxmlformats.org/spreadsheetml/2006/main">
  <sheetPr>
    <tabColor rgb="FFF6B26B"/>
    <outlinePr summaryBelow="1" summaryRight="1"/>
    <pageSetUpPr/>
  </sheetPr>
  <dimension ref="A1:E9"/>
  <sheetViews>
    <sheetView workbookViewId="0">
      <pane ySplit="1" topLeftCell="A2" activePane="bottomLeft" state="frozen"/>
      <selection pane="bottomLeft" activeCell="A1" sqref="A1"/>
    </sheetView>
  </sheetViews>
  <sheetFormatPr baseColWidth="10" defaultColWidth="8.83203125" defaultRowHeight="15"/>
  <cols>
    <col width="23" customWidth="1" min="1" max="1"/>
    <col width="14" customWidth="1" min="2" max="2"/>
    <col width="15" customWidth="1" min="3" max="3"/>
    <col width="45" customWidth="1" min="4" max="4"/>
    <col width="42" customWidth="1" min="5" max="5"/>
  </cols>
  <sheetData>
    <row r="1">
      <c r="A1" s="13" t="inlineStr">
        <is>
          <t>constant</t>
        </is>
      </c>
      <c r="B1" s="13" t="inlineStr">
        <is>
          <t>value</t>
        </is>
      </c>
      <c r="C1" s="13" t="inlineStr">
        <is>
          <t>unit</t>
        </is>
      </c>
      <c r="D1" s="13" t="inlineStr">
        <is>
          <t>description</t>
        </is>
      </c>
      <c r="E1" s="13" t="inlineStr">
        <is>
          <t>source</t>
        </is>
      </c>
    </row>
    <row r="2">
      <c r="A2" s="14" t="inlineStr">
        <is>
          <t>time_horizon_yr</t>
        </is>
      </c>
      <c r="B2" s="14" t="n">
        <v>100</v>
      </c>
      <c r="C2" s="14" t="inlineStr">
        <is>
          <t>yrs</t>
        </is>
      </c>
      <c r="D2" s="14" t="inlineStr">
        <is>
          <t>Time horizon of the GWP_bio and dynamic characterisation factors</t>
        </is>
      </c>
      <c r="E2" s="14" t="inlineStr">
        <is>
          <t>Guest et al. 2012; Levasseur et al. 2010</t>
        </is>
      </c>
    </row>
    <row r="3">
      <c r="A3" s="14" t="inlineStr">
        <is>
          <t>transport_distance_km</t>
        </is>
      </c>
      <c r="B3" s="14" t="n">
        <v>50</v>
      </c>
      <c r="C3" s="14" t="inlineStr">
        <is>
          <t>km</t>
        </is>
      </c>
      <c r="D3" s="14" t="inlineStr">
        <is>
          <t>Road-transport distance for collected (co-product, recycled, wild-harvested) materials</t>
        </is>
      </c>
      <c r="E3" s="14" t="inlineStr">
        <is>
          <t>assumption</t>
        </is>
      </c>
    </row>
    <row r="4">
      <c r="A4" s="14" t="inlineStr">
        <is>
          <t>quality_ratio_primary</t>
        </is>
      </c>
      <c r="B4" s="14" t="n">
        <v>1</v>
      </c>
      <c r="C4" s="14" t="inlineStr">
        <is>
          <t>-</t>
        </is>
      </c>
      <c r="D4" s="14" t="inlineStr">
        <is>
          <t>Quality of primary (virgin) material in the circular footprint formula (Qp)</t>
        </is>
      </c>
      <c r="E4" s="14" t="inlineStr">
        <is>
          <t>assumption, no data</t>
        </is>
      </c>
    </row>
    <row r="5">
      <c r="A5" s="14" t="inlineStr">
        <is>
          <t>co2_c_molar_ratio</t>
        </is>
      </c>
      <c r="B5" s="14" t="n">
        <v>3.666667</v>
      </c>
      <c r="C5" s="14" t="inlineStr">
        <is>
          <t>kg CO2 / kg C</t>
        </is>
      </c>
      <c r="D5" s="14" t="inlineStr">
        <is>
          <t>Molar mass ratio CO2 to C (44 / 12)</t>
        </is>
      </c>
      <c r="E5" s="14" t="inlineStr">
        <is>
          <t>physical constant</t>
        </is>
      </c>
    </row>
    <row r="6">
      <c r="A6" s="14" t="inlineStr">
        <is>
          <t>mj_per_kwh</t>
        </is>
      </c>
      <c r="B6" s="14" t="n">
        <v>3.6</v>
      </c>
      <c r="C6" s="14" t="inlineStr">
        <is>
          <t>MJ/kWh</t>
        </is>
      </c>
      <c r="D6" s="14" t="inlineStr">
        <is>
          <t>Unit conversion for the incineration electricity credit</t>
        </is>
      </c>
      <c r="E6" s="14" t="inlineStr">
        <is>
          <t>physical constant</t>
        </is>
      </c>
    </row>
    <row r="7">
      <c r="A7" s="14" t="inlineStr">
        <is>
          <t>machine_wear_activity</t>
        </is>
      </c>
      <c r="B7" s="14" t="inlineStr">
        <is>
          <t>machine wear</t>
        </is>
      </c>
      <c r="C7" s="14" t="inlineStr">
        <is>
          <t>-</t>
        </is>
      </c>
      <c r="D7" s="14" t="inlineStr">
        <is>
          <t>Activity (in unit_burdens_dataSources) that gives the burden of one kg of machine wear</t>
        </is>
      </c>
      <c r="E7" s="14" t="n"/>
    </row>
    <row r="8">
      <c r="A8" s="14" t="inlineStr">
        <is>
          <t>electricity_activity</t>
        </is>
      </c>
      <c r="B8" s="14" t="inlineStr">
        <is>
          <t>energy use</t>
        </is>
      </c>
      <c r="C8" s="14" t="inlineStr">
        <is>
          <t>-</t>
        </is>
      </c>
      <c r="D8" s="14" t="inlineStr">
        <is>
          <t>Activity (in unit_burdens_dataSources) that gives the burden of one kWh of electricity, per country</t>
        </is>
      </c>
      <c r="E8" s="14" t="n"/>
    </row>
    <row r="9">
      <c r="A9" s="14" t="inlineStr">
        <is>
          <t>raw_product_eol_row</t>
        </is>
      </c>
      <c r="B9" s="14" t="inlineStr">
        <is>
          <t>RAW product</t>
        </is>
      </c>
      <c r="C9" s="14" t="inlineStr">
        <is>
          <t>-</t>
        </is>
      </c>
      <c r="D9" s="14" t="inlineStr">
        <is>
          <t>Row of the EoL_constants tab that gives the allocation factor, quality ratio, LHV and conversion efficiencies used for RAW products</t>
        </is>
      </c>
      <c r="E9" s="14" t="n"/>
    </row>
  </sheetData>
  <pageMargins left="0.75" right="0.75" top="1" bottom="1" header="0.5" footer="0.5"/>
</worksheet>
</file>

<file path=xl/worksheets/sheet23.xml><?xml version="1.0" encoding="utf-8"?>
<worksheet xmlns="http://schemas.openxmlformats.org/spreadsheetml/2006/main">
  <sheetPr>
    <tabColor rgb="FFF6B26B"/>
    <outlinePr summaryBelow="1" summaryRight="1"/>
    <pageSetUpPr/>
  </sheetPr>
  <dimension ref="A1:M12"/>
  <sheetViews>
    <sheetView workbookViewId="0">
      <pane ySplit="1" topLeftCell="A2" activePane="bottomLeft" state="frozen"/>
      <selection pane="bottomLeft" activeCell="A1" sqref="A1"/>
    </sheetView>
  </sheetViews>
  <sheetFormatPr baseColWidth="10" defaultColWidth="8.83203125" defaultRowHeight="15"/>
  <cols>
    <col width="20" customWidth="1" min="1" max="1"/>
    <col width="13" customWidth="1" min="2" max="2"/>
    <col width="14" customWidth="1" min="3" max="11"/>
    <col width="15" customWidth="1" min="12" max="12"/>
    <col width="45" customWidth="1" min="13" max="13"/>
  </cols>
  <sheetData>
    <row r="1">
      <c r="A1" s="13" t="inlineStr">
        <is>
          <t>rotation_period_yr</t>
        </is>
      </c>
      <c r="B1" s="13" t="inlineStr">
        <is>
          <t>storage_0yr</t>
        </is>
      </c>
      <c r="C1" s="13" t="inlineStr">
        <is>
          <t>storage_10yr</t>
        </is>
      </c>
      <c r="D1" s="13" t="inlineStr">
        <is>
          <t>storage_20yr</t>
        </is>
      </c>
      <c r="E1" s="13" t="inlineStr">
        <is>
          <t>storage_30yr</t>
        </is>
      </c>
      <c r="F1" s="13" t="inlineStr">
        <is>
          <t>storage_40yr</t>
        </is>
      </c>
      <c r="G1" s="13" t="inlineStr">
        <is>
          <t>storage_50yr</t>
        </is>
      </c>
      <c r="H1" s="13" t="inlineStr">
        <is>
          <t>storage_60yr</t>
        </is>
      </c>
      <c r="I1" s="13" t="inlineStr">
        <is>
          <t>storage_70yr</t>
        </is>
      </c>
      <c r="J1" s="13" t="inlineStr">
        <is>
          <t>storage_80yr</t>
        </is>
      </c>
      <c r="K1" s="13" t="inlineStr">
        <is>
          <t>storage_90yr</t>
        </is>
      </c>
      <c r="L1" s="13" t="inlineStr">
        <is>
          <t>storage_100yr</t>
        </is>
      </c>
      <c r="M1" s="13" t="inlineStr">
        <is>
          <t>source</t>
        </is>
      </c>
    </row>
    <row r="2">
      <c r="A2" s="14" t="n">
        <v>1</v>
      </c>
      <c r="B2" s="14" t="n">
        <v>0</v>
      </c>
      <c r="C2" s="14" t="n">
        <v>-0.07000000000000001</v>
      </c>
      <c r="D2" s="14" t="n">
        <v>-0.15</v>
      </c>
      <c r="E2" s="14" t="n">
        <v>-0.23</v>
      </c>
      <c r="F2" s="14" t="n">
        <v>-0.32</v>
      </c>
      <c r="G2" s="14" t="n">
        <v>-0.4</v>
      </c>
      <c r="H2" s="14" t="n">
        <v>-0.5</v>
      </c>
      <c r="I2" s="14" t="n">
        <v>-0.6</v>
      </c>
      <c r="J2" s="14" t="n">
        <v>-0.71</v>
      </c>
      <c r="K2" s="14" t="n">
        <v>-0.84</v>
      </c>
      <c r="L2" s="14" t="n">
        <v>-0.99</v>
      </c>
      <c r="M2" s="14" t="inlineStr">
        <is>
          <t>Guest et al. (2012), Table 1, 100-yr time horizon</t>
        </is>
      </c>
    </row>
    <row r="3">
      <c r="A3" s="14" t="n">
        <v>10</v>
      </c>
      <c r="B3" s="14" t="n">
        <v>0.04</v>
      </c>
      <c r="C3" s="14" t="n">
        <v>-0.04</v>
      </c>
      <c r="D3" s="14" t="n">
        <v>-0.12</v>
      </c>
      <c r="E3" s="14" t="n">
        <v>-0.2</v>
      </c>
      <c r="F3" s="14" t="n">
        <v>-0.28</v>
      </c>
      <c r="G3" s="14" t="n">
        <v>-0.37</v>
      </c>
      <c r="H3" s="14" t="n">
        <v>-0.46</v>
      </c>
      <c r="I3" s="14" t="n">
        <v>-0.57</v>
      </c>
      <c r="J3" s="14" t="n">
        <v>-0.68</v>
      </c>
      <c r="K3" s="14" t="n">
        <v>-0.8</v>
      </c>
      <c r="L3" s="14" t="n">
        <v>-0.96</v>
      </c>
      <c r="M3" s="14" t="inlineStr">
        <is>
          <t>Guest et al. (2012), Table 1, 100-yr time horizon</t>
        </is>
      </c>
    </row>
    <row r="4">
      <c r="A4" s="14" t="n">
        <v>20</v>
      </c>
      <c r="B4" s="14" t="n">
        <v>0.08</v>
      </c>
      <c r="C4" s="14" t="n">
        <v>0</v>
      </c>
      <c r="D4" s="14" t="n">
        <v>-0.08</v>
      </c>
      <c r="E4" s="14" t="n">
        <v>-0.16</v>
      </c>
      <c r="F4" s="14" t="n">
        <v>-0.24</v>
      </c>
      <c r="G4" s="14" t="n">
        <v>-0.33</v>
      </c>
      <c r="H4" s="14" t="n">
        <v>-0.42</v>
      </c>
      <c r="I4" s="14" t="n">
        <v>-0.53</v>
      </c>
      <c r="J4" s="14" t="n">
        <v>-0.64</v>
      </c>
      <c r="K4" s="14" t="n">
        <v>-0.76</v>
      </c>
      <c r="L4" s="14" t="n">
        <v>-0.92</v>
      </c>
      <c r="M4" s="14" t="inlineStr">
        <is>
          <t>Guest et al. (2012), Table 1, 100-yr time horizon</t>
        </is>
      </c>
    </row>
    <row r="5">
      <c r="A5" s="14" t="n">
        <v>30</v>
      </c>
      <c r="B5" s="14" t="n">
        <v>0.12</v>
      </c>
      <c r="C5" s="14" t="n">
        <v>0.04</v>
      </c>
      <c r="D5" s="14" t="n">
        <v>-0.04</v>
      </c>
      <c r="E5" s="14" t="n">
        <v>-0.12</v>
      </c>
      <c r="F5" s="14" t="n">
        <v>-0.2</v>
      </c>
      <c r="G5" s="14" t="n">
        <v>-0.29</v>
      </c>
      <c r="H5" s="14" t="n">
        <v>-0.38</v>
      </c>
      <c r="I5" s="14" t="n">
        <v>-0.48</v>
      </c>
      <c r="J5" s="14" t="n">
        <v>-0.6</v>
      </c>
      <c r="K5" s="14" t="n">
        <v>-0.72</v>
      </c>
      <c r="L5" s="14" t="n">
        <v>-0.88</v>
      </c>
      <c r="M5" s="14" t="inlineStr">
        <is>
          <t>Guest et al. (2012), Table 1, 100-yr time horizon</t>
        </is>
      </c>
    </row>
    <row r="6">
      <c r="A6" s="14" t="n">
        <v>40</v>
      </c>
      <c r="B6" s="14" t="n">
        <v>0.16</v>
      </c>
      <c r="C6" s="14" t="n">
        <v>0.09</v>
      </c>
      <c r="D6" s="14" t="n">
        <v>0.01</v>
      </c>
      <c r="E6" s="14" t="n">
        <v>-0.08</v>
      </c>
      <c r="F6" s="14" t="n">
        <v>-0.16</v>
      </c>
      <c r="G6" s="14" t="n">
        <v>-0.25</v>
      </c>
      <c r="H6" s="14" t="n">
        <v>-0.34</v>
      </c>
      <c r="I6" s="14" t="n">
        <v>-0.44</v>
      </c>
      <c r="J6" s="14" t="n">
        <v>-0.55</v>
      </c>
      <c r="K6" s="14" t="n">
        <v>-0.68</v>
      </c>
      <c r="L6" s="14" t="n">
        <v>-0.84</v>
      </c>
      <c r="M6" s="14" t="inlineStr">
        <is>
          <t>Guest et al. (2012), Table 1, 100-yr time horizon</t>
        </is>
      </c>
    </row>
    <row r="7">
      <c r="A7" s="14" t="n">
        <v>50</v>
      </c>
      <c r="B7" s="14" t="n">
        <v>0.2</v>
      </c>
      <c r="C7" s="14" t="n">
        <v>0.13</v>
      </c>
      <c r="D7" s="14" t="n">
        <v>0.05</v>
      </c>
      <c r="E7" s="14" t="n">
        <v>-0.03</v>
      </c>
      <c r="F7" s="14" t="n">
        <v>-0.12</v>
      </c>
      <c r="G7" s="14" t="n">
        <v>-0.21</v>
      </c>
      <c r="H7" s="14" t="n">
        <v>-0.3</v>
      </c>
      <c r="I7" s="14" t="n">
        <v>-0.4</v>
      </c>
      <c r="J7" s="14" t="n">
        <v>-0.51</v>
      </c>
      <c r="K7" s="14" t="n">
        <v>-0.64</v>
      </c>
      <c r="L7" s="14" t="n">
        <v>-0.8</v>
      </c>
      <c r="M7" s="14" t="inlineStr">
        <is>
          <t>Guest et al. (2012), Table 1, 100-yr time horizon</t>
        </is>
      </c>
    </row>
    <row r="8">
      <c r="A8" s="14" t="n">
        <v>60</v>
      </c>
      <c r="B8" s="14" t="n">
        <v>0.25</v>
      </c>
      <c r="C8" s="14" t="n">
        <v>0.17</v>
      </c>
      <c r="D8" s="14" t="n">
        <v>0.09</v>
      </c>
      <c r="E8" s="14" t="n">
        <v>0.01</v>
      </c>
      <c r="F8" s="14" t="n">
        <v>-0.07000000000000001</v>
      </c>
      <c r="G8" s="14" t="n">
        <v>-0.16</v>
      </c>
      <c r="H8" s="14" t="n">
        <v>-0.26</v>
      </c>
      <c r="I8" s="14" t="n">
        <v>-0.36</v>
      </c>
      <c r="J8" s="14" t="n">
        <v>-0.47</v>
      </c>
      <c r="K8" s="14" t="n">
        <v>-0.59</v>
      </c>
      <c r="L8" s="14" t="n">
        <v>-0.75</v>
      </c>
      <c r="M8" s="14" t="inlineStr">
        <is>
          <t>Guest et al. (2012), Table 1, 100-yr time horizon</t>
        </is>
      </c>
    </row>
    <row r="9">
      <c r="A9" s="14" t="n">
        <v>70</v>
      </c>
      <c r="B9" s="14" t="n">
        <v>0.29</v>
      </c>
      <c r="C9" s="14" t="n">
        <v>0.22</v>
      </c>
      <c r="D9" s="14" t="n">
        <v>0.14</v>
      </c>
      <c r="E9" s="14" t="n">
        <v>0.06</v>
      </c>
      <c r="F9" s="14" t="n">
        <v>-0.03</v>
      </c>
      <c r="G9" s="14" t="n">
        <v>-0.12</v>
      </c>
      <c r="H9" s="14" t="n">
        <v>-0.21</v>
      </c>
      <c r="I9" s="14" t="n">
        <v>-0.31</v>
      </c>
      <c r="J9" s="14" t="n">
        <v>-0.42</v>
      </c>
      <c r="K9" s="14" t="n">
        <v>-0.55</v>
      </c>
      <c r="L9" s="14" t="n">
        <v>-0.71</v>
      </c>
      <c r="M9" s="14" t="inlineStr">
        <is>
          <t>Guest et al. (2012), Table 1, 100-yr time horizon</t>
        </is>
      </c>
    </row>
    <row r="10">
      <c r="A10" s="14" t="n">
        <v>80</v>
      </c>
      <c r="B10" s="14" t="n">
        <v>0.34</v>
      </c>
      <c r="C10" s="14" t="n">
        <v>0.26</v>
      </c>
      <c r="D10" s="14" t="n">
        <v>0.18</v>
      </c>
      <c r="E10" s="14" t="n">
        <v>0.1</v>
      </c>
      <c r="F10" s="14" t="n">
        <v>0.02</v>
      </c>
      <c r="G10" s="14" t="n">
        <v>-0.07000000000000001</v>
      </c>
      <c r="H10" s="14" t="n">
        <v>-0.17</v>
      </c>
      <c r="I10" s="14" t="n">
        <v>-0.27</v>
      </c>
      <c r="J10" s="14" t="n">
        <v>-0.38</v>
      </c>
      <c r="K10" s="14" t="n">
        <v>-0.5</v>
      </c>
      <c r="L10" s="14" t="n">
        <v>-0.66</v>
      </c>
      <c r="M10" s="14" t="inlineStr">
        <is>
          <t>Guest et al. (2012), Table 1, 100-yr time horizon</t>
        </is>
      </c>
    </row>
    <row r="11">
      <c r="A11" s="14" t="n">
        <v>90</v>
      </c>
      <c r="B11" s="14" t="n">
        <v>0.38</v>
      </c>
      <c r="C11" s="14" t="n">
        <v>0.31</v>
      </c>
      <c r="D11" s="14" t="n">
        <v>0.23</v>
      </c>
      <c r="E11" s="14" t="n">
        <v>0.15</v>
      </c>
      <c r="F11" s="14" t="n">
        <v>0.06</v>
      </c>
      <c r="G11" s="14" t="n">
        <v>-0.03</v>
      </c>
      <c r="H11" s="14" t="n">
        <v>-0.12</v>
      </c>
      <c r="I11" s="14" t="n">
        <v>-0.22</v>
      </c>
      <c r="J11" s="14" t="n">
        <v>-0.33</v>
      </c>
      <c r="K11" s="14" t="n">
        <v>-0.46</v>
      </c>
      <c r="L11" s="14" t="n">
        <v>-0.62</v>
      </c>
      <c r="M11" s="14" t="inlineStr">
        <is>
          <t>Guest et al. (2012), Table 1, 100-yr time horizon</t>
        </is>
      </c>
    </row>
    <row r="12">
      <c r="A12" s="14" t="n">
        <v>100</v>
      </c>
      <c r="B12" s="14" t="n">
        <v>0.44</v>
      </c>
      <c r="C12" s="14" t="n">
        <v>0.37</v>
      </c>
      <c r="D12" s="14" t="n">
        <v>0.29</v>
      </c>
      <c r="E12" s="14" t="n">
        <v>0.21</v>
      </c>
      <c r="F12" s="14" t="n">
        <v>0.12</v>
      </c>
      <c r="G12" s="14" t="n">
        <v>0.032</v>
      </c>
      <c r="H12" s="14" t="n">
        <v>-0.06</v>
      </c>
      <c r="I12" s="14" t="n">
        <v>-0.16</v>
      </c>
      <c r="J12" s="14" t="n">
        <v>-0.27</v>
      </c>
      <c r="K12" s="14" t="n">
        <v>-0.4</v>
      </c>
      <c r="L12" s="14" t="n">
        <v>-0.5600000000000001</v>
      </c>
      <c r="M12" s="14" t="inlineStr">
        <is>
          <t>Guest et al. (2012), Table 1, 100-yr time horizon</t>
        </is>
      </c>
    </row>
  </sheetData>
  <pageMargins left="0.75" right="0.75" top="1" bottom="1" header="0.5" footer="0.5"/>
</worksheet>
</file>

<file path=xl/worksheets/sheet24.xml><?xml version="1.0" encoding="utf-8"?>
<worksheet xmlns="http://schemas.openxmlformats.org/spreadsheetml/2006/main">
  <sheetPr>
    <tabColor rgb="FFF6B26B"/>
    <outlinePr summaryBelow="1" summaryRight="1"/>
    <pageSetUpPr/>
  </sheetPr>
  <dimension ref="A1:D5"/>
  <sheetViews>
    <sheetView workbookViewId="0">
      <pane ySplit="1" topLeftCell="A2" activePane="bottomLeft" state="frozen"/>
      <selection pane="bottomLeft" activeCell="A1" sqref="A1"/>
    </sheetView>
  </sheetViews>
  <sheetFormatPr baseColWidth="10" defaultColWidth="8.83203125" defaultRowHeight="15"/>
  <cols>
    <col width="8" customWidth="1" min="1" max="1"/>
    <col width="15" customWidth="1" min="2" max="2"/>
    <col width="22" customWidth="1" min="3" max="3"/>
    <col width="45" customWidth="1" min="4" max="4"/>
  </cols>
  <sheetData>
    <row r="1">
      <c r="A1" s="13" t="inlineStr">
        <is>
          <t>term</t>
        </is>
      </c>
      <c r="B1" s="13" t="inlineStr">
        <is>
          <t>coefficient_a</t>
        </is>
      </c>
      <c r="C1" s="13" t="inlineStr">
        <is>
          <t>time_constant_tau_yr</t>
        </is>
      </c>
      <c r="D1" s="13" t="inlineStr">
        <is>
          <t>source</t>
        </is>
      </c>
    </row>
    <row r="2">
      <c r="A2" s="14" t="inlineStr">
        <is>
          <t>a0</t>
        </is>
      </c>
      <c r="B2" s="14" t="n">
        <v>0.217</v>
      </c>
      <c r="C2" s="14" t="n"/>
      <c r="D2" s="14" t="inlineStr">
        <is>
          <t>Bern carbon cycle model, Forster et al. 2007 via Levasseur et al. 2010 eq. 3</t>
        </is>
      </c>
    </row>
    <row r="3">
      <c r="A3" s="14" t="inlineStr">
        <is>
          <t>a1</t>
        </is>
      </c>
      <c r="B3" s="14" t="n">
        <v>0.259</v>
      </c>
      <c r="C3" s="14" t="n">
        <v>172.9</v>
      </c>
      <c r="D3" s="14" t="inlineStr">
        <is>
          <t>Bern carbon cycle model, Forster et al. 2007 via Levasseur et al. 2010 eq. 3</t>
        </is>
      </c>
    </row>
    <row r="4">
      <c r="A4" s="14" t="inlineStr">
        <is>
          <t>a2</t>
        </is>
      </c>
      <c r="B4" s="14" t="n">
        <v>0.338</v>
      </c>
      <c r="C4" s="14" t="n">
        <v>18.51</v>
      </c>
      <c r="D4" s="14" t="inlineStr">
        <is>
          <t>Bern carbon cycle model, Forster et al. 2007 via Levasseur et al. 2010 eq. 3</t>
        </is>
      </c>
    </row>
    <row r="5">
      <c r="A5" s="14" t="inlineStr">
        <is>
          <t>a3</t>
        </is>
      </c>
      <c r="B5" s="14" t="n">
        <v>0.186</v>
      </c>
      <c r="C5" s="14" t="n">
        <v>1.186</v>
      </c>
      <c r="D5" s="14" t="inlineStr">
        <is>
          <t>Bern carbon cycle model, Forster et al. 2007 via Levasseur et al. 2010 eq.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2026-09-25T12:10:23Z</dcterms:created>
  <dcterms:modified xmlns:dcterms="http://purl.org/dc/terms/" xmlns:xsi="http://www.w3.org/2001/XMLSchema-instance" xsi:type="dcterms:W3CDTF">2026-09-30T07:55:00Z</dcterms:modified>
  <cp:lastModifiedBy>Tsui, T.P.Y. (Tanya)</cp:lastModifiedBy>
</cp:coreProperties>
</file>
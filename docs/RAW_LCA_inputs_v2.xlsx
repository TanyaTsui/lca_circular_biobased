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https://leidenuniv1-my.sharepoint.com/personal/tsuitpy_vuw_leidenuniv_nl/Documents/01_Projects/RAW/biobased_construction_impact_calculator/docs/"/>
    </mc:Choice>
  </mc:AlternateContent>
  <xr:revisionPtr revIDLastSave="10" documentId="11_1700F8A4A27DF26EBE41B4CA1EC521E2EF14E757" xr6:coauthVersionLast="47" xr6:coauthVersionMax="47" xr10:uidLastSave="{1D304CB0-6A85-8B44-A63C-C1D2CE0936B6}"/>
  <bookViews>
    <workbookView xWindow="32920" yWindow="980" windowWidth="29400" windowHeight="18460" firstSheet="2" activeTab="9" xr2:uid="{00000000-000D-0000-FFFF-FFFF00000000}"/>
  </bookViews>
  <sheets>
    <sheet name="README" sheetId="1" r:id="rId1"/>
    <sheet name="fu_comparison" sheetId="2" r:id="rId2"/>
    <sheet name="study_setup" sheetId="3" r:id="rId3"/>
    <sheet name="impact_categories" sheetId="4" r:id="rId4"/>
    <sheet name="scenarios" sheetId="5" r:id="rId5"/>
    <sheet name="lci_raw_biopol" sheetId="6" r:id="rId6"/>
    <sheet name="lci_raw_timber" sheetId="7" r:id="rId7"/>
    <sheet name="lci_raw_cfw" sheetId="8" r:id="rId8"/>
    <sheet name="lci_raw_knit" sheetId="9" r:id="rId9"/>
    <sheet name="lci_baselines" sheetId="10" r:id="rId10"/>
    <sheet name="unit_burdens_dataSources" sheetId="12" r:id="rId11"/>
    <sheet name="product_size_formulas" sheetId="11" r:id="rId12"/>
    <sheet name="benefits_constants_dataSources" sheetId="13" r:id="rId13"/>
    <sheet name="EoL_constants" sheetId="14" r:id="rId14"/>
    <sheet name="eol_routes" sheetId="15" r:id="rId15"/>
    <sheet name="constants" sheetId="16" r:id="rId16"/>
    <sheet name="gwpbio_table" sheetId="17" r:id="rId17"/>
    <sheet name="dcf_bern" sheetId="18" r:id="rId18"/>
  </sheets>
  <calcPr calcId="0"/>
</workbook>
</file>

<file path=xl/sharedStrings.xml><?xml version="1.0" encoding="utf-8"?>
<sst xmlns="http://schemas.openxmlformats.org/spreadsheetml/2006/main" count="3381" uniqueCount="669">
  <si>
    <t>case</t>
  </si>
  <si>
    <t>group</t>
  </si>
  <si>
    <t>stage</t>
  </si>
  <si>
    <t>item</t>
  </si>
  <si>
    <t>qualifier</t>
  </si>
  <si>
    <t>parameter</t>
  </si>
  <si>
    <t>description</t>
  </si>
  <si>
    <t>unit</t>
  </si>
  <si>
    <t>typical</t>
  </si>
  <si>
    <t>min</t>
  </si>
  <si>
    <t>max</t>
  </si>
  <si>
    <t>scaled_up</t>
  </si>
  <si>
    <t>distribution</t>
  </si>
  <si>
    <t>choices</t>
  </si>
  <si>
    <t>source</t>
  </si>
  <si>
    <t>status</t>
  </si>
  <si>
    <t>comments</t>
  </si>
  <si>
    <t>raw_timber</t>
  </si>
  <si>
    <t>design</t>
  </si>
  <si>
    <t>product size</t>
  </si>
  <si>
    <t>product</t>
  </si>
  <si>
    <t>depth_ratio</t>
  </si>
  <si>
    <t>Beam span divided by beam depth</t>
  </si>
  <si>
    <t>-</t>
  </si>
  <si>
    <t>triangular</t>
  </si>
  <si>
    <t>product_LCIs formula (previous version of the sheet)</t>
  </si>
  <si>
    <t>placeholder</t>
  </si>
  <si>
    <t>width_ratio</t>
  </si>
  <si>
    <t>Beam depth divided by beam width</t>
  </si>
  <si>
    <t>density</t>
  </si>
  <si>
    <t>Density of the finished timber beam</t>
  </si>
  <si>
    <t>kg/m3</t>
  </si>
  <si>
    <t>production</t>
  </si>
  <si>
    <t>Hard wood</t>
  </si>
  <si>
    <t>recycled</t>
  </si>
  <si>
    <t>share of input mass</t>
  </si>
  <si>
    <t>Share of the production input mass made of this material (recycled); the shares of one stage add up to 100 %</t>
  </si>
  <si>
    <t>%</t>
  </si>
  <si>
    <t>repair</t>
  </si>
  <si>
    <t>Share of the repair input mass made of this material (recycled); the shares of one stage add up to 100 %</t>
  </si>
  <si>
    <t>manufacturing</t>
  </si>
  <si>
    <t>Scanning</t>
  </si>
  <si>
    <t>machine weight</t>
  </si>
  <si>
    <t>Weight of the machine used in this step (used to account for machine wear)</t>
  </si>
  <si>
    <t>kg</t>
  </si>
  <si>
    <t>HTML tool preset (placeholder)</t>
  </si>
  <si>
    <t>power</t>
  </si>
  <si>
    <t>Electric power the machine draws while running</t>
  </si>
  <si>
    <t>kW</t>
  </si>
  <si>
    <t>output rate</t>
  </si>
  <si>
    <t>Mass of material the machine processes per hour</t>
  </si>
  <si>
    <t>kg/hr</t>
  </si>
  <si>
    <t>machine lifetime</t>
  </si>
  <si>
    <t>Operating hours before the machine is worn out</t>
  </si>
  <si>
    <t>hrs</t>
  </si>
  <si>
    <t>process yield</t>
  </si>
  <si>
    <t>Share of the material entering this step that leaves it as usable output (the rest is waste)</t>
  </si>
  <si>
    <t>machine source</t>
  </si>
  <si>
    <t>Whether the machine is new (virgin) or reused/recycled (recycled)</t>
  </si>
  <si>
    <t>virgin</t>
  </si>
  <si>
    <t>choice</t>
  </si>
  <si>
    <t>virgin;recycled</t>
  </si>
  <si>
    <t>CNC milling</t>
  </si>
  <si>
    <t>circularity</t>
  </si>
  <si>
    <t>use</t>
  </si>
  <si>
    <t>expected lifetime</t>
  </si>
  <si>
    <t>Years the product lasts before any repair</t>
  </si>
  <si>
    <t>yrs</t>
  </si>
  <si>
    <t>lifetime extension per repair</t>
  </si>
  <si>
    <t>Years added to the product's life by one repair</t>
  </si>
  <si>
    <t>repair material</t>
  </si>
  <si>
    <t>share of product mass per repair</t>
  </si>
  <si>
    <t>Mass of material added per repair, as a share of the product mass</t>
  </si>
  <si>
    <t>end-of-life</t>
  </si>
  <si>
    <t>waste</t>
  </si>
  <si>
    <t>composted</t>
  </si>
  <si>
    <t>share of waste</t>
  </si>
  <si>
    <t>Share of the product's end-of-life mass that goes to this route (the routes add up to 100 %): composted</t>
  </si>
  <si>
    <t>fixed</t>
  </si>
  <si>
    <t>recycled_open</t>
  </si>
  <si>
    <t>Share of the product's end-of-life mass that goes to this route (the routes add up to 100 %): recycled (open loop)</t>
  </si>
  <si>
    <t>recycled_closed</t>
  </si>
  <si>
    <t>Share of the product's end-of-life mass that goes to this route (the routes add up to 100 %): recycled (closed loop)</t>
  </si>
  <si>
    <t>incinerated</t>
  </si>
  <si>
    <t>Share of the product's end-of-life mass that goes to this route (the routes add up to 100 %): incinerated with energy recovery</t>
  </si>
  <si>
    <t>landfilled</t>
  </si>
  <si>
    <t>Share of the product's end-of-life mass that goes to this route (the routes add up to 100 %): landfilled</t>
  </si>
  <si>
    <t>location</t>
  </si>
  <si>
    <t>general</t>
  </si>
  <si>
    <t>Country whose electricity mix is used for every process step, and whose grid is displaced by energy recovered at end of life</t>
  </si>
  <si>
    <t>country code</t>
  </si>
  <si>
    <t>NL</t>
  </si>
  <si>
    <t>topic</t>
  </si>
  <si>
    <t>explanation</t>
  </si>
  <si>
    <t>RAW LCA inputs (v2)</t>
  </si>
  <si>
    <t>All numbers of the RAW comparative LCA live in this workbook. The model reads it (via a snapshot saved in the code repository), so every value you enter is used in the results. Nothing is hidden in the code.</t>
  </si>
  <si>
    <t>Tab groups</t>
  </si>
  <si>
    <t>Tabs are grouped and ordered by their role in the LCA; each group has its own colour (tab, header row and cells). The lci_raw_* tabs are filled in by the case partners; all other tabs are maintained by the LCA team - please do not edit them, ask instead.</t>
  </si>
  <si>
    <t>1 Goal and scope (purple)</t>
  </si>
  <si>
    <t>fu_comparison, study_setup, impact_categories, scenarios</t>
  </si>
  <si>
    <t>2 Life cycle inventories (LCI) (teal)</t>
  </si>
  <si>
    <t>lci_raw_biopol, lci_raw_timber, lci_raw_cfw, lci_raw_knit, lci_baselines</t>
  </si>
  <si>
    <t>3 Product size (parametric LCA) (green)</t>
  </si>
  <si>
    <t>product_size_formulas</t>
  </si>
  <si>
    <t>4 Data sources and end-of-life constants (blue)</t>
  </si>
  <si>
    <t>unit_burdens_dataSources, benefits_constants_dataSources, EoL_constants, eol_routes</t>
  </si>
  <si>
    <t>5 Modelling constants (orange)</t>
  </si>
  <si>
    <t>constants, gwpbio_table, dcf_bern</t>
  </si>
  <si>
    <t>fu_comparison</t>
  </si>
  <si>
    <t>One row per RAW case: its functional unit (name, function, service life over which it is compared with its baselines), its quantifier (e.g. beam span in m), and the baseline products (conventional bio-based / conventional fossil-based) it is compared with.</t>
  </si>
  <si>
    <t>RAW case LCI tabs</t>
  </si>
  <si>
    <t>lci_raw_biopol, lci_raw_timber, lci_raw_cfw, lci_raw_knit: one row = one number of your prototype. Fill in `typical`, `min`, `max`, `source` and set `status` for every row. Fill `scaled_up` only for production steps that should use different values at large scale (see 'Scaling up a machine' below).</t>
  </si>
  <si>
    <t>Baseline LCI tab</t>
  </si>
  <si>
    <t>lci_baselines: one row = one input or output per kg of product. production rows: materials and other inputs (item = an activity on unit_burdens_dataSources). end-of-life rows: item = the waste treatment (an activity on unit_burdens_dataSources with an eol_type), qualifier = the material that is treated (a row of EoL_constants, which gives its allocation factor, quality ratio and heating value for the circular footprint formula). The product_size_formulas tab gives the kg of product, from the product size rows.</t>
  </si>
  <si>
    <t>Product size rows</t>
  </si>
  <si>
    <t>Rows with stage 'product size' are the constants in the case's formula on product_size_formulas (e.g. fibre_length_per_span, areal_density, density), with a typical value and a range like any other number. On the lci_raw_* tabs they are in the design group, so better designs show up in the sensitivity analysis; on lci_baselines they vary in the uncertainty analysis only. wall_height is part of the functional unit: it is fixed and must be equal for the compared walls.</t>
  </si>
  <si>
    <t>(lci_raw_* tabs only) design = what the product is made of; manufacturing = machines, loading, yield; circularity = lifetime, repair, end of life; location = which country's electricity. The groups are used in the sensitivity analysis, which covers the RAW cases only.</t>
  </si>
  <si>
    <t>typical / min / max</t>
  </si>
  <si>
    <t>typical = your best estimate. min and max = how low / high it could realistically be. If a number is fixed, set min = max = typical. Rows with missing min/max are highlighted in red; they are treated as fixed.</t>
  </si>
  <si>
    <t>triangular (typical is the most likely value), uniform, fixed, or choice (for text values such as a country code or virgin/recycled).</t>
  </si>
  <si>
    <t>source / status</t>
  </si>
  <si>
    <t>source = where the number comes from (measurement, colleague, paper, datasheet). status: placeholder (first guess by the LCA team, highlighted yellow), partner estimate, measured, literature.</t>
  </si>
  <si>
    <t>stage / item</t>
  </si>
  <si>
    <t>stage = product size (the constants in the product_size_formulas formula), production, repair, use, end-of-life, or general (the location row). item = the material, the process step, 'product' or 'waste' the number belongs to. The order of process steps is the order of the rows.</t>
  </si>
  <si>
    <t>Shares</t>
  </si>
  <si>
    <t>Bill-of-materials shares and end-of-life shares of one stage should add up to 100 %. The model re-normalises them.</t>
  </si>
  <si>
    <t>Process yield</t>
  </si>
  <si>
    <t>Share of the material entering a step that leaves it as good output (the rest becomes waste). Output rate = kg processed per hour. Machine lifetime = operating hours.</t>
  </si>
  <si>
    <t>Repairs</t>
  </si>
  <si>
    <t>The number of repair events is not entered: it is the smallest number of repairs that makes the product last the service life of its functional unit (fu_comparison), i.e. (service life - expected lifetime) / lifetime extension per repair, rounded up, and 0 if the expected lifetime already reaches it.</t>
  </si>
  <si>
    <t>Scaling up a machine</t>
  </si>
  <si>
    <t>A production step is scaled up if its `scaled_up` cells are filled in (machine weight, power, output rate, machine lifetime, all four); the model uses those values instead of the prototype ones for that step in the 'scaled up' variant. Leave `scaled_up` blank to keep the step at prototype scale.</t>
  </si>
  <si>
    <t>Do not</t>
  </si>
  <si>
    <t>Do not rename tabs or columns, and do not delete rows without asking: the model reads them by name. You may add rows: copy a row of the same kind and change `item` (a new material must exist on tab unit_burdens_dataSources).</t>
  </si>
  <si>
    <t>Version</t>
  </si>
  <si>
    <t>v2, 2026-09-25. Initial values are first guesses by the LCA team (status = placeholder) and must be replaced by the partners. Method description: docs/methods.md in the code repository.</t>
  </si>
  <si>
    <t>raw_case</t>
  </si>
  <si>
    <t>fu_name</t>
  </si>
  <si>
    <t>function</t>
  </si>
  <si>
    <t>service_life</t>
  </si>
  <si>
    <t>service_life_unit</t>
  </si>
  <si>
    <t>quantifier_label</t>
  </si>
  <si>
    <t>quantifier_unit</t>
  </si>
  <si>
    <t>baseline_biobased</t>
  </si>
  <si>
    <t>baseline_fossil</t>
  </si>
  <si>
    <t>Structural beam (reclaimed timber CNC beam vs. baselines)</t>
  </si>
  <si>
    <t>Structural beam spanning between two supports</t>
  </si>
  <si>
    <t>beam span</t>
  </si>
  <si>
    <t>m</t>
  </si>
  <si>
    <t>glulam beam</t>
  </si>
  <si>
    <t>reinforced concrete beam</t>
  </si>
  <si>
    <t>raw_cfw</t>
  </si>
  <si>
    <t>Structural beam (coreless filament winding vs. baselines)</t>
  </si>
  <si>
    <t>raw_biopol</t>
  </si>
  <si>
    <t>Interior wall (3D-printed biopolymer vs. baselines)</t>
  </si>
  <si>
    <t>Interior partition wall</t>
  </si>
  <si>
    <t>wall length</t>
  </si>
  <si>
    <t>adobe brick for interior wall</t>
  </si>
  <si>
    <t>clay brick for interior wall</t>
  </si>
  <si>
    <t>raw_knit</t>
  </si>
  <si>
    <t>Architectural membrane (knitted hemp vs. baseline)</t>
  </si>
  <si>
    <t>Architectural membrane covering a surface</t>
  </si>
  <si>
    <t>membrane coverage</t>
  </si>
  <si>
    <t>m2</t>
  </si>
  <si>
    <t>synthetic polymer architectural membrane</t>
  </si>
  <si>
    <t>value</t>
  </si>
  <si>
    <t>spec_span</t>
  </si>
  <si>
    <t>Beam span used for the beam cases (raw_timber, raw_cfw and their baselines)</t>
  </si>
  <si>
    <t>spec_length</t>
  </si>
  <si>
    <t>Wall length used for the wall case (raw_biopol and its baselines)</t>
  </si>
  <si>
    <t>spec_coverage</t>
  </si>
  <si>
    <t>Membrane coverage used for the membrane case (raw_knit and its baseline)</t>
  </si>
  <si>
    <t>sweep_span</t>
  </si>
  <si>
    <t>3:12:10</t>
  </si>
  <si>
    <t>min:max:steps (m)</t>
  </si>
  <si>
    <t>Range of beam spans for the spec sweep</t>
  </si>
  <si>
    <t>sweep_length</t>
  </si>
  <si>
    <t>2:12:11</t>
  </si>
  <si>
    <t>Range of wall lengths for the spec sweep</t>
  </si>
  <si>
    <t>sweep_coverage</t>
  </si>
  <si>
    <t>10:500:10</t>
  </si>
  <si>
    <t>min:max:steps (m2)</t>
  </si>
  <si>
    <t>Range of membrane coverages for the spec sweep</t>
  </si>
  <si>
    <t>location_choices</t>
  </si>
  <si>
    <t>NL;DE;FR;ES;IT;PL;SE</t>
  </si>
  <si>
    <t>country codes</t>
  </si>
  <si>
    <t>Countries between which the location parameters vary in the sensitivity/uncertainty analysis (placeholder list)</t>
  </si>
  <si>
    <t>mc_iterations</t>
  </si>
  <si>
    <t>#</t>
  </si>
  <si>
    <t>Monte Carlo iterations for the parameter uncertainty analysis</t>
  </si>
  <si>
    <t>interval_percentiles</t>
  </si>
  <si>
    <t>5;95</t>
  </si>
  <si>
    <t>percent</t>
  </si>
  <si>
    <t>Lower and upper percentile of the uncertainty intervals drawn in the charts</t>
  </si>
  <si>
    <t>ecoinvent_version</t>
  </si>
  <si>
    <t>ecoinvent release used for the background</t>
  </si>
  <si>
    <t>ecoinvent_system_model</t>
  </si>
  <si>
    <t>cutoff</t>
  </si>
  <si>
    <t>ecoinvent system model</t>
  </si>
  <si>
    <t>impact_method</t>
  </si>
  <si>
    <t>EF v3.1</t>
  </si>
  <si>
    <t>LCIA method family (Brightway method names ecoinvent-&lt;version&gt; / &lt;family&gt; / ...)</t>
  </si>
  <si>
    <t>mc_seed</t>
  </si>
  <si>
    <t>Random seed (makes results reproducible)</t>
  </si>
  <si>
    <t>background_mc_iterations</t>
  </si>
  <si>
    <t>Brightway Monte Carlo iterations sampled for the background (ecoinvent) uncertainty</t>
  </si>
  <si>
    <t>sobol_base_samples</t>
  </si>
  <si>
    <t>Base sample size N of the Sobol sensitivity analysis</t>
  </si>
  <si>
    <t>category</t>
  </si>
  <si>
    <t>label</t>
  </si>
  <si>
    <t>plot_in_bar_charts</t>
  </si>
  <si>
    <t>climate change</t>
  </si>
  <si>
    <t>kg CO2-eq</t>
  </si>
  <si>
    <t>True</t>
  </si>
  <si>
    <t>ozone depletion</t>
  </si>
  <si>
    <t>kg CFC-11-eq</t>
  </si>
  <si>
    <t>particulate matter formation</t>
  </si>
  <si>
    <t>disease incidence</t>
  </si>
  <si>
    <t>acidification</t>
  </si>
  <si>
    <t>mol H+-eq</t>
  </si>
  <si>
    <t>eutrophication: freshwater</t>
  </si>
  <si>
    <t>kg P-eq</t>
  </si>
  <si>
    <t>freshwater eutrophication</t>
  </si>
  <si>
    <t>land use</t>
  </si>
  <si>
    <t>dimensionless (soil quality index)</t>
  </si>
  <si>
    <t>water use</t>
  </si>
  <si>
    <t>m3 world-eq deprived</t>
  </si>
  <si>
    <t>material resources: metals/minerals</t>
  </si>
  <si>
    <t>kg Sb-eq</t>
  </si>
  <si>
    <t>mineral resources</t>
  </si>
  <si>
    <t>climate change: biogenic</t>
  </si>
  <si>
    <t>False</t>
  </si>
  <si>
    <t>climate change: fossil</t>
  </si>
  <si>
    <t>climate change: land use and land use change</t>
  </si>
  <si>
    <t>ecotoxicity: freshwater</t>
  </si>
  <si>
    <t>CTUe</t>
  </si>
  <si>
    <t>ecotoxicity: freshwater, inorganics</t>
  </si>
  <si>
    <t>ecotoxicity: freshwater, organics</t>
  </si>
  <si>
    <t>energy resources: non-renewable</t>
  </si>
  <si>
    <t>MJ</t>
  </si>
  <si>
    <t>eutrophication: marine</t>
  </si>
  <si>
    <t>kg N-eq</t>
  </si>
  <si>
    <t>eutrophication: terrestrial</t>
  </si>
  <si>
    <t>mol N-eq</t>
  </si>
  <si>
    <t>human toxicity: carcinogenic</t>
  </si>
  <si>
    <t>CTUh</t>
  </si>
  <si>
    <t>human toxicity: carcinogenic, inorganics</t>
  </si>
  <si>
    <t>human toxicity: carcinogenic, organics</t>
  </si>
  <si>
    <t>human toxicity: non-carcinogenic</t>
  </si>
  <si>
    <t>human toxicity: non-carcinogenic, inorganics</t>
  </si>
  <si>
    <t>human toxicity: non-carcinogenic, organics</t>
  </si>
  <si>
    <t>ionising radiation: human health</t>
  </si>
  <si>
    <t>kBq U235-eq</t>
  </si>
  <si>
    <t>photochemical oxidant formation: human health</t>
  </si>
  <si>
    <t>dimensionless (tropospheric ozone concentration increase)</t>
  </si>
  <si>
    <t>scenario_id</t>
  </si>
  <si>
    <t>premise_model</t>
  </si>
  <si>
    <t>premise_pathway</t>
  </si>
  <si>
    <t>premise_year</t>
  </si>
  <si>
    <t>in_results</t>
  </si>
  <si>
    <t>baseline</t>
  </si>
  <si>
    <t>today</t>
  </si>
  <si>
    <t>Ecoinvent 3.12 cut-off as is</t>
  </si>
  <si>
    <t>image_SSP2-M_2050</t>
  </si>
  <si>
    <t>2050 (SSP2-M)</t>
  </si>
  <si>
    <t>image</t>
  </si>
  <si>
    <t>SSP2-M</t>
  </si>
  <si>
    <t>premise scenario, medium ambition</t>
  </si>
  <si>
    <t>image_SSP2-L_2050</t>
  </si>
  <si>
    <t>SSP2-L</t>
  </si>
  <si>
    <t>premise scenario used for the 2050 results</t>
  </si>
  <si>
    <t>wall_height</t>
  </si>
  <si>
    <t>Height of the wall</t>
  </si>
  <si>
    <t>part of the functional unit - keep equal across the compared walls</t>
  </si>
  <si>
    <t>thickness_ratio</t>
  </si>
  <si>
    <t>Wall height divided by wall thickness</t>
  </si>
  <si>
    <t>Density of the finished biopolymer wall</t>
  </si>
  <si>
    <t>Pea protein binder</t>
  </si>
  <si>
    <t>Share of the production input mass made of this material (virgin); the shares of one stage add up to 100 %</t>
  </si>
  <si>
    <t>Sawdust</t>
  </si>
  <si>
    <t>co-product</t>
  </si>
  <si>
    <t>Share of the production input mass made of this material (co-product); the shares of one stage add up to 100 %</t>
  </si>
  <si>
    <t>Seagrass</t>
  </si>
  <si>
    <t>wild-harvested</t>
  </si>
  <si>
    <t>Share of the production input mass made of this material (wild-harvested); the shares of one stage add up to 100 %</t>
  </si>
  <si>
    <t>Share of the repair input mass made of this material (virgin); the shares of one stage add up to 100 %</t>
  </si>
  <si>
    <t>Share of the repair input mass made of this material (wild-harvested); the shares of one stage add up to 100 %</t>
  </si>
  <si>
    <t>Hemp fiber</t>
  </si>
  <si>
    <t>Milling</t>
  </si>
  <si>
    <t>Mixing</t>
  </si>
  <si>
    <t>3D printing</t>
  </si>
  <si>
    <t>Baking</t>
  </si>
  <si>
    <t>fibre_length_per_span</t>
  </si>
  <si>
    <t>Metres of fibre wound per metre of beam span</t>
  </si>
  <si>
    <t>m/m</t>
  </si>
  <si>
    <t>fibre_mass_per_length</t>
  </si>
  <si>
    <t>Mass of one metre of fibre (incl. resin)</t>
  </si>
  <si>
    <t>kg/m</t>
  </si>
  <si>
    <t>Fiber glue (epoxy resin)</t>
  </si>
  <si>
    <t>Rope production</t>
  </si>
  <si>
    <t>Coreless filament winding</t>
  </si>
  <si>
    <t>areal_density</t>
  </si>
  <si>
    <t>Mass of membrane per m2 of coverage</t>
  </si>
  <si>
    <t>kg/m2</t>
  </si>
  <si>
    <t>Carding &amp; roving</t>
  </si>
  <si>
    <t>Spinning</t>
  </si>
  <si>
    <t>CNC knitting</t>
  </si>
  <si>
    <t>Density of glulam timber</t>
  </si>
  <si>
    <t>baseline_eol_setup kg_per_unit (previous version of the sheet)</t>
  </si>
  <si>
    <t>fixed: glulam timber is bought in m3, at 1 / density m3 per kg of product (production row)</t>
  </si>
  <si>
    <t>glulam timber</t>
  </si>
  <si>
    <t>amount per kg product</t>
  </si>
  <si>
    <t>Amount of glulam timber per kg of product</t>
  </si>
  <si>
    <t>m3/kg</t>
  </si>
  <si>
    <t>derived from the previous products-tab formulas</t>
  </si>
  <si>
    <t>1 / 439 kg per m3</t>
  </si>
  <si>
    <t>service life</t>
  </si>
  <si>
    <t>Years the product lasts in use</t>
  </si>
  <si>
    <t>PLACEHOLDER - no source yet, to be set from literature</t>
  </si>
  <si>
    <t>waste incineration</t>
  </si>
  <si>
    <t>kg of glulam timber that goes to waste incineration at end of life, per kg of product</t>
  </si>
  <si>
    <t>kg/kg</t>
  </si>
  <si>
    <t>LCA-team assumption (previous baseline_eol_assumptions.csv)</t>
  </si>
  <si>
    <t>waste recycling</t>
  </si>
  <si>
    <t>kg of glulam timber that goes to waste recycling at end of life, per kg of product</t>
  </si>
  <si>
    <t>waste landfilling</t>
  </si>
  <si>
    <t>kg of glulam timber that goes to waste landfilling at end of life, per kg of product</t>
  </si>
  <si>
    <t>Country whose electricity mix is displaced by energy recovered at end of life</t>
  </si>
  <si>
    <t>width_over_depth</t>
  </si>
  <si>
    <t>Beam width divided by beam depth</t>
  </si>
  <si>
    <t>concrete_density</t>
  </si>
  <si>
    <t>Density of reinforced concrete</t>
  </si>
  <si>
    <t>concrete</t>
  </si>
  <si>
    <t>Amount of concrete per kg of product</t>
  </si>
  <si>
    <t>steel</t>
  </si>
  <si>
    <t>Amount of steel per kg of product</t>
  </si>
  <si>
    <t>formwork</t>
  </si>
  <si>
    <t>Amount of formwork per kg of product</t>
  </si>
  <si>
    <t>fixed per kg of beam, exact at the 6 m reference span: formwork 6 x (2 x 0.5 + 0.25) m x 0.018 m x 600 kg/m3 / 10 reuses = 8.1 kg per 1800 kg of beam</t>
  </si>
  <si>
    <t>waste reinforced concrete recycling</t>
  </si>
  <si>
    <t>kg of concrete that goes to waste reinforced concrete recycling at end of life, per kg of product</t>
  </si>
  <si>
    <t>kg of steel that goes to waste reinforced concrete recycling at end of life, per kg of product</t>
  </si>
  <si>
    <t>waste concrete landfilling</t>
  </si>
  <si>
    <t>kg of concrete that goes to waste concrete landfilling at end of life, per kg of product</t>
  </si>
  <si>
    <t>kg of steel that goes to waste concrete landfilling at end of life, per kg of product</t>
  </si>
  <si>
    <t>kg of formwork that goes to waste incineration at end of life, per kg of product</t>
  </si>
  <si>
    <t>"traditional" coreless filament winded beam</t>
  </si>
  <si>
    <t>Metres of fibre per metre of beam span</t>
  </si>
  <si>
    <t>Mass of one metre of glass fibre</t>
  </si>
  <si>
    <t>placeholder - to be set from the Stuttgart CFW LCA</t>
  </si>
  <si>
    <t>fibre_mass_share</t>
  </si>
  <si>
    <t>Share of the composite mass that is fibre</t>
  </si>
  <si>
    <t>glass fibre</t>
  </si>
  <si>
    <t>Amount of glass fibre per kg of product</t>
  </si>
  <si>
    <t>Amount of Fiber glue (epoxy resin) per kg of product</t>
  </si>
  <si>
    <t>waste inert landfilling</t>
  </si>
  <si>
    <t>kg of glass fibre that goes to waste inert landfilling at end of life, per kg of product</t>
  </si>
  <si>
    <t>waste plastic landfilling</t>
  </si>
  <si>
    <t>kg of Fiber glue (epoxy resin) that goes to waste plastic landfilling at end of life, per kg of product</t>
  </si>
  <si>
    <t>Density of the adobe wall (mortar is the same material)</t>
  </si>
  <si>
    <t>adobe brick</t>
  </si>
  <si>
    <t>Amount of adobe brick per kg of product</t>
  </si>
  <si>
    <t>kg of adobe brick that goes to waste inert landfilling at end of life, per kg of product</t>
  </si>
  <si>
    <t>the other 50 % is reused (no treatment)</t>
  </si>
  <si>
    <t>thickness</t>
  </si>
  <si>
    <t>Wall thickness (standard brick)</t>
  </si>
  <si>
    <t>Density of brick and mortar</t>
  </si>
  <si>
    <t>clay brick</t>
  </si>
  <si>
    <t>Amount of clay brick per kg of product</t>
  </si>
  <si>
    <t>lime mortar</t>
  </si>
  <si>
    <t>Amount of lime mortar per kg of product</t>
  </si>
  <si>
    <t>waste brick recycling</t>
  </si>
  <si>
    <t>kg of clay brick that goes to waste brick recycling at end of life, per kg of product</t>
  </si>
  <si>
    <t>kg of clay brick that goes to waste inert landfilling at end of life, per kg of product</t>
  </si>
  <si>
    <t>kg of lime mortar that goes to waste inert landfilling at end of life, per kg of product</t>
  </si>
  <si>
    <t>Mass of polyester fibre per m2 of coverage</t>
  </si>
  <si>
    <t>polyester fiber</t>
  </si>
  <si>
    <t>Amount of polyester fiber per kg of product</t>
  </si>
  <si>
    <t>weaving</t>
  </si>
  <si>
    <t>Amount of weaving per kg of product</t>
  </si>
  <si>
    <t>waste plastic incineration</t>
  </si>
  <si>
    <t>kg of polyester fiber that goes to waste plastic incineration at end of life, per kg of product</t>
  </si>
  <si>
    <t>kg of polyester fiber that goes to waste plastic landfilling at end of life, per kg of product</t>
  </si>
  <si>
    <t>element_type</t>
  </si>
  <si>
    <t>case_type</t>
  </si>
  <si>
    <t>case_name</t>
  </si>
  <si>
    <t>display_name</t>
  </si>
  <si>
    <t>spec_variable</t>
  </si>
  <si>
    <t>spec_label</t>
  </si>
  <si>
    <t>spec_unit</t>
  </si>
  <si>
    <t>activity_name</t>
  </si>
  <si>
    <t>activity_unit</t>
  </si>
  <si>
    <t>formula</t>
  </si>
  <si>
    <t>amount_at_spec_1_check</t>
  </si>
  <si>
    <t>beam</t>
  </si>
  <si>
    <t>conventional bio-based</t>
  </si>
  <si>
    <t>span</t>
  </si>
  <si>
    <t>glulam beam production</t>
  </si>
  <si>
    <t>(span / depth_ratio) * ((span / depth_ratio) / width_ratio) * span * density</t>
  </si>
  <si>
    <t>kg = depth (span / 20) * width (depth / 3) * span * density (439 kg/m3)</t>
  </si>
  <si>
    <t>conventional fossil-based</t>
  </si>
  <si>
    <t>reinforced concrete beam production</t>
  </si>
  <si>
    <t>span * (span / depth_ratio) * (width_over_depth * (span / depth_ratio)) * concrete_density</t>
  </si>
  <si>
    <t>kg = span * depth (span / 12) * width (0.5 * depth) * density (2400 kg/m3)</t>
  </si>
  <si>
    <t>"traditional" coreless filament winded beam production</t>
  </si>
  <si>
    <t>span * fibre_length_per_span * fibre_mass_per_length / fibre_mass_share</t>
  </si>
  <si>
    <t>kg = fibre mass (placeholder values) / fibre share of the composite mass</t>
  </si>
  <si>
    <t>wall</t>
  </si>
  <si>
    <t>length</t>
  </si>
  <si>
    <t>adobe brick for interior wall production</t>
  </si>
  <si>
    <t>length * wall_height * (wall_height / thickness_ratio) * density</t>
  </si>
  <si>
    <t>kg = wall length * height (3m) * thickness (height/10) * density (1700 kg/m3)... mortar is same material, so not listed separately</t>
  </si>
  <si>
    <t>clay brick for interior wall production</t>
  </si>
  <si>
    <t>length * wall_height * thickness * density</t>
  </si>
  <si>
    <t>kg = length * height (3 m) * thickness (0.115 m) * density (1900 kg/m3), brick + mortar</t>
  </si>
  <si>
    <t>membrane</t>
  </si>
  <si>
    <t>coverage</t>
  </si>
  <si>
    <t>synthetic polymer architectural membrane production</t>
  </si>
  <si>
    <t>coverage * areal_density</t>
  </si>
  <si>
    <t>kg = coverage * areal density (0.3 kg/m2)</t>
  </si>
  <si>
    <t>raw</t>
  </si>
  <si>
    <t>RAW reclaimed timber (CNC beam)</t>
  </si>
  <si>
    <t>raw_timber production</t>
  </si>
  <si>
    <t>span * (span / depth_ratio) * ((span / depth_ratio) / width_ratio) * density</t>
  </si>
  <si>
    <t>check with Amin and Nadja dimensions and density: kg product = span * depth (span/20) * width (depth/3) * density (480kg/m3)</t>
  </si>
  <si>
    <t>RAW coreless filament winding (beam)</t>
  </si>
  <si>
    <t>raw_cfw production</t>
  </si>
  <si>
    <t>span * fibre_length_per_span * fibre_mass_per_length</t>
  </si>
  <si>
    <t>check with Fabian and Otto numbers from Suttgart paper, seems ridiculously light: kg = span * fiber_length_perSpan (550m / span) * fiber_density (0.006 kg / m_fiber)</t>
  </si>
  <si>
    <t>RAW biopol (3D-printed wall)</t>
  </si>
  <si>
    <t>raw_biopol production</t>
  </si>
  <si>
    <t>check with Carl wall thickness and density: kg = wall length * height (3m) * thickness (height/10) * density (350 kg/m3)</t>
  </si>
  <si>
    <t>RAW knitted hemp (membrane)</t>
  </si>
  <si>
    <t>raw_knit production</t>
  </si>
  <si>
    <t>check with Yulia formula and density: kg = coverage (m2) * density (0.4 kg/m2)</t>
  </si>
  <si>
    <t>material_source</t>
  </si>
  <si>
    <t>ecoinventDataset_name</t>
  </si>
  <si>
    <t>geographicalCoverage</t>
  </si>
  <si>
    <t>referenceProduct</t>
  </si>
  <si>
    <t>alternative_data_source</t>
  </si>
  <si>
    <t>eol_type</t>
  </si>
  <si>
    <t>Bio-based materials</t>
  </si>
  <si>
    <t>Peas</t>
  </si>
  <si>
    <t>market for protein pea</t>
  </si>
  <si>
    <t xml:space="preserve">GLO </t>
  </si>
  <si>
    <t>protein pea</t>
  </si>
  <si>
    <t>Cotton fiber</t>
  </si>
  <si>
    <t>market for seed-cotton</t>
  </si>
  <si>
    <t>seed-cotton</t>
  </si>
  <si>
    <t>decorticated fibre production, hemp</t>
  </si>
  <si>
    <t>FR</t>
  </si>
  <si>
    <t>decorticated fibre, hemp</t>
  </si>
  <si>
    <t>market for sawnwood, hardwood, raw</t>
  </si>
  <si>
    <t>GLO</t>
  </si>
  <si>
    <t>sawnwood, hardwood, raw</t>
  </si>
  <si>
    <t>Soft wood</t>
  </si>
  <si>
    <t>market for sawnwood, softwood, raw</t>
  </si>
  <si>
    <t>sawnwood, softwood, raw</t>
  </si>
  <si>
    <t>RER</t>
  </si>
  <si>
    <t>biopol_lca_database</t>
  </si>
  <si>
    <t>Hemp dust</t>
  </si>
  <si>
    <t>hemp residues</t>
  </si>
  <si>
    <t>Bark chips</t>
  </si>
  <si>
    <t>market for bark chips, green, measured as dry mass</t>
  </si>
  <si>
    <t>Europe without Switzerland</t>
  </si>
  <si>
    <t>bark chips, green, measured as dry mass</t>
  </si>
  <si>
    <t>market for sawdust, green, collected, measured as dry mass</t>
  </si>
  <si>
    <t>sawdust, green, collected, measured as dry mass</t>
  </si>
  <si>
    <t>Cellulose reject fibers</t>
  </si>
  <si>
    <t>road transport</t>
  </si>
  <si>
    <t>distance: transport_distance_km on the constants tab</t>
  </si>
  <si>
    <t>market for waste yarn and waste textile</t>
  </si>
  <si>
    <t>RoW</t>
  </si>
  <si>
    <t>waste yarn and waste textile</t>
  </si>
  <si>
    <t>market group for waste wood, untreated</t>
  </si>
  <si>
    <t>waste wood, untreated</t>
  </si>
  <si>
    <t>Baseline cases</t>
  </si>
  <si>
    <t>m3</t>
  </si>
  <si>
    <t>market for glued laminated timber, PUR-glue</t>
  </si>
  <si>
    <t>CH</t>
  </si>
  <si>
    <t>glued laminated timber, PUR-glue</t>
  </si>
  <si>
    <t>market for concrete, medium strength</t>
  </si>
  <si>
    <t>concrete, medium strength</t>
  </si>
  <si>
    <t>market for reinforcing steel</t>
  </si>
  <si>
    <t>reinforcing steel</t>
  </si>
  <si>
    <t>market for plywood</t>
  </si>
  <si>
    <t>plywood</t>
  </si>
  <si>
    <t>market for glass fibre</t>
  </si>
  <si>
    <t>placeholder material of the 'traditional' CFW baseline - rebuild the background data (pipeline/02_background_lci.ipynb) before using it</t>
  </si>
  <si>
    <t>market for adobe brick</t>
  </si>
  <si>
    <t>market for clay brick</t>
  </si>
  <si>
    <t>market for lime mortar</t>
  </si>
  <si>
    <t>market for fibre, polyester</t>
  </si>
  <si>
    <t>fibre, polyester</t>
  </si>
  <si>
    <t>market for weaving, synthetic fibre</t>
  </si>
  <si>
    <t>weaving, synthetic fibre</t>
  </si>
  <si>
    <t>Binding materials</t>
  </si>
  <si>
    <t xml:space="preserve">Mechanical fastener (screws, nails, brackets) </t>
  </si>
  <si>
    <t>market for steel, low-alloyed, hot rolled</t>
  </si>
  <si>
    <t>steel, low-alloyed, hot rolled</t>
  </si>
  <si>
    <t>Wood glue</t>
  </si>
  <si>
    <t>market for melamine urea formaldehyde adhesive</t>
  </si>
  <si>
    <t>melamine urea formaldehyde adhesive</t>
  </si>
  <si>
    <t>MUF is usually used for gluing wood in engineered timber products</t>
  </si>
  <si>
    <t>market for epoxy resin, liquid</t>
  </si>
  <si>
    <t>epoxy resin, liquid</t>
  </si>
  <si>
    <t>Most commonly used in natural-fiber composite research</t>
  </si>
  <si>
    <t>Cement</t>
  </si>
  <si>
    <t>market for cement, Portland</t>
  </si>
  <si>
    <t>cement, Portland</t>
  </si>
  <si>
    <t>Lime</t>
  </si>
  <si>
    <t>market for hydraulic lime</t>
  </si>
  <si>
    <t>hydraulic lime</t>
  </si>
  <si>
    <t>Transportation</t>
  </si>
  <si>
    <t xml:space="preserve">Road transport </t>
  </si>
  <si>
    <t>ton km</t>
  </si>
  <si>
    <t>market for transport, freight, lorry, unspecified</t>
  </si>
  <si>
    <t>transport, freight, lorry, diesel, unspecified</t>
  </si>
  <si>
    <t>Processes</t>
  </si>
  <si>
    <t>energy use</t>
  </si>
  <si>
    <t>kwh</t>
  </si>
  <si>
    <t>market for electricity, low voltage</t>
  </si>
  <si>
    <t>lookup: all european countries</t>
  </si>
  <si>
    <t>electricity, low voltage</t>
  </si>
  <si>
    <t>machine wear</t>
  </si>
  <si>
    <t>market for industrial machine, heavy, unspecified</t>
  </si>
  <si>
    <t>industrial machine, heavy, unspecified</t>
  </si>
  <si>
    <t>waste composting</t>
  </si>
  <si>
    <t>treatment of biowaste, industrial composting</t>
  </si>
  <si>
    <t>biowaste</t>
  </si>
  <si>
    <t>composting</t>
  </si>
  <si>
    <t>treatment of waste wood, post-consumer, sorting and shredding</t>
  </si>
  <si>
    <t>wood chips, from post-consumer wood, dry, measured as dry mass</t>
  </si>
  <si>
    <t>recycling</t>
  </si>
  <si>
    <t>treatment of biowaste, municipal incineration</t>
  </si>
  <si>
    <t>incineration</t>
  </si>
  <si>
    <t>treatment of biowaste, open dump</t>
  </si>
  <si>
    <t>landfill</t>
  </si>
  <si>
    <t>Avoided burdens</t>
  </si>
  <si>
    <t>avoided burden - composting</t>
  </si>
  <si>
    <t>market for compost</t>
  </si>
  <si>
    <t>compost</t>
  </si>
  <si>
    <t>avoided burden - open loop recycling</t>
  </si>
  <si>
    <t>market for wood chips, dry, measured as dry mass</t>
  </si>
  <si>
    <t>wood chips, dry, measured as dry mass</t>
  </si>
  <si>
    <t>avoided burden - incineration, heat</t>
  </si>
  <si>
    <t>market group for heat, district or industrial, natural gas</t>
  </si>
  <si>
    <t>heat, district or industrial, natural gas</t>
  </si>
  <si>
    <t>avoided burden - incineration, electricity</t>
  </si>
  <si>
    <t>End-of-life datasets for baseline products</t>
  </si>
  <si>
    <t>treatment of inert waste, inert material landfill</t>
  </si>
  <si>
    <t>inert waste, for final disposal</t>
  </si>
  <si>
    <t>EoL of brick/mortar/adobe baselines</t>
  </si>
  <si>
    <t>treatment of waste concrete, inert material landfill</t>
  </si>
  <si>
    <t>waste concrete</t>
  </si>
  <si>
    <t>EoL of reinforced concrete beam baseline</t>
  </si>
  <si>
    <t>treatment of waste reinforced concrete, recycling</t>
  </si>
  <si>
    <t>waste reinforced concrete</t>
  </si>
  <si>
    <t>EoL of reinforced concrete beam baseline, applied to concrete + steel mass</t>
  </si>
  <si>
    <t>treatment of waste brick, recycling</t>
  </si>
  <si>
    <t>waste brick</t>
  </si>
  <si>
    <t>EoL of clay brick baseline</t>
  </si>
  <si>
    <t>treatment of waste plastic, mixture, municipal incineration FAE</t>
  </si>
  <si>
    <t>waste plastic, mixture</t>
  </si>
  <si>
    <t>EoL of polyester membrane baseline</t>
  </si>
  <si>
    <t>treatment of waste plastic, mixture, sanitary landfill</t>
  </si>
  <si>
    <t>material_name</t>
  </si>
  <si>
    <t>carbonContent_dryWeight_kg</t>
  </si>
  <si>
    <t>carbonContent_source</t>
  </si>
  <si>
    <t>rotationPeriod_yr</t>
  </si>
  <si>
    <t>rotationPeriod_source</t>
  </si>
  <si>
    <t xml:space="preserve">1 kg </t>
  </si>
  <si>
    <t>to extract w/ bw</t>
  </si>
  <si>
    <t>ecoinvent</t>
  </si>
  <si>
    <t>Cherubini et al. 2011 (GWPbio methodology)</t>
  </si>
  <si>
    <t>average between soft and hard wood</t>
  </si>
  <si>
    <t>Beech rotation (110–140 yr, or 80–100 yr in some countries): Analysis and evaluation of the impact of stand age on the occurrence and metamorphosis of red heartwood — iForest, 2017 (https://iforest.sisef.org/contents/?id=ifor2116-010)</t>
  </si>
  <si>
    <t>There is a large range for hardwood rotation periods. Normally they are 100+ years, but optimized forests can be as quick as 20 years. See Short-rotation hardwood paper (8–20 yr): Fuels of the Future for Renewable Energy Sources review (https://arxiv.org/pdf/2102.00439)</t>
  </si>
  <si>
    <t>Softwood CORRIM figure: Cradle-to-gate LCA of softwood lumber production, NE-NC region (https://corrim.org/wp-content/uploads/2018/06/NENC-Lumber-LCA-final-May-2013.pdf)</t>
  </si>
  <si>
    <t>market for waste paper, sorted</t>
  </si>
  <si>
    <t>waste paper, sorted</t>
  </si>
  <si>
    <t>The seagrass carbon content of 0.336 of dry weight can be applied in Indonesian seagrasses — Rahmawati, Hernawan &amp; Rustam, AIP Conference Proceedings, 2019 (https://pubs.aip.org/aip/acp/article/2120/1/030012/1024597/The-seagrass-carbon-content-of-0-336-of-dry-weight)</t>
  </si>
  <si>
    <t xml:space="preserve">note: </t>
  </si>
  <si>
    <t xml:space="preserve">If the material is a (co-) product, then the benefit is carbon sequestration (GWPbio method that includes both storage and rotation period) </t>
  </si>
  <si>
    <t>If material is a waste / wild-harvested product, then the benefit is delayed carbon emissions (GWPbio method that only includes storage period)</t>
  </si>
  <si>
    <t>on carbon content: beware that it is dry weight, so you need to take into account the water content. this info is available in ecoinvent.</t>
  </si>
  <si>
    <t>fossil/mineral material: no biogenic carbon</t>
  </si>
  <si>
    <t>n/a</t>
  </si>
  <si>
    <t>Mechanical fastener (screws, nails, brackets)</t>
  </si>
  <si>
    <t>derived: 0.45 kgC per kg pea (IPCC Tier 1 / Lal 2004) x 0.5893 kg peas per kg binder (biopol_lca LCI: peas -&gt; isolate -&gt; binder)</t>
  </si>
  <si>
    <t>Annual crop, same as peas</t>
  </si>
  <si>
    <t>1 m3</t>
  </si>
  <si>
    <t>Softwood CORRIM figure, same as Soft wood</t>
  </si>
  <si>
    <t>allocation_factor</t>
  </si>
  <si>
    <t>quality_ratio</t>
  </si>
  <si>
    <t>lower_heating_value_MJperKgDry</t>
  </si>
  <si>
    <t>LHV_basis</t>
  </si>
  <si>
    <t>conversionEfficiency_heat</t>
  </si>
  <si>
    <t>conversionEfficiency_electricity</t>
  </si>
  <si>
    <t>recycling_credit_activity</t>
  </si>
  <si>
    <t>Bomb-calorimetry data across nine protein samples found heat of combustion for protein varying between 22.0 and 24.6 kJ/g PubMed — directly supports this estimate</t>
  </si>
  <si>
    <t>Phyllis2 dataset - bean plant (#2888)</t>
  </si>
  <si>
    <t>Phyllis2 dataset - cotton, values between 15 and 17</t>
  </si>
  <si>
    <t>Within the confirmed dry-matter wood range of 18.7–21.9 MJ/kg, slightly lower for deciduous species than coniferous due to lower lignin/resin content Woodenergy</t>
  </si>
  <si>
    <t>Same source — coniferous species run slightly higher than deciduous because of higher lignin and resin content Woodenergy</t>
  </si>
  <si>
    <t>Phyllis2 dataset - hemp (#398, 399)</t>
  </si>
  <si>
    <t>Placed within the general wood dry-matter range; no bark-specific literature value found</t>
  </si>
  <si>
    <t>Paper mill reject/sludge values in the literature range widely — 8.38 MJ/kg for primary recycled-fiber sludge, ResearchGate 6.4 MJ/kg for high-ash (51.6%) de-inking sludge, ScienceDirect up to 14.31 MJ/kg for OCC papermaking sludge with 58.84% ash. ResearchGate Mineral fillers like calcium carbonate, titanium dioxide, and silica increase ash content while not contributing to combustion, lowering total calorific value. ResearchGate I picked a midpoint, but this one is genuinely uncertain without knowing your specific reject stream's filler load</t>
  </si>
  <si>
    <t>Posidonia oceanica (Mediterranean seagrass) studies found heating values around 9–11 MJ/kg with very high ash content (16–36%); ResearchGate leaf debris specifically was around 10 MJ/kg, versus 13.6–15.7 MJ/kg for the more fibrous portion. ScienceDirect</t>
  </si>
  <si>
    <t>RAW product</t>
  </si>
  <si>
    <t>conservative average of input ingredients</t>
  </si>
  <si>
    <t>previous baseline_eol_setup (glulam timber)</t>
  </si>
  <si>
    <t>previous baseline_eol_setup (plywood formwork)</t>
  </si>
  <si>
    <t>previous baseline_eol_setup (polyester)</t>
  </si>
  <si>
    <t xml:space="preserve">source for allocation factors: </t>
  </si>
  <si>
    <t>https://eplca.jrc.ec.europa.eu/permalink/Annex_C_V2.1_May2020.xlsx</t>
  </si>
  <si>
    <t>note: a high allocation factor (e.g. A = 0.8) means recycling rate is low, suggested less well established recycling infrastructure.</t>
  </si>
  <si>
    <t>note: the JRC uses three possible allocation factors: 0.2, 0.5, and 0.8.</t>
  </si>
  <si>
    <t>route</t>
  </si>
  <si>
    <t>treatment_activity</t>
  </si>
  <si>
    <t>cff_factor_applies</t>
  </si>
  <si>
    <t>material_credit_activity</t>
  </si>
  <si>
    <t>energy_credit_heat_activity</t>
  </si>
  <si>
    <t>energy_credit_electricity_activity</t>
  </si>
  <si>
    <t>constant</t>
  </si>
  <si>
    <t>time_horizon_yr</t>
  </si>
  <si>
    <t>Time horizon of the GWP_bio and dynamic characterisation factors</t>
  </si>
  <si>
    <t>Guest et al. 2012; Levasseur et al. 2010</t>
  </si>
  <si>
    <t>transport_distance_km</t>
  </si>
  <si>
    <t>km</t>
  </si>
  <si>
    <t>Road-transport distance for collected (co-product, recycled, wild-harvested) materials</t>
  </si>
  <si>
    <t>assumption</t>
  </si>
  <si>
    <t>quality_ratio_primary</t>
  </si>
  <si>
    <t>Quality of primary (virgin) material in the circular footprint formula (Qp)</t>
  </si>
  <si>
    <t>assumption, no data</t>
  </si>
  <si>
    <t>co2_c_molar_ratio</t>
  </si>
  <si>
    <t>kg CO2 / kg C</t>
  </si>
  <si>
    <t>Molar mass ratio CO2 to C (44 / 12)</t>
  </si>
  <si>
    <t>physical constant</t>
  </si>
  <si>
    <t>mj_per_kwh</t>
  </si>
  <si>
    <t>MJ/kWh</t>
  </si>
  <si>
    <t>Unit conversion for the incineration electricity credit</t>
  </si>
  <si>
    <t>machine_wear_activity</t>
  </si>
  <si>
    <t>Activity (in unit_burdens_dataSources) that gives the burden of one kg of machine wear</t>
  </si>
  <si>
    <t>electricity_activity</t>
  </si>
  <si>
    <t>Activity (in unit_burdens_dataSources) that gives the burden of one kWh of electricity, per country</t>
  </si>
  <si>
    <t>raw_product_eol_row</t>
  </si>
  <si>
    <t>Row of the EoL_constants tab that gives the allocation factor, quality ratio, LHV and conversion efficiencies used for RAW products</t>
  </si>
  <si>
    <t>rotation_period_yr</t>
  </si>
  <si>
    <t>storage_0yr</t>
  </si>
  <si>
    <t>storage_10yr</t>
  </si>
  <si>
    <t>storage_20yr</t>
  </si>
  <si>
    <t>storage_30yr</t>
  </si>
  <si>
    <t>storage_40yr</t>
  </si>
  <si>
    <t>storage_50yr</t>
  </si>
  <si>
    <t>storage_60yr</t>
  </si>
  <si>
    <t>storage_70yr</t>
  </si>
  <si>
    <t>storage_80yr</t>
  </si>
  <si>
    <t>storage_90yr</t>
  </si>
  <si>
    <t>storage_100yr</t>
  </si>
  <si>
    <t>Guest et al. (2012), Table 1, 100-yr time horizon</t>
  </si>
  <si>
    <t>term</t>
  </si>
  <si>
    <t>coefficient_a</t>
  </si>
  <si>
    <t>time_constant_tau_yr</t>
  </si>
  <si>
    <t>a0</t>
  </si>
  <si>
    <t>Bern carbon cycle model, Forster et al. 2007 via Levasseur et al. 2010 eq. 3</t>
  </si>
  <si>
    <t>a1</t>
  </si>
  <si>
    <t>a2</t>
  </si>
  <si>
    <t>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</si>
</sst>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B4A7D6"/>
      </patternFill>
    </fill>
    <fill>
      <patternFill patternType="solid">
        <fgColor rgb="FFEFEBF7"/>
      </patternFill>
    </fill>
    <fill>
      <patternFill patternType="solid">
        <fgColor rgb="FF76A5AF"/>
      </patternFill>
    </fill>
    <fill>
      <patternFill patternType="solid">
        <fgColor rgb="FFE3EFF1"/>
      </patternFill>
    </fill>
    <fill>
      <patternFill patternType="solid">
        <fgColor rgb="FF93C47D"/>
      </patternFill>
    </fill>
    <fill>
      <patternFill patternType="solid">
        <fgColor rgb="FFE8F3E3"/>
      </patternFill>
    </fill>
    <fill>
      <patternFill patternType="solid">
        <fgColor rgb="FF9FC5E8"/>
      </patternFill>
    </fill>
    <fill>
      <patternFill patternType="solid">
        <fgColor rgb="FFEAF2FB"/>
      </patternFill>
    </fill>
    <fill>
      <patternFill patternType="solid">
        <fgColor rgb="FFF6B26B"/>
      </patternFill>
    </fill>
    <fill>
      <patternFill patternType="solid">
        <fgColor rgb="FFFDF0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 applyAlignment="1">
      <alignment vertical="top"/>
    </xf>
    <xf numFmtId="0" fontId="0" fillId="3" borderId="0" xfId="0" applyFill="1" applyAlignment="1">
      <alignment vertical="top" wrapText="1"/>
    </xf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0" fillId="7" borderId="0" xfId="0" applyFill="1"/>
    <xf numFmtId="0" fontId="0" fillId="7" borderId="0" xfId="0" applyFill="1" applyAlignment="1">
      <alignment vertical="top" wrapText="1"/>
    </xf>
    <xf numFmtId="0" fontId="1" fillId="8" borderId="0" xfId="0" applyFont="1" applyFill="1"/>
    <xf numFmtId="0" fontId="0" fillId="9" borderId="0" xfId="0" applyFill="1"/>
    <xf numFmtId="0" fontId="1" fillId="10" borderId="0" xfId="0" applyFont="1" applyFill="1"/>
    <xf numFmtId="0" fontId="0" fillId="11" borderId="0" xfId="0" applyFill="1"/>
    <xf numFmtId="0" fontId="1" fillId="12" borderId="0" xfId="0" applyFont="1" applyFill="1"/>
    <xf numFmtId="0" fontId="0" fillId="13" borderId="0" xfId="0" applyFill="1"/>
  </cellXfs>
  <cellStyles count="1">
    <cellStyle name="Normal" xfId="0" builtinId="0"/>
  </cellStyles>
  <dxfs count="15"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7B7B7"/>
  </sheetPr>
  <dimension ref="A1:B23"/>
  <sheetViews>
    <sheetView zoomScale="120" zoomScaleNormal="12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130" customWidth="1"/>
  </cols>
  <sheetData>
    <row r="1" spans="1:2" x14ac:dyDescent="0.2">
      <c r="A1" s="1" t="s">
        <v>92</v>
      </c>
      <c r="B1" s="1" t="s">
        <v>93</v>
      </c>
    </row>
    <row r="2" spans="1:2" ht="32" customHeight="1" x14ac:dyDescent="0.2">
      <c r="A2" s="2" t="s">
        <v>94</v>
      </c>
      <c r="B2" s="3" t="s">
        <v>95</v>
      </c>
    </row>
    <row r="3" spans="1:2" ht="16" customHeight="1" x14ac:dyDescent="0.2">
      <c r="A3" s="2" t="s">
        <v>96</v>
      </c>
      <c r="B3" s="3" t="s">
        <v>97</v>
      </c>
    </row>
    <row r="4" spans="1:2" ht="16" customHeight="1" x14ac:dyDescent="0.2">
      <c r="A4" s="2" t="s">
        <v>98</v>
      </c>
      <c r="B4" s="3" t="s">
        <v>99</v>
      </c>
    </row>
    <row r="5" spans="1:2" ht="32" customHeight="1" x14ac:dyDescent="0.2">
      <c r="A5" s="2" t="s">
        <v>100</v>
      </c>
      <c r="B5" s="3" t="s">
        <v>101</v>
      </c>
    </row>
    <row r="6" spans="1:2" ht="32" customHeight="1" x14ac:dyDescent="0.2">
      <c r="A6" s="2" t="s">
        <v>102</v>
      </c>
      <c r="B6" s="3" t="s">
        <v>103</v>
      </c>
    </row>
    <row r="7" spans="1:2" ht="16" customHeight="1" x14ac:dyDescent="0.2">
      <c r="A7" s="2" t="s">
        <v>104</v>
      </c>
      <c r="B7" s="3" t="s">
        <v>105</v>
      </c>
    </row>
    <row r="8" spans="1:2" ht="32" customHeight="1" x14ac:dyDescent="0.2">
      <c r="A8" s="2" t="s">
        <v>106</v>
      </c>
      <c r="B8" s="3" t="s">
        <v>107</v>
      </c>
    </row>
    <row r="9" spans="1:2" ht="32" customHeight="1" x14ac:dyDescent="0.2">
      <c r="A9" s="2" t="s">
        <v>108</v>
      </c>
      <c r="B9" s="3" t="s">
        <v>109</v>
      </c>
    </row>
    <row r="10" spans="1:2" ht="16" customHeight="1" x14ac:dyDescent="0.2">
      <c r="A10" s="2" t="s">
        <v>110</v>
      </c>
      <c r="B10" s="3" t="s">
        <v>111</v>
      </c>
    </row>
    <row r="11" spans="1:2" ht="16" customHeight="1" x14ac:dyDescent="0.2">
      <c r="A11" s="2" t="s">
        <v>112</v>
      </c>
      <c r="B11" s="3" t="s">
        <v>113</v>
      </c>
    </row>
    <row r="12" spans="1:2" ht="32" customHeight="1" x14ac:dyDescent="0.2">
      <c r="A12" s="2" t="s">
        <v>114</v>
      </c>
      <c r="B12" s="3" t="s">
        <v>115</v>
      </c>
    </row>
    <row r="13" spans="1:2" ht="32" customHeight="1" x14ac:dyDescent="0.2">
      <c r="A13" s="2" t="s">
        <v>1</v>
      </c>
      <c r="B13" s="3" t="s">
        <v>116</v>
      </c>
    </row>
    <row r="14" spans="1:2" ht="32" customHeight="1" x14ac:dyDescent="0.2">
      <c r="A14" s="2" t="s">
        <v>117</v>
      </c>
      <c r="B14" s="3" t="s">
        <v>118</v>
      </c>
    </row>
    <row r="15" spans="1:2" ht="64" customHeight="1" x14ac:dyDescent="0.2">
      <c r="A15" s="2" t="s">
        <v>12</v>
      </c>
      <c r="B15" s="3" t="s">
        <v>119</v>
      </c>
    </row>
    <row r="16" spans="1:2" ht="32" customHeight="1" x14ac:dyDescent="0.2">
      <c r="A16" s="2" t="s">
        <v>120</v>
      </c>
      <c r="B16" s="3" t="s">
        <v>121</v>
      </c>
    </row>
    <row r="17" spans="1:2" ht="32" x14ac:dyDescent="0.2">
      <c r="A17" s="2" t="s">
        <v>122</v>
      </c>
      <c r="B17" s="3" t="s">
        <v>123</v>
      </c>
    </row>
    <row r="18" spans="1:2" ht="16" x14ac:dyDescent="0.2">
      <c r="A18" s="2" t="s">
        <v>124</v>
      </c>
      <c r="B18" s="3" t="s">
        <v>125</v>
      </c>
    </row>
    <row r="19" spans="1:2" ht="16" x14ac:dyDescent="0.2">
      <c r="A19" s="2" t="s">
        <v>126</v>
      </c>
      <c r="B19" s="3" t="s">
        <v>127</v>
      </c>
    </row>
    <row r="20" spans="1:2" ht="32" x14ac:dyDescent="0.2">
      <c r="A20" s="2" t="s">
        <v>128</v>
      </c>
      <c r="B20" s="3" t="s">
        <v>129</v>
      </c>
    </row>
    <row r="21" spans="1:2" ht="32" x14ac:dyDescent="0.2">
      <c r="A21" s="2" t="s">
        <v>130</v>
      </c>
      <c r="B21" s="3" t="s">
        <v>131</v>
      </c>
    </row>
    <row r="22" spans="1:2" ht="32" x14ac:dyDescent="0.2">
      <c r="A22" s="2" t="s">
        <v>132</v>
      </c>
      <c r="B22" s="3" t="s">
        <v>133</v>
      </c>
    </row>
    <row r="23" spans="1:2" ht="32" x14ac:dyDescent="0.2">
      <c r="A23" s="2" t="s">
        <v>134</v>
      </c>
      <c r="B23" s="3" t="s">
        <v>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4A7D6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59" customWidth="1"/>
    <col min="3" max="3" width="47" customWidth="1"/>
    <col min="4" max="4" width="14" customWidth="1"/>
    <col min="5" max="6" width="19" customWidth="1"/>
    <col min="7" max="7" width="17" customWidth="1"/>
    <col min="8" max="8" width="31" customWidth="1"/>
    <col min="9" max="9" width="42" customWidth="1"/>
  </cols>
  <sheetData>
    <row r="1" spans="1:9" x14ac:dyDescent="0.2">
      <c r="A1" s="4" t="s">
        <v>136</v>
      </c>
      <c r="B1" s="4" t="s">
        <v>137</v>
      </c>
      <c r="C1" s="4" t="s">
        <v>138</v>
      </c>
      <c r="D1" s="4" t="s">
        <v>139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</row>
    <row r="2" spans="1:9" x14ac:dyDescent="0.2">
      <c r="A2" s="5" t="s">
        <v>17</v>
      </c>
      <c r="B2" s="5" t="s">
        <v>145</v>
      </c>
      <c r="C2" s="5" t="s">
        <v>146</v>
      </c>
      <c r="D2" s="5">
        <v>50</v>
      </c>
      <c r="E2" s="5" t="s">
        <v>67</v>
      </c>
      <c r="F2" s="5" t="s">
        <v>147</v>
      </c>
      <c r="G2" s="5" t="s">
        <v>148</v>
      </c>
      <c r="H2" s="5" t="s">
        <v>149</v>
      </c>
      <c r="I2" s="5" t="s">
        <v>150</v>
      </c>
    </row>
    <row r="3" spans="1:9" x14ac:dyDescent="0.2">
      <c r="A3" s="5" t="s">
        <v>151</v>
      </c>
      <c r="B3" s="5" t="s">
        <v>152</v>
      </c>
      <c r="C3" s="5" t="s">
        <v>146</v>
      </c>
      <c r="D3" s="5">
        <v>50</v>
      </c>
      <c r="E3" s="5" t="s">
        <v>67</v>
      </c>
      <c r="F3" s="5" t="s">
        <v>147</v>
      </c>
      <c r="G3" s="5" t="s">
        <v>148</v>
      </c>
      <c r="H3" s="5" t="s">
        <v>149</v>
      </c>
      <c r="I3" s="5" t="s">
        <v>150</v>
      </c>
    </row>
    <row r="4" spans="1:9" x14ac:dyDescent="0.2">
      <c r="A4" s="5" t="s">
        <v>153</v>
      </c>
      <c r="B4" s="5" t="s">
        <v>154</v>
      </c>
      <c r="C4" s="5" t="s">
        <v>155</v>
      </c>
      <c r="D4" s="5">
        <v>50</v>
      </c>
      <c r="E4" s="5" t="s">
        <v>67</v>
      </c>
      <c r="F4" s="5" t="s">
        <v>156</v>
      </c>
      <c r="G4" s="5" t="s">
        <v>148</v>
      </c>
      <c r="H4" s="5" t="s">
        <v>157</v>
      </c>
      <c r="I4" s="5" t="s">
        <v>158</v>
      </c>
    </row>
    <row r="5" spans="1:9" x14ac:dyDescent="0.2">
      <c r="A5" s="5" t="s">
        <v>159</v>
      </c>
      <c r="B5" s="5" t="s">
        <v>160</v>
      </c>
      <c r="C5" s="5" t="s">
        <v>161</v>
      </c>
      <c r="D5" s="5">
        <v>50</v>
      </c>
      <c r="E5" s="5" t="s">
        <v>67</v>
      </c>
      <c r="F5" s="5" t="s">
        <v>162</v>
      </c>
      <c r="G5" s="5" t="s">
        <v>163</v>
      </c>
      <c r="H5" s="5"/>
      <c r="I5" s="5" t="s">
        <v>164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4A7D6"/>
  </sheetPr>
  <dimension ref="A1:D1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20" customWidth="1"/>
    <col min="4" max="4" width="45" customWidth="1"/>
  </cols>
  <sheetData>
    <row r="1" spans="1:4" x14ac:dyDescent="0.2">
      <c r="A1" s="4" t="s">
        <v>5</v>
      </c>
      <c r="B1" s="4" t="s">
        <v>165</v>
      </c>
      <c r="C1" s="4" t="s">
        <v>7</v>
      </c>
      <c r="D1" s="4" t="s">
        <v>6</v>
      </c>
    </row>
    <row r="2" spans="1:4" x14ac:dyDescent="0.2">
      <c r="A2" s="5" t="s">
        <v>166</v>
      </c>
      <c r="B2" s="5">
        <v>6</v>
      </c>
      <c r="C2" s="5" t="s">
        <v>148</v>
      </c>
      <c r="D2" s="5" t="s">
        <v>167</v>
      </c>
    </row>
    <row r="3" spans="1:4" x14ac:dyDescent="0.2">
      <c r="A3" s="5" t="s">
        <v>168</v>
      </c>
      <c r="B3" s="5">
        <v>4</v>
      </c>
      <c r="C3" s="5" t="s">
        <v>148</v>
      </c>
      <c r="D3" s="5" t="s">
        <v>169</v>
      </c>
    </row>
    <row r="4" spans="1:4" x14ac:dyDescent="0.2">
      <c r="A4" s="5" t="s">
        <v>170</v>
      </c>
      <c r="B4" s="5">
        <v>100</v>
      </c>
      <c r="C4" s="5" t="s">
        <v>163</v>
      </c>
      <c r="D4" s="5" t="s">
        <v>171</v>
      </c>
    </row>
    <row r="5" spans="1:4" x14ac:dyDescent="0.2">
      <c r="A5" s="5" t="s">
        <v>172</v>
      </c>
      <c r="B5" s="5" t="s">
        <v>173</v>
      </c>
      <c r="C5" s="5" t="s">
        <v>174</v>
      </c>
      <c r="D5" s="5" t="s">
        <v>175</v>
      </c>
    </row>
    <row r="6" spans="1:4" x14ac:dyDescent="0.2">
      <c r="A6" s="5" t="s">
        <v>176</v>
      </c>
      <c r="B6" s="5" t="s">
        <v>177</v>
      </c>
      <c r="C6" s="5" t="s">
        <v>174</v>
      </c>
      <c r="D6" s="5" t="s">
        <v>178</v>
      </c>
    </row>
    <row r="7" spans="1:4" x14ac:dyDescent="0.2">
      <c r="A7" s="5" t="s">
        <v>179</v>
      </c>
      <c r="B7" s="5" t="s">
        <v>180</v>
      </c>
      <c r="C7" s="5" t="s">
        <v>181</v>
      </c>
      <c r="D7" s="5" t="s">
        <v>182</v>
      </c>
    </row>
    <row r="8" spans="1:4" x14ac:dyDescent="0.2">
      <c r="A8" s="5" t="s">
        <v>183</v>
      </c>
      <c r="B8" s="5" t="s">
        <v>184</v>
      </c>
      <c r="C8" s="5" t="s">
        <v>185</v>
      </c>
      <c r="D8" s="5" t="s">
        <v>186</v>
      </c>
    </row>
    <row r="9" spans="1:4" x14ac:dyDescent="0.2">
      <c r="A9" s="5" t="s">
        <v>187</v>
      </c>
      <c r="B9" s="5">
        <v>2000</v>
      </c>
      <c r="C9" s="5" t="s">
        <v>188</v>
      </c>
      <c r="D9" s="5" t="s">
        <v>189</v>
      </c>
    </row>
    <row r="10" spans="1:4" x14ac:dyDescent="0.2">
      <c r="A10" s="5" t="s">
        <v>190</v>
      </c>
      <c r="B10" s="5" t="s">
        <v>191</v>
      </c>
      <c r="C10" s="5" t="s">
        <v>192</v>
      </c>
      <c r="D10" s="5" t="s">
        <v>193</v>
      </c>
    </row>
    <row r="11" spans="1:4" x14ac:dyDescent="0.2">
      <c r="A11" s="5" t="s">
        <v>194</v>
      </c>
      <c r="B11" s="5">
        <v>3.12</v>
      </c>
      <c r="C11" s="5" t="s">
        <v>23</v>
      </c>
      <c r="D11" s="5" t="s">
        <v>195</v>
      </c>
    </row>
    <row r="12" spans="1:4" x14ac:dyDescent="0.2">
      <c r="A12" s="5" t="s">
        <v>196</v>
      </c>
      <c r="B12" s="5" t="s">
        <v>197</v>
      </c>
      <c r="C12" s="5" t="s">
        <v>23</v>
      </c>
      <c r="D12" s="5" t="s">
        <v>198</v>
      </c>
    </row>
    <row r="13" spans="1:4" x14ac:dyDescent="0.2">
      <c r="A13" s="5" t="s">
        <v>199</v>
      </c>
      <c r="B13" s="5" t="s">
        <v>200</v>
      </c>
      <c r="C13" s="5" t="s">
        <v>23</v>
      </c>
      <c r="D13" s="5" t="s">
        <v>201</v>
      </c>
    </row>
    <row r="14" spans="1:4" x14ac:dyDescent="0.2">
      <c r="A14" s="5" t="s">
        <v>202</v>
      </c>
      <c r="B14" s="5">
        <v>42</v>
      </c>
      <c r="C14" s="5" t="s">
        <v>23</v>
      </c>
      <c r="D14" s="5" t="s">
        <v>203</v>
      </c>
    </row>
    <row r="15" spans="1:4" x14ac:dyDescent="0.2">
      <c r="A15" s="5" t="s">
        <v>204</v>
      </c>
      <c r="B15" s="5">
        <v>500</v>
      </c>
      <c r="C15" s="5" t="s">
        <v>188</v>
      </c>
      <c r="D15" s="5" t="s">
        <v>205</v>
      </c>
    </row>
    <row r="16" spans="1:4" x14ac:dyDescent="0.2">
      <c r="A16" s="5" t="s">
        <v>206</v>
      </c>
      <c r="B16" s="5">
        <v>512</v>
      </c>
      <c r="C16" s="5" t="s">
        <v>188</v>
      </c>
      <c r="D16" s="5" t="s">
        <v>207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4A7D6"/>
  </sheetPr>
  <dimension ref="A1:D2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45" customWidth="1"/>
    <col min="4" max="4" width="20" customWidth="1"/>
  </cols>
  <sheetData>
    <row r="1" spans="1:4" x14ac:dyDescent="0.2">
      <c r="A1" s="4" t="s">
        <v>208</v>
      </c>
      <c r="B1" s="4" t="s">
        <v>7</v>
      </c>
      <c r="C1" s="4" t="s">
        <v>209</v>
      </c>
      <c r="D1" s="4" t="s">
        <v>210</v>
      </c>
    </row>
    <row r="2" spans="1:4" x14ac:dyDescent="0.2">
      <c r="A2" s="5" t="s">
        <v>211</v>
      </c>
      <c r="B2" s="5" t="s">
        <v>212</v>
      </c>
      <c r="C2" s="5" t="s">
        <v>211</v>
      </c>
      <c r="D2" s="5" t="s">
        <v>213</v>
      </c>
    </row>
    <row r="3" spans="1:4" x14ac:dyDescent="0.2">
      <c r="A3" s="5" t="s">
        <v>214</v>
      </c>
      <c r="B3" s="5" t="s">
        <v>215</v>
      </c>
      <c r="C3" s="5" t="s">
        <v>214</v>
      </c>
      <c r="D3" s="5" t="s">
        <v>213</v>
      </c>
    </row>
    <row r="4" spans="1:4" x14ac:dyDescent="0.2">
      <c r="A4" s="5" t="s">
        <v>216</v>
      </c>
      <c r="B4" s="5" t="s">
        <v>217</v>
      </c>
      <c r="C4" s="5" t="s">
        <v>216</v>
      </c>
      <c r="D4" s="5" t="s">
        <v>213</v>
      </c>
    </row>
    <row r="5" spans="1:4" x14ac:dyDescent="0.2">
      <c r="A5" s="5" t="s">
        <v>218</v>
      </c>
      <c r="B5" s="5" t="s">
        <v>219</v>
      </c>
      <c r="C5" s="5" t="s">
        <v>218</v>
      </c>
      <c r="D5" s="5" t="s">
        <v>213</v>
      </c>
    </row>
    <row r="6" spans="1:4" x14ac:dyDescent="0.2">
      <c r="A6" s="5" t="s">
        <v>220</v>
      </c>
      <c r="B6" s="5" t="s">
        <v>221</v>
      </c>
      <c r="C6" s="5" t="s">
        <v>222</v>
      </c>
      <c r="D6" s="5" t="s">
        <v>213</v>
      </c>
    </row>
    <row r="7" spans="1:4" x14ac:dyDescent="0.2">
      <c r="A7" s="5" t="s">
        <v>223</v>
      </c>
      <c r="B7" s="5" t="s">
        <v>224</v>
      </c>
      <c r="C7" s="5" t="s">
        <v>223</v>
      </c>
      <c r="D7" s="5" t="s">
        <v>213</v>
      </c>
    </row>
    <row r="8" spans="1:4" x14ac:dyDescent="0.2">
      <c r="A8" s="5" t="s">
        <v>225</v>
      </c>
      <c r="B8" s="5" t="s">
        <v>226</v>
      </c>
      <c r="C8" s="5" t="s">
        <v>225</v>
      </c>
      <c r="D8" s="5" t="s">
        <v>213</v>
      </c>
    </row>
    <row r="9" spans="1:4" x14ac:dyDescent="0.2">
      <c r="A9" s="5" t="s">
        <v>227</v>
      </c>
      <c r="B9" s="5" t="s">
        <v>228</v>
      </c>
      <c r="C9" s="5" t="s">
        <v>229</v>
      </c>
      <c r="D9" s="5" t="s">
        <v>213</v>
      </c>
    </row>
    <row r="10" spans="1:4" x14ac:dyDescent="0.2">
      <c r="A10" s="5" t="s">
        <v>230</v>
      </c>
      <c r="B10" s="5" t="s">
        <v>212</v>
      </c>
      <c r="C10" s="5" t="s">
        <v>230</v>
      </c>
      <c r="D10" s="5" t="s">
        <v>231</v>
      </c>
    </row>
    <row r="11" spans="1:4" x14ac:dyDescent="0.2">
      <c r="A11" s="5" t="s">
        <v>232</v>
      </c>
      <c r="B11" s="5" t="s">
        <v>212</v>
      </c>
      <c r="C11" s="5" t="s">
        <v>232</v>
      </c>
      <c r="D11" s="5" t="s">
        <v>231</v>
      </c>
    </row>
    <row r="12" spans="1:4" x14ac:dyDescent="0.2">
      <c r="A12" s="5" t="s">
        <v>233</v>
      </c>
      <c r="B12" s="5" t="s">
        <v>212</v>
      </c>
      <c r="C12" s="5" t="s">
        <v>233</v>
      </c>
      <c r="D12" s="5" t="s">
        <v>231</v>
      </c>
    </row>
    <row r="13" spans="1:4" x14ac:dyDescent="0.2">
      <c r="A13" s="5" t="s">
        <v>234</v>
      </c>
      <c r="B13" s="5" t="s">
        <v>235</v>
      </c>
      <c r="C13" s="5" t="s">
        <v>234</v>
      </c>
      <c r="D13" s="5" t="s">
        <v>231</v>
      </c>
    </row>
    <row r="14" spans="1:4" x14ac:dyDescent="0.2">
      <c r="A14" s="5" t="s">
        <v>236</v>
      </c>
      <c r="B14" s="5" t="s">
        <v>235</v>
      </c>
      <c r="C14" s="5" t="s">
        <v>236</v>
      </c>
      <c r="D14" s="5" t="s">
        <v>231</v>
      </c>
    </row>
    <row r="15" spans="1:4" x14ac:dyDescent="0.2">
      <c r="A15" s="5" t="s">
        <v>237</v>
      </c>
      <c r="B15" s="5" t="s">
        <v>235</v>
      </c>
      <c r="C15" s="5" t="s">
        <v>237</v>
      </c>
      <c r="D15" s="5" t="s">
        <v>231</v>
      </c>
    </row>
    <row r="16" spans="1:4" x14ac:dyDescent="0.2">
      <c r="A16" s="5" t="s">
        <v>238</v>
      </c>
      <c r="B16" s="5" t="s">
        <v>239</v>
      </c>
      <c r="C16" s="5" t="s">
        <v>238</v>
      </c>
      <c r="D16" s="5" t="s">
        <v>231</v>
      </c>
    </row>
    <row r="17" spans="1:4" x14ac:dyDescent="0.2">
      <c r="A17" s="5" t="s">
        <v>240</v>
      </c>
      <c r="B17" s="5" t="s">
        <v>241</v>
      </c>
      <c r="C17" s="5" t="s">
        <v>240</v>
      </c>
      <c r="D17" s="5" t="s">
        <v>231</v>
      </c>
    </row>
    <row r="18" spans="1:4" x14ac:dyDescent="0.2">
      <c r="A18" s="5" t="s">
        <v>242</v>
      </c>
      <c r="B18" s="5" t="s">
        <v>243</v>
      </c>
      <c r="C18" s="5" t="s">
        <v>242</v>
      </c>
      <c r="D18" s="5" t="s">
        <v>231</v>
      </c>
    </row>
    <row r="19" spans="1:4" x14ac:dyDescent="0.2">
      <c r="A19" s="5" t="s">
        <v>244</v>
      </c>
      <c r="B19" s="5" t="s">
        <v>245</v>
      </c>
      <c r="C19" s="5" t="s">
        <v>244</v>
      </c>
      <c r="D19" s="5" t="s">
        <v>231</v>
      </c>
    </row>
    <row r="20" spans="1:4" x14ac:dyDescent="0.2">
      <c r="A20" s="5" t="s">
        <v>246</v>
      </c>
      <c r="B20" s="5" t="s">
        <v>245</v>
      </c>
      <c r="C20" s="5" t="s">
        <v>246</v>
      </c>
      <c r="D20" s="5" t="s">
        <v>231</v>
      </c>
    </row>
    <row r="21" spans="1:4" x14ac:dyDescent="0.2">
      <c r="A21" s="5" t="s">
        <v>247</v>
      </c>
      <c r="B21" s="5" t="s">
        <v>245</v>
      </c>
      <c r="C21" s="5" t="s">
        <v>247</v>
      </c>
      <c r="D21" s="5" t="s">
        <v>231</v>
      </c>
    </row>
    <row r="22" spans="1:4" x14ac:dyDescent="0.2">
      <c r="A22" s="5" t="s">
        <v>248</v>
      </c>
      <c r="B22" s="5" t="s">
        <v>245</v>
      </c>
      <c r="C22" s="5" t="s">
        <v>248</v>
      </c>
      <c r="D22" s="5" t="s">
        <v>231</v>
      </c>
    </row>
    <row r="23" spans="1:4" x14ac:dyDescent="0.2">
      <c r="A23" s="5" t="s">
        <v>249</v>
      </c>
      <c r="B23" s="5" t="s">
        <v>245</v>
      </c>
      <c r="C23" s="5" t="s">
        <v>249</v>
      </c>
      <c r="D23" s="5" t="s">
        <v>231</v>
      </c>
    </row>
    <row r="24" spans="1:4" x14ac:dyDescent="0.2">
      <c r="A24" s="5" t="s">
        <v>250</v>
      </c>
      <c r="B24" s="5" t="s">
        <v>245</v>
      </c>
      <c r="C24" s="5" t="s">
        <v>250</v>
      </c>
      <c r="D24" s="5" t="s">
        <v>231</v>
      </c>
    </row>
    <row r="25" spans="1:4" x14ac:dyDescent="0.2">
      <c r="A25" s="5" t="s">
        <v>251</v>
      </c>
      <c r="B25" s="5" t="s">
        <v>252</v>
      </c>
      <c r="C25" s="5" t="s">
        <v>251</v>
      </c>
      <c r="D25" s="5" t="s">
        <v>231</v>
      </c>
    </row>
    <row r="26" spans="1:4" x14ac:dyDescent="0.2">
      <c r="A26" s="5" t="s">
        <v>253</v>
      </c>
      <c r="B26" s="5" t="s">
        <v>254</v>
      </c>
      <c r="C26" s="5" t="s">
        <v>253</v>
      </c>
      <c r="D26" s="5" t="s">
        <v>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4A7D6"/>
  </sheetPr>
  <dimension ref="A1:G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9" customWidth="1"/>
    <col min="2" max="3" width="15" customWidth="1"/>
    <col min="4" max="4" width="17" customWidth="1"/>
    <col min="5" max="5" width="14" customWidth="1"/>
    <col min="6" max="6" width="44" customWidth="1"/>
    <col min="7" max="7" width="12" customWidth="1"/>
  </cols>
  <sheetData>
    <row r="1" spans="1:7" x14ac:dyDescent="0.2">
      <c r="A1" s="4" t="s">
        <v>255</v>
      </c>
      <c r="B1" s="4" t="s">
        <v>209</v>
      </c>
      <c r="C1" s="4" t="s">
        <v>256</v>
      </c>
      <c r="D1" s="4" t="s">
        <v>257</v>
      </c>
      <c r="E1" s="4" t="s">
        <v>258</v>
      </c>
      <c r="F1" s="4" t="s">
        <v>16</v>
      </c>
      <c r="G1" s="4" t="s">
        <v>259</v>
      </c>
    </row>
    <row r="2" spans="1:7" x14ac:dyDescent="0.2">
      <c r="A2" s="5" t="s">
        <v>260</v>
      </c>
      <c r="B2" s="5" t="s">
        <v>261</v>
      </c>
      <c r="C2" s="5"/>
      <c r="D2" s="5"/>
      <c r="E2" s="5"/>
      <c r="F2" s="5" t="s">
        <v>262</v>
      </c>
      <c r="G2" s="5" t="s">
        <v>213</v>
      </c>
    </row>
    <row r="3" spans="1:7" x14ac:dyDescent="0.2">
      <c r="A3" s="5" t="s">
        <v>263</v>
      </c>
      <c r="B3" s="5" t="s">
        <v>264</v>
      </c>
      <c r="C3" s="5" t="s">
        <v>265</v>
      </c>
      <c r="D3" s="5" t="s">
        <v>266</v>
      </c>
      <c r="E3" s="5">
        <v>2050</v>
      </c>
      <c r="F3" s="5" t="s">
        <v>267</v>
      </c>
      <c r="G3" s="5" t="s">
        <v>231</v>
      </c>
    </row>
    <row r="4" spans="1:7" x14ac:dyDescent="0.2">
      <c r="A4" s="5" t="s">
        <v>268</v>
      </c>
      <c r="B4" s="5">
        <v>2050</v>
      </c>
      <c r="C4" s="5" t="s">
        <v>265</v>
      </c>
      <c r="D4" s="5" t="s">
        <v>269</v>
      </c>
      <c r="E4" s="5">
        <v>2050</v>
      </c>
      <c r="F4" s="5" t="s">
        <v>270</v>
      </c>
      <c r="G4" s="5" t="s">
        <v>213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6A5AF"/>
  </sheetPr>
  <dimension ref="A1:Q56"/>
  <sheetViews>
    <sheetView workbookViewId="0">
      <pane xSplit="6" ySplit="1" topLeftCell="G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15" customWidth="1"/>
    <col min="3" max="3" width="13" customWidth="1"/>
    <col min="4" max="4" width="22" customWidth="1"/>
    <col min="5" max="5" width="17" customWidth="1"/>
    <col min="6" max="6" width="34" customWidth="1"/>
    <col min="7" max="7" width="60" customWidth="1"/>
    <col min="8" max="8" width="14" customWidth="1"/>
    <col min="9" max="10" width="9" customWidth="1"/>
    <col min="11" max="12" width="13" customWidth="1"/>
    <col min="13" max="13" width="17" customWidth="1"/>
    <col min="14" max="14" width="40" customWidth="1"/>
    <col min="15" max="15" width="13" customWidth="1"/>
    <col min="16" max="16" width="40" customWidth="1"/>
  </cols>
  <sheetData>
    <row r="1" spans="1:17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16" customHeight="1" x14ac:dyDescent="0.2">
      <c r="A2" s="7" t="s">
        <v>153</v>
      </c>
      <c r="B2" s="7" t="s">
        <v>18</v>
      </c>
      <c r="C2" s="7" t="s">
        <v>19</v>
      </c>
      <c r="D2" s="7" t="s">
        <v>20</v>
      </c>
      <c r="E2" s="7"/>
      <c r="F2" s="7" t="s">
        <v>271</v>
      </c>
      <c r="G2" s="7" t="s">
        <v>272</v>
      </c>
      <c r="H2" s="7" t="s">
        <v>148</v>
      </c>
      <c r="I2" s="7">
        <v>3</v>
      </c>
      <c r="J2" s="7">
        <v>3</v>
      </c>
      <c r="K2" s="7">
        <v>3</v>
      </c>
      <c r="L2" s="7"/>
      <c r="M2" s="7" t="s">
        <v>78</v>
      </c>
      <c r="N2" s="7"/>
      <c r="O2" s="7" t="s">
        <v>25</v>
      </c>
      <c r="P2" s="7" t="s">
        <v>26</v>
      </c>
      <c r="Q2" s="7" t="s">
        <v>273</v>
      </c>
    </row>
    <row r="3" spans="1:17" ht="16" customHeight="1" x14ac:dyDescent="0.2">
      <c r="A3" s="7" t="s">
        <v>153</v>
      </c>
      <c r="B3" s="7" t="s">
        <v>18</v>
      </c>
      <c r="C3" s="7" t="s">
        <v>19</v>
      </c>
      <c r="D3" s="7" t="s">
        <v>20</v>
      </c>
      <c r="E3" s="7"/>
      <c r="F3" s="7" t="s">
        <v>274</v>
      </c>
      <c r="G3" s="7" t="s">
        <v>275</v>
      </c>
      <c r="H3" s="7" t="s">
        <v>23</v>
      </c>
      <c r="I3" s="7">
        <v>10</v>
      </c>
      <c r="J3" s="7">
        <v>8</v>
      </c>
      <c r="K3" s="7">
        <v>12</v>
      </c>
      <c r="L3" s="7"/>
      <c r="M3" s="7" t="s">
        <v>24</v>
      </c>
      <c r="N3" s="7"/>
      <c r="O3" s="7" t="s">
        <v>25</v>
      </c>
      <c r="P3" s="7" t="s">
        <v>26</v>
      </c>
      <c r="Q3" s="7"/>
    </row>
    <row r="4" spans="1:17" ht="16" customHeight="1" x14ac:dyDescent="0.2">
      <c r="A4" s="7" t="s">
        <v>153</v>
      </c>
      <c r="B4" s="7" t="s">
        <v>18</v>
      </c>
      <c r="C4" s="7" t="s">
        <v>19</v>
      </c>
      <c r="D4" s="7" t="s">
        <v>20</v>
      </c>
      <c r="E4" s="7"/>
      <c r="F4" s="7" t="s">
        <v>29</v>
      </c>
      <c r="G4" s="7" t="s">
        <v>276</v>
      </c>
      <c r="H4" s="7" t="s">
        <v>31</v>
      </c>
      <c r="I4" s="7">
        <v>350</v>
      </c>
      <c r="J4" s="7">
        <v>280</v>
      </c>
      <c r="K4" s="7">
        <v>420</v>
      </c>
      <c r="L4" s="7"/>
      <c r="M4" s="7" t="s">
        <v>24</v>
      </c>
      <c r="N4" s="7"/>
      <c r="O4" s="7" t="s">
        <v>25</v>
      </c>
      <c r="P4" s="7" t="s">
        <v>26</v>
      </c>
      <c r="Q4" s="7"/>
    </row>
    <row r="5" spans="1:17" ht="32" customHeight="1" x14ac:dyDescent="0.2">
      <c r="A5" s="7" t="s">
        <v>153</v>
      </c>
      <c r="B5" s="7" t="s">
        <v>18</v>
      </c>
      <c r="C5" s="7" t="s">
        <v>32</v>
      </c>
      <c r="D5" s="7" t="s">
        <v>277</v>
      </c>
      <c r="E5" s="7" t="s">
        <v>59</v>
      </c>
      <c r="F5" s="7" t="s">
        <v>35</v>
      </c>
      <c r="G5" s="8" t="s">
        <v>278</v>
      </c>
      <c r="H5" s="7" t="s">
        <v>37</v>
      </c>
      <c r="I5" s="7">
        <v>70</v>
      </c>
      <c r="J5" s="7">
        <v>56</v>
      </c>
      <c r="K5" s="7">
        <v>84</v>
      </c>
      <c r="L5" s="7"/>
      <c r="M5" s="7" t="s">
        <v>24</v>
      </c>
      <c r="N5" s="7"/>
      <c r="O5" s="7"/>
      <c r="P5" s="7" t="s">
        <v>26</v>
      </c>
      <c r="Q5" s="7"/>
    </row>
    <row r="6" spans="1:17" ht="32" customHeight="1" x14ac:dyDescent="0.2">
      <c r="A6" s="7" t="s">
        <v>153</v>
      </c>
      <c r="B6" s="7" t="s">
        <v>18</v>
      </c>
      <c r="C6" s="7" t="s">
        <v>32</v>
      </c>
      <c r="D6" s="7" t="s">
        <v>279</v>
      </c>
      <c r="E6" s="7" t="s">
        <v>280</v>
      </c>
      <c r="F6" s="7" t="s">
        <v>35</v>
      </c>
      <c r="G6" s="8" t="s">
        <v>281</v>
      </c>
      <c r="H6" s="7" t="s">
        <v>37</v>
      </c>
      <c r="I6" s="7">
        <v>20</v>
      </c>
      <c r="J6" s="7">
        <v>16</v>
      </c>
      <c r="K6" s="7">
        <v>24</v>
      </c>
      <c r="L6" s="7"/>
      <c r="M6" s="7" t="s">
        <v>24</v>
      </c>
      <c r="N6" s="7"/>
      <c r="O6" s="7"/>
      <c r="P6" s="7" t="s">
        <v>26</v>
      </c>
      <c r="Q6" s="7"/>
    </row>
    <row r="7" spans="1:17" ht="32" customHeight="1" x14ac:dyDescent="0.2">
      <c r="A7" s="7" t="s">
        <v>153</v>
      </c>
      <c r="B7" s="7" t="s">
        <v>18</v>
      </c>
      <c r="C7" s="7" t="s">
        <v>32</v>
      </c>
      <c r="D7" s="7" t="s">
        <v>282</v>
      </c>
      <c r="E7" s="7" t="s">
        <v>283</v>
      </c>
      <c r="F7" s="7" t="s">
        <v>35</v>
      </c>
      <c r="G7" s="8" t="s">
        <v>284</v>
      </c>
      <c r="H7" s="7" t="s">
        <v>37</v>
      </c>
      <c r="I7" s="7">
        <v>10</v>
      </c>
      <c r="J7" s="7">
        <v>8</v>
      </c>
      <c r="K7" s="7">
        <v>12</v>
      </c>
      <c r="L7" s="7"/>
      <c r="M7" s="7" t="s">
        <v>24</v>
      </c>
      <c r="N7" s="7"/>
      <c r="O7" s="7"/>
      <c r="P7" s="7" t="s">
        <v>26</v>
      </c>
      <c r="Q7" s="7"/>
    </row>
    <row r="8" spans="1:17" ht="32" customHeight="1" x14ac:dyDescent="0.2">
      <c r="A8" s="7" t="s">
        <v>153</v>
      </c>
      <c r="B8" s="7" t="s">
        <v>18</v>
      </c>
      <c r="C8" s="7" t="s">
        <v>38</v>
      </c>
      <c r="D8" s="7" t="s">
        <v>277</v>
      </c>
      <c r="E8" s="7" t="s">
        <v>59</v>
      </c>
      <c r="F8" s="7" t="s">
        <v>35</v>
      </c>
      <c r="G8" s="8" t="s">
        <v>285</v>
      </c>
      <c r="H8" s="7" t="s">
        <v>37</v>
      </c>
      <c r="I8" s="7">
        <v>80</v>
      </c>
      <c r="J8" s="7">
        <v>64</v>
      </c>
      <c r="K8" s="7">
        <v>96</v>
      </c>
      <c r="L8" s="7"/>
      <c r="M8" s="7" t="s">
        <v>24</v>
      </c>
      <c r="N8" s="7"/>
      <c r="O8" s="7"/>
      <c r="P8" s="7" t="s">
        <v>26</v>
      </c>
      <c r="Q8" s="7"/>
    </row>
    <row r="9" spans="1:17" ht="32" customHeight="1" x14ac:dyDescent="0.2">
      <c r="A9" s="7" t="s">
        <v>153</v>
      </c>
      <c r="B9" s="7" t="s">
        <v>18</v>
      </c>
      <c r="C9" s="7" t="s">
        <v>38</v>
      </c>
      <c r="D9" s="7" t="s">
        <v>282</v>
      </c>
      <c r="E9" s="7" t="s">
        <v>283</v>
      </c>
      <c r="F9" s="7" t="s">
        <v>35</v>
      </c>
      <c r="G9" s="8" t="s">
        <v>286</v>
      </c>
      <c r="H9" s="7" t="s">
        <v>37</v>
      </c>
      <c r="I9" s="7">
        <v>10</v>
      </c>
      <c r="J9" s="7">
        <v>8</v>
      </c>
      <c r="K9" s="7">
        <v>12</v>
      </c>
      <c r="L9" s="7"/>
      <c r="M9" s="7" t="s">
        <v>24</v>
      </c>
      <c r="N9" s="7"/>
      <c r="O9" s="7"/>
      <c r="P9" s="7" t="s">
        <v>26</v>
      </c>
      <c r="Q9" s="7"/>
    </row>
    <row r="10" spans="1:17" ht="32" customHeight="1" x14ac:dyDescent="0.2">
      <c r="A10" s="7" t="s">
        <v>153</v>
      </c>
      <c r="B10" s="7" t="s">
        <v>18</v>
      </c>
      <c r="C10" s="7" t="s">
        <v>38</v>
      </c>
      <c r="D10" s="7" t="s">
        <v>287</v>
      </c>
      <c r="E10" s="7" t="s">
        <v>59</v>
      </c>
      <c r="F10" s="7" t="s">
        <v>35</v>
      </c>
      <c r="G10" s="8" t="s">
        <v>285</v>
      </c>
      <c r="H10" s="7" t="s">
        <v>37</v>
      </c>
      <c r="I10" s="7">
        <v>10</v>
      </c>
      <c r="J10" s="7">
        <v>8</v>
      </c>
      <c r="K10" s="7">
        <v>12</v>
      </c>
      <c r="L10" s="7"/>
      <c r="M10" s="7" t="s">
        <v>24</v>
      </c>
      <c r="N10" s="7"/>
      <c r="O10" s="7"/>
      <c r="P10" s="7" t="s">
        <v>26</v>
      </c>
      <c r="Q10" s="7"/>
    </row>
    <row r="11" spans="1:17" ht="16" customHeight="1" x14ac:dyDescent="0.2">
      <c r="A11" s="7" t="s">
        <v>153</v>
      </c>
      <c r="B11" s="7" t="s">
        <v>40</v>
      </c>
      <c r="C11" s="7" t="s">
        <v>32</v>
      </c>
      <c r="D11" s="7" t="s">
        <v>288</v>
      </c>
      <c r="E11" s="7"/>
      <c r="F11" s="7" t="s">
        <v>42</v>
      </c>
      <c r="G11" s="8" t="s">
        <v>43</v>
      </c>
      <c r="H11" s="7" t="s">
        <v>44</v>
      </c>
      <c r="I11" s="7">
        <v>65</v>
      </c>
      <c r="J11" s="7">
        <v>52</v>
      </c>
      <c r="K11" s="7">
        <v>78</v>
      </c>
      <c r="L11" s="7"/>
      <c r="M11" s="7" t="s">
        <v>24</v>
      </c>
      <c r="N11" s="7"/>
      <c r="O11" s="7" t="s">
        <v>45</v>
      </c>
      <c r="P11" s="7" t="s">
        <v>26</v>
      </c>
      <c r="Q11" s="7"/>
    </row>
    <row r="12" spans="1:17" ht="16" customHeight="1" x14ac:dyDescent="0.2">
      <c r="A12" s="7" t="s">
        <v>153</v>
      </c>
      <c r="B12" s="7" t="s">
        <v>40</v>
      </c>
      <c r="C12" s="7" t="s">
        <v>32</v>
      </c>
      <c r="D12" s="7" t="s">
        <v>288</v>
      </c>
      <c r="E12" s="7"/>
      <c r="F12" s="7" t="s">
        <v>46</v>
      </c>
      <c r="G12" s="8" t="s">
        <v>47</v>
      </c>
      <c r="H12" s="7" t="s">
        <v>48</v>
      </c>
      <c r="I12" s="7">
        <v>3</v>
      </c>
      <c r="J12" s="7">
        <v>2.4</v>
      </c>
      <c r="K12" s="7">
        <v>3.6</v>
      </c>
      <c r="L12" s="7"/>
      <c r="M12" s="7" t="s">
        <v>24</v>
      </c>
      <c r="N12" s="7"/>
      <c r="O12" s="7" t="s">
        <v>45</v>
      </c>
      <c r="P12" s="7" t="s">
        <v>26</v>
      </c>
      <c r="Q12" s="7"/>
    </row>
    <row r="13" spans="1:17" ht="16" customHeight="1" x14ac:dyDescent="0.2">
      <c r="A13" s="7" t="s">
        <v>153</v>
      </c>
      <c r="B13" s="7" t="s">
        <v>40</v>
      </c>
      <c r="C13" s="7" t="s">
        <v>32</v>
      </c>
      <c r="D13" s="7" t="s">
        <v>288</v>
      </c>
      <c r="E13" s="7"/>
      <c r="F13" s="7" t="s">
        <v>49</v>
      </c>
      <c r="G13" s="8" t="s">
        <v>50</v>
      </c>
      <c r="H13" s="7" t="s">
        <v>51</v>
      </c>
      <c r="I13" s="7">
        <v>1</v>
      </c>
      <c r="J13" s="7">
        <v>0.8</v>
      </c>
      <c r="K13" s="7">
        <v>1.2</v>
      </c>
      <c r="L13" s="7"/>
      <c r="M13" s="7" t="s">
        <v>24</v>
      </c>
      <c r="N13" s="7"/>
      <c r="O13" s="7" t="s">
        <v>45</v>
      </c>
      <c r="P13" s="7" t="s">
        <v>26</v>
      </c>
      <c r="Q13" s="7"/>
    </row>
    <row r="14" spans="1:17" ht="16" customHeight="1" x14ac:dyDescent="0.2">
      <c r="A14" s="7" t="s">
        <v>153</v>
      </c>
      <c r="B14" s="7" t="s">
        <v>40</v>
      </c>
      <c r="C14" s="7" t="s">
        <v>32</v>
      </c>
      <c r="D14" s="7" t="s">
        <v>288</v>
      </c>
      <c r="E14" s="7"/>
      <c r="F14" s="7" t="s">
        <v>52</v>
      </c>
      <c r="G14" s="8" t="s">
        <v>53</v>
      </c>
      <c r="H14" s="7" t="s">
        <v>54</v>
      </c>
      <c r="I14" s="7">
        <v>20000</v>
      </c>
      <c r="J14" s="7">
        <v>16000</v>
      </c>
      <c r="K14" s="7">
        <v>24000</v>
      </c>
      <c r="L14" s="7"/>
      <c r="M14" s="7" t="s">
        <v>24</v>
      </c>
      <c r="N14" s="7"/>
      <c r="O14" s="7" t="s">
        <v>45</v>
      </c>
      <c r="P14" s="7" t="s">
        <v>26</v>
      </c>
      <c r="Q14" s="7"/>
    </row>
    <row r="15" spans="1:17" ht="32" customHeight="1" x14ac:dyDescent="0.2">
      <c r="A15" s="7" t="s">
        <v>153</v>
      </c>
      <c r="B15" s="7" t="s">
        <v>40</v>
      </c>
      <c r="C15" s="7" t="s">
        <v>32</v>
      </c>
      <c r="D15" s="7" t="s">
        <v>288</v>
      </c>
      <c r="E15" s="7"/>
      <c r="F15" s="7" t="s">
        <v>55</v>
      </c>
      <c r="G15" s="8" t="s">
        <v>56</v>
      </c>
      <c r="H15" s="7" t="s">
        <v>37</v>
      </c>
      <c r="I15" s="7">
        <v>100</v>
      </c>
      <c r="J15" s="7">
        <v>80</v>
      </c>
      <c r="K15" s="7">
        <v>100</v>
      </c>
      <c r="L15" s="7"/>
      <c r="M15" s="7" t="s">
        <v>24</v>
      </c>
      <c r="N15" s="7"/>
      <c r="O15" s="7" t="s">
        <v>45</v>
      </c>
      <c r="P15" s="7" t="s">
        <v>26</v>
      </c>
      <c r="Q15" s="7"/>
    </row>
    <row r="16" spans="1:17" ht="16" customHeight="1" x14ac:dyDescent="0.2">
      <c r="A16" s="7" t="s">
        <v>153</v>
      </c>
      <c r="B16" s="7" t="s">
        <v>40</v>
      </c>
      <c r="C16" s="7" t="s">
        <v>32</v>
      </c>
      <c r="D16" s="7" t="s">
        <v>288</v>
      </c>
      <c r="E16" s="7"/>
      <c r="F16" s="7" t="s">
        <v>57</v>
      </c>
      <c r="G16" s="8" t="s">
        <v>58</v>
      </c>
      <c r="H16" s="7" t="s">
        <v>23</v>
      </c>
      <c r="I16" s="7" t="s">
        <v>59</v>
      </c>
      <c r="J16" s="7"/>
      <c r="K16" s="7"/>
      <c r="L16" s="7"/>
      <c r="M16" s="7" t="s">
        <v>60</v>
      </c>
      <c r="N16" s="7" t="s">
        <v>61</v>
      </c>
      <c r="O16" s="7"/>
      <c r="P16" s="7" t="s">
        <v>26</v>
      </c>
      <c r="Q16" s="7"/>
    </row>
    <row r="17" spans="1:17" ht="16" customHeight="1" x14ac:dyDescent="0.2">
      <c r="A17" s="7" t="s">
        <v>153</v>
      </c>
      <c r="B17" s="7" t="s">
        <v>40</v>
      </c>
      <c r="C17" s="7" t="s">
        <v>32</v>
      </c>
      <c r="D17" s="7" t="s">
        <v>289</v>
      </c>
      <c r="E17" s="7"/>
      <c r="F17" s="7" t="s">
        <v>42</v>
      </c>
      <c r="G17" s="8" t="s">
        <v>43</v>
      </c>
      <c r="H17" s="7" t="s">
        <v>44</v>
      </c>
      <c r="I17" s="7">
        <v>150</v>
      </c>
      <c r="J17" s="7">
        <v>120</v>
      </c>
      <c r="K17" s="7">
        <v>180</v>
      </c>
      <c r="L17" s="7"/>
      <c r="M17" s="7" t="s">
        <v>24</v>
      </c>
      <c r="N17" s="7"/>
      <c r="O17" s="7" t="s">
        <v>45</v>
      </c>
      <c r="P17" s="7" t="s">
        <v>26</v>
      </c>
      <c r="Q17" s="7"/>
    </row>
    <row r="18" spans="1:17" ht="16" customHeight="1" x14ac:dyDescent="0.2">
      <c r="A18" s="7" t="s">
        <v>153</v>
      </c>
      <c r="B18" s="7" t="s">
        <v>40</v>
      </c>
      <c r="C18" s="7" t="s">
        <v>32</v>
      </c>
      <c r="D18" s="7" t="s">
        <v>289</v>
      </c>
      <c r="E18" s="7"/>
      <c r="F18" s="7" t="s">
        <v>46</v>
      </c>
      <c r="G18" s="8" t="s">
        <v>47</v>
      </c>
      <c r="H18" s="7" t="s">
        <v>48</v>
      </c>
      <c r="I18" s="7">
        <v>1.5</v>
      </c>
      <c r="J18" s="7">
        <v>1.2</v>
      </c>
      <c r="K18" s="7">
        <v>1.8</v>
      </c>
      <c r="L18" s="7"/>
      <c r="M18" s="7" t="s">
        <v>24</v>
      </c>
      <c r="N18" s="7"/>
      <c r="O18" s="7" t="s">
        <v>45</v>
      </c>
      <c r="P18" s="7" t="s">
        <v>26</v>
      </c>
      <c r="Q18" s="7"/>
    </row>
    <row r="19" spans="1:17" ht="16" customHeight="1" x14ac:dyDescent="0.2">
      <c r="A19" s="7" t="s">
        <v>153</v>
      </c>
      <c r="B19" s="7" t="s">
        <v>40</v>
      </c>
      <c r="C19" s="7" t="s">
        <v>32</v>
      </c>
      <c r="D19" s="7" t="s">
        <v>289</v>
      </c>
      <c r="E19" s="7"/>
      <c r="F19" s="7" t="s">
        <v>49</v>
      </c>
      <c r="G19" s="8" t="s">
        <v>50</v>
      </c>
      <c r="H19" s="7" t="s">
        <v>51</v>
      </c>
      <c r="I19" s="7">
        <v>10</v>
      </c>
      <c r="J19" s="7">
        <v>8</v>
      </c>
      <c r="K19" s="7">
        <v>12</v>
      </c>
      <c r="L19" s="7"/>
      <c r="M19" s="7" t="s">
        <v>24</v>
      </c>
      <c r="N19" s="7"/>
      <c r="O19" s="7" t="s">
        <v>45</v>
      </c>
      <c r="P19" s="7" t="s">
        <v>26</v>
      </c>
      <c r="Q19" s="7"/>
    </row>
    <row r="20" spans="1:17" ht="16" customHeight="1" x14ac:dyDescent="0.2">
      <c r="A20" s="7" t="s">
        <v>153</v>
      </c>
      <c r="B20" s="7" t="s">
        <v>40</v>
      </c>
      <c r="C20" s="7" t="s">
        <v>32</v>
      </c>
      <c r="D20" s="7" t="s">
        <v>289</v>
      </c>
      <c r="E20" s="7"/>
      <c r="F20" s="7" t="s">
        <v>52</v>
      </c>
      <c r="G20" s="8" t="s">
        <v>53</v>
      </c>
      <c r="H20" s="7" t="s">
        <v>54</v>
      </c>
      <c r="I20" s="7">
        <v>20000</v>
      </c>
      <c r="J20" s="7">
        <v>16000</v>
      </c>
      <c r="K20" s="7">
        <v>24000</v>
      </c>
      <c r="L20" s="7"/>
      <c r="M20" s="7" t="s">
        <v>24</v>
      </c>
      <c r="N20" s="7"/>
      <c r="O20" s="7" t="s">
        <v>45</v>
      </c>
      <c r="P20" s="7" t="s">
        <v>26</v>
      </c>
      <c r="Q20" s="7"/>
    </row>
    <row r="21" spans="1:17" ht="32" customHeight="1" x14ac:dyDescent="0.2">
      <c r="A21" s="7" t="s">
        <v>153</v>
      </c>
      <c r="B21" s="7" t="s">
        <v>40</v>
      </c>
      <c r="C21" s="7" t="s">
        <v>32</v>
      </c>
      <c r="D21" s="7" t="s">
        <v>289</v>
      </c>
      <c r="E21" s="7"/>
      <c r="F21" s="7" t="s">
        <v>55</v>
      </c>
      <c r="G21" s="8" t="s">
        <v>56</v>
      </c>
      <c r="H21" s="7" t="s">
        <v>37</v>
      </c>
      <c r="I21" s="7">
        <v>100</v>
      </c>
      <c r="J21" s="7">
        <v>80</v>
      </c>
      <c r="K21" s="7">
        <v>100</v>
      </c>
      <c r="L21" s="7"/>
      <c r="M21" s="7" t="s">
        <v>24</v>
      </c>
      <c r="N21" s="7"/>
      <c r="O21" s="7" t="s">
        <v>45</v>
      </c>
      <c r="P21" s="7" t="s">
        <v>26</v>
      </c>
      <c r="Q21" s="7"/>
    </row>
    <row r="22" spans="1:17" ht="16" customHeight="1" x14ac:dyDescent="0.2">
      <c r="A22" s="7" t="s">
        <v>153</v>
      </c>
      <c r="B22" s="7" t="s">
        <v>40</v>
      </c>
      <c r="C22" s="7" t="s">
        <v>32</v>
      </c>
      <c r="D22" s="7" t="s">
        <v>289</v>
      </c>
      <c r="E22" s="7"/>
      <c r="F22" s="7" t="s">
        <v>57</v>
      </c>
      <c r="G22" s="8" t="s">
        <v>58</v>
      </c>
      <c r="H22" s="7" t="s">
        <v>23</v>
      </c>
      <c r="I22" s="7" t="s">
        <v>59</v>
      </c>
      <c r="J22" s="7"/>
      <c r="K22" s="7"/>
      <c r="L22" s="7"/>
      <c r="M22" s="7" t="s">
        <v>60</v>
      </c>
      <c r="N22" s="7" t="s">
        <v>61</v>
      </c>
      <c r="O22" s="7"/>
      <c r="P22" s="7" t="s">
        <v>26</v>
      </c>
      <c r="Q22" s="7"/>
    </row>
    <row r="23" spans="1:17" ht="16" customHeight="1" x14ac:dyDescent="0.2">
      <c r="A23" s="7" t="s">
        <v>153</v>
      </c>
      <c r="B23" s="7" t="s">
        <v>40</v>
      </c>
      <c r="C23" s="7" t="s">
        <v>32</v>
      </c>
      <c r="D23" s="7" t="s">
        <v>290</v>
      </c>
      <c r="E23" s="7"/>
      <c r="F23" s="7" t="s">
        <v>42</v>
      </c>
      <c r="G23" s="8" t="s">
        <v>43</v>
      </c>
      <c r="H23" s="7" t="s">
        <v>44</v>
      </c>
      <c r="I23" s="7">
        <v>1000</v>
      </c>
      <c r="J23" s="7">
        <v>800</v>
      </c>
      <c r="K23" s="7">
        <v>1200</v>
      </c>
      <c r="L23" s="7">
        <v>1200</v>
      </c>
      <c r="M23" s="7" t="s">
        <v>24</v>
      </c>
      <c r="N23" s="7"/>
      <c r="O23" s="7" t="s">
        <v>45</v>
      </c>
      <c r="P23" s="7" t="s">
        <v>26</v>
      </c>
      <c r="Q23" s="7"/>
    </row>
    <row r="24" spans="1:17" ht="16" customHeight="1" x14ac:dyDescent="0.2">
      <c r="A24" s="7" t="s">
        <v>153</v>
      </c>
      <c r="B24" s="7" t="s">
        <v>40</v>
      </c>
      <c r="C24" s="7" t="s">
        <v>32</v>
      </c>
      <c r="D24" s="7" t="s">
        <v>290</v>
      </c>
      <c r="E24" s="7"/>
      <c r="F24" s="7" t="s">
        <v>46</v>
      </c>
      <c r="G24" s="8" t="s">
        <v>47</v>
      </c>
      <c r="H24" s="7" t="s">
        <v>48</v>
      </c>
      <c r="I24" s="7">
        <v>0.4</v>
      </c>
      <c r="J24" s="7">
        <v>0.32</v>
      </c>
      <c r="K24" s="7">
        <v>0.48</v>
      </c>
      <c r="L24" s="7">
        <v>2</v>
      </c>
      <c r="M24" s="7" t="s">
        <v>24</v>
      </c>
      <c r="N24" s="7"/>
      <c r="O24" s="7" t="s">
        <v>45</v>
      </c>
      <c r="P24" s="7" t="s">
        <v>26</v>
      </c>
      <c r="Q24" s="7"/>
    </row>
    <row r="25" spans="1:17" ht="16" customHeight="1" x14ac:dyDescent="0.2">
      <c r="A25" s="7" t="s">
        <v>153</v>
      </c>
      <c r="B25" s="7" t="s">
        <v>40</v>
      </c>
      <c r="C25" s="7" t="s">
        <v>32</v>
      </c>
      <c r="D25" s="7" t="s">
        <v>290</v>
      </c>
      <c r="E25" s="7"/>
      <c r="F25" s="7" t="s">
        <v>49</v>
      </c>
      <c r="G25" s="8" t="s">
        <v>50</v>
      </c>
      <c r="H25" s="7" t="s">
        <v>51</v>
      </c>
      <c r="I25" s="7">
        <v>0.875</v>
      </c>
      <c r="J25" s="7">
        <v>0.7</v>
      </c>
      <c r="K25" s="7">
        <v>1.05</v>
      </c>
      <c r="L25" s="7">
        <v>15</v>
      </c>
      <c r="M25" s="7" t="s">
        <v>24</v>
      </c>
      <c r="N25" s="7"/>
      <c r="O25" s="7" t="s">
        <v>45</v>
      </c>
      <c r="P25" s="7" t="s">
        <v>26</v>
      </c>
      <c r="Q25" s="7"/>
    </row>
    <row r="26" spans="1:17" ht="16" customHeight="1" x14ac:dyDescent="0.2">
      <c r="A26" s="7" t="s">
        <v>153</v>
      </c>
      <c r="B26" s="7" t="s">
        <v>40</v>
      </c>
      <c r="C26" s="7" t="s">
        <v>32</v>
      </c>
      <c r="D26" s="7" t="s">
        <v>290</v>
      </c>
      <c r="E26" s="7"/>
      <c r="F26" s="7" t="s">
        <v>52</v>
      </c>
      <c r="G26" s="8" t="s">
        <v>53</v>
      </c>
      <c r="H26" s="7" t="s">
        <v>54</v>
      </c>
      <c r="I26" s="7">
        <v>50000</v>
      </c>
      <c r="J26" s="7">
        <v>40000</v>
      </c>
      <c r="K26" s="7">
        <v>60000</v>
      </c>
      <c r="L26" s="7">
        <v>40000</v>
      </c>
      <c r="M26" s="7" t="s">
        <v>24</v>
      </c>
      <c r="N26" s="7"/>
      <c r="O26" s="7" t="s">
        <v>45</v>
      </c>
      <c r="P26" s="7" t="s">
        <v>26</v>
      </c>
      <c r="Q26" s="7"/>
    </row>
    <row r="27" spans="1:17" ht="32" customHeight="1" x14ac:dyDescent="0.2">
      <c r="A27" s="7" t="s">
        <v>153</v>
      </c>
      <c r="B27" s="7" t="s">
        <v>40</v>
      </c>
      <c r="C27" s="7" t="s">
        <v>32</v>
      </c>
      <c r="D27" s="7" t="s">
        <v>290</v>
      </c>
      <c r="E27" s="7"/>
      <c r="F27" s="7" t="s">
        <v>55</v>
      </c>
      <c r="G27" s="8" t="s">
        <v>56</v>
      </c>
      <c r="H27" s="7" t="s">
        <v>37</v>
      </c>
      <c r="I27" s="7">
        <v>100</v>
      </c>
      <c r="J27" s="7">
        <v>80</v>
      </c>
      <c r="K27" s="7">
        <v>100</v>
      </c>
      <c r="L27" s="7"/>
      <c r="M27" s="7" t="s">
        <v>24</v>
      </c>
      <c r="N27" s="7"/>
      <c r="O27" s="7" t="s">
        <v>45</v>
      </c>
      <c r="P27" s="7" t="s">
        <v>26</v>
      </c>
      <c r="Q27" s="7"/>
    </row>
    <row r="28" spans="1:17" ht="16" customHeight="1" x14ac:dyDescent="0.2">
      <c r="A28" s="7" t="s">
        <v>153</v>
      </c>
      <c r="B28" s="7" t="s">
        <v>40</v>
      </c>
      <c r="C28" s="7" t="s">
        <v>32</v>
      </c>
      <c r="D28" s="7" t="s">
        <v>290</v>
      </c>
      <c r="E28" s="7"/>
      <c r="F28" s="7" t="s">
        <v>57</v>
      </c>
      <c r="G28" s="8" t="s">
        <v>58</v>
      </c>
      <c r="H28" s="7" t="s">
        <v>23</v>
      </c>
      <c r="I28" s="7" t="s">
        <v>59</v>
      </c>
      <c r="J28" s="7"/>
      <c r="K28" s="7"/>
      <c r="L28" s="7"/>
      <c r="M28" s="7" t="s">
        <v>60</v>
      </c>
      <c r="N28" s="7" t="s">
        <v>61</v>
      </c>
      <c r="O28" s="7"/>
      <c r="P28" s="7" t="s">
        <v>26</v>
      </c>
      <c r="Q28" s="7"/>
    </row>
    <row r="29" spans="1:17" ht="16" customHeight="1" x14ac:dyDescent="0.2">
      <c r="A29" s="7" t="s">
        <v>153</v>
      </c>
      <c r="B29" s="7" t="s">
        <v>40</v>
      </c>
      <c r="C29" s="7" t="s">
        <v>32</v>
      </c>
      <c r="D29" s="7" t="s">
        <v>291</v>
      </c>
      <c r="E29" s="7"/>
      <c r="F29" s="7" t="s">
        <v>42</v>
      </c>
      <c r="G29" s="8" t="s">
        <v>43</v>
      </c>
      <c r="H29" s="7" t="s">
        <v>44</v>
      </c>
      <c r="I29" s="7">
        <v>400</v>
      </c>
      <c r="J29" s="7">
        <v>320</v>
      </c>
      <c r="K29" s="7">
        <v>480</v>
      </c>
      <c r="L29" s="7"/>
      <c r="M29" s="7" t="s">
        <v>24</v>
      </c>
      <c r="N29" s="7"/>
      <c r="O29" s="7" t="s">
        <v>45</v>
      </c>
      <c r="P29" s="7" t="s">
        <v>26</v>
      </c>
      <c r="Q29" s="7"/>
    </row>
    <row r="30" spans="1:17" ht="16" customHeight="1" x14ac:dyDescent="0.2">
      <c r="A30" s="7" t="s">
        <v>153</v>
      </c>
      <c r="B30" s="7" t="s">
        <v>40</v>
      </c>
      <c r="C30" s="7" t="s">
        <v>32</v>
      </c>
      <c r="D30" s="7" t="s">
        <v>291</v>
      </c>
      <c r="E30" s="7"/>
      <c r="F30" s="7" t="s">
        <v>46</v>
      </c>
      <c r="G30" s="8" t="s">
        <v>47</v>
      </c>
      <c r="H30" s="7" t="s">
        <v>48</v>
      </c>
      <c r="I30" s="7">
        <v>5</v>
      </c>
      <c r="J30" s="7">
        <v>4</v>
      </c>
      <c r="K30" s="7">
        <v>6</v>
      </c>
      <c r="L30" s="7"/>
      <c r="M30" s="7" t="s">
        <v>24</v>
      </c>
      <c r="N30" s="7"/>
      <c r="O30" s="7" t="s">
        <v>45</v>
      </c>
      <c r="P30" s="7" t="s">
        <v>26</v>
      </c>
      <c r="Q30" s="7"/>
    </row>
    <row r="31" spans="1:17" ht="16" customHeight="1" x14ac:dyDescent="0.2">
      <c r="A31" s="7" t="s">
        <v>153</v>
      </c>
      <c r="B31" s="7" t="s">
        <v>40</v>
      </c>
      <c r="C31" s="7" t="s">
        <v>32</v>
      </c>
      <c r="D31" s="7" t="s">
        <v>291</v>
      </c>
      <c r="E31" s="7"/>
      <c r="F31" s="7" t="s">
        <v>49</v>
      </c>
      <c r="G31" s="8" t="s">
        <v>50</v>
      </c>
      <c r="H31" s="7" t="s">
        <v>51</v>
      </c>
      <c r="I31" s="7">
        <v>1.75</v>
      </c>
      <c r="J31" s="7">
        <v>1.4</v>
      </c>
      <c r="K31" s="7">
        <v>2.1</v>
      </c>
      <c r="L31" s="7"/>
      <c r="M31" s="7" t="s">
        <v>24</v>
      </c>
      <c r="N31" s="7"/>
      <c r="O31" s="7" t="s">
        <v>45</v>
      </c>
      <c r="P31" s="7" t="s">
        <v>26</v>
      </c>
      <c r="Q31" s="7"/>
    </row>
    <row r="32" spans="1:17" ht="16" customHeight="1" x14ac:dyDescent="0.2">
      <c r="A32" s="7" t="s">
        <v>153</v>
      </c>
      <c r="B32" s="7" t="s">
        <v>40</v>
      </c>
      <c r="C32" s="7" t="s">
        <v>32</v>
      </c>
      <c r="D32" s="7" t="s">
        <v>291</v>
      </c>
      <c r="E32" s="7"/>
      <c r="F32" s="7" t="s">
        <v>52</v>
      </c>
      <c r="G32" s="8" t="s">
        <v>53</v>
      </c>
      <c r="H32" s="7" t="s">
        <v>54</v>
      </c>
      <c r="I32" s="7">
        <v>20000</v>
      </c>
      <c r="J32" s="7">
        <v>16000</v>
      </c>
      <c r="K32" s="7">
        <v>24000</v>
      </c>
      <c r="L32" s="7"/>
      <c r="M32" s="7" t="s">
        <v>24</v>
      </c>
      <c r="N32" s="7"/>
      <c r="O32" s="7" t="s">
        <v>45</v>
      </c>
      <c r="P32" s="7" t="s">
        <v>26</v>
      </c>
      <c r="Q32" s="7"/>
    </row>
    <row r="33" spans="1:17" ht="32" customHeight="1" x14ac:dyDescent="0.2">
      <c r="A33" s="7" t="s">
        <v>153</v>
      </c>
      <c r="B33" s="7" t="s">
        <v>40</v>
      </c>
      <c r="C33" s="7" t="s">
        <v>32</v>
      </c>
      <c r="D33" s="7" t="s">
        <v>291</v>
      </c>
      <c r="E33" s="7"/>
      <c r="F33" s="7" t="s">
        <v>55</v>
      </c>
      <c r="G33" s="8" t="s">
        <v>56</v>
      </c>
      <c r="H33" s="7" t="s">
        <v>37</v>
      </c>
      <c r="I33" s="7">
        <v>70</v>
      </c>
      <c r="J33" s="7">
        <v>56</v>
      </c>
      <c r="K33" s="7">
        <v>84</v>
      </c>
      <c r="L33" s="7"/>
      <c r="M33" s="7" t="s">
        <v>24</v>
      </c>
      <c r="N33" s="7"/>
      <c r="O33" s="7" t="s">
        <v>45</v>
      </c>
      <c r="P33" s="7" t="s">
        <v>26</v>
      </c>
      <c r="Q33" s="7"/>
    </row>
    <row r="34" spans="1:17" ht="16" customHeight="1" x14ac:dyDescent="0.2">
      <c r="A34" s="7" t="s">
        <v>153</v>
      </c>
      <c r="B34" s="7" t="s">
        <v>40</v>
      </c>
      <c r="C34" s="7" t="s">
        <v>32</v>
      </c>
      <c r="D34" s="7" t="s">
        <v>291</v>
      </c>
      <c r="E34" s="7"/>
      <c r="F34" s="7" t="s">
        <v>57</v>
      </c>
      <c r="G34" s="8" t="s">
        <v>58</v>
      </c>
      <c r="H34" s="7" t="s">
        <v>23</v>
      </c>
      <c r="I34" s="7" t="s">
        <v>59</v>
      </c>
      <c r="J34" s="7"/>
      <c r="K34" s="7"/>
      <c r="L34" s="7"/>
      <c r="M34" s="7" t="s">
        <v>60</v>
      </c>
      <c r="N34" s="7" t="s">
        <v>61</v>
      </c>
      <c r="O34" s="7"/>
      <c r="P34" s="7" t="s">
        <v>26</v>
      </c>
      <c r="Q34" s="7"/>
    </row>
    <row r="35" spans="1:17" ht="16" customHeight="1" x14ac:dyDescent="0.2">
      <c r="A35" s="7" t="s">
        <v>153</v>
      </c>
      <c r="B35" s="7" t="s">
        <v>40</v>
      </c>
      <c r="C35" s="7" t="s">
        <v>38</v>
      </c>
      <c r="D35" s="7" t="s">
        <v>289</v>
      </c>
      <c r="E35" s="7"/>
      <c r="F35" s="7" t="s">
        <v>42</v>
      </c>
      <c r="G35" s="8" t="s">
        <v>43</v>
      </c>
      <c r="H35" s="7" t="s">
        <v>44</v>
      </c>
      <c r="I35" s="7">
        <v>80</v>
      </c>
      <c r="J35" s="7">
        <v>64</v>
      </c>
      <c r="K35" s="7">
        <v>96</v>
      </c>
      <c r="L35" s="7"/>
      <c r="M35" s="7" t="s">
        <v>24</v>
      </c>
      <c r="N35" s="7"/>
      <c r="O35" s="7" t="s">
        <v>45</v>
      </c>
      <c r="P35" s="7" t="s">
        <v>26</v>
      </c>
      <c r="Q35" s="7"/>
    </row>
    <row r="36" spans="1:17" ht="16" customHeight="1" x14ac:dyDescent="0.2">
      <c r="A36" s="7" t="s">
        <v>153</v>
      </c>
      <c r="B36" s="7" t="s">
        <v>40</v>
      </c>
      <c r="C36" s="7" t="s">
        <v>38</v>
      </c>
      <c r="D36" s="7" t="s">
        <v>289</v>
      </c>
      <c r="E36" s="7"/>
      <c r="F36" s="7" t="s">
        <v>46</v>
      </c>
      <c r="G36" s="8" t="s">
        <v>47</v>
      </c>
      <c r="H36" s="7" t="s">
        <v>48</v>
      </c>
      <c r="I36" s="7">
        <v>1.5</v>
      </c>
      <c r="J36" s="7">
        <v>1.2</v>
      </c>
      <c r="K36" s="7">
        <v>1.8</v>
      </c>
      <c r="L36" s="7"/>
      <c r="M36" s="7" t="s">
        <v>24</v>
      </c>
      <c r="N36" s="7"/>
      <c r="O36" s="7" t="s">
        <v>45</v>
      </c>
      <c r="P36" s="7" t="s">
        <v>26</v>
      </c>
      <c r="Q36" s="7"/>
    </row>
    <row r="37" spans="1:17" ht="16" customHeight="1" x14ac:dyDescent="0.2">
      <c r="A37" s="7" t="s">
        <v>153</v>
      </c>
      <c r="B37" s="7" t="s">
        <v>40</v>
      </c>
      <c r="C37" s="7" t="s">
        <v>38</v>
      </c>
      <c r="D37" s="7" t="s">
        <v>289</v>
      </c>
      <c r="E37" s="7"/>
      <c r="F37" s="7" t="s">
        <v>49</v>
      </c>
      <c r="G37" s="8" t="s">
        <v>50</v>
      </c>
      <c r="H37" s="7" t="s">
        <v>51</v>
      </c>
      <c r="I37" s="7">
        <v>15</v>
      </c>
      <c r="J37" s="7">
        <v>12</v>
      </c>
      <c r="K37" s="7">
        <v>18</v>
      </c>
      <c r="L37" s="7"/>
      <c r="M37" s="7" t="s">
        <v>24</v>
      </c>
      <c r="N37" s="7"/>
      <c r="O37" s="7" t="s">
        <v>45</v>
      </c>
      <c r="P37" s="7" t="s">
        <v>26</v>
      </c>
      <c r="Q37" s="7"/>
    </row>
    <row r="38" spans="1:17" ht="16" customHeight="1" x14ac:dyDescent="0.2">
      <c r="A38" s="7" t="s">
        <v>153</v>
      </c>
      <c r="B38" s="7" t="s">
        <v>40</v>
      </c>
      <c r="C38" s="7" t="s">
        <v>38</v>
      </c>
      <c r="D38" s="7" t="s">
        <v>289</v>
      </c>
      <c r="E38" s="7"/>
      <c r="F38" s="7" t="s">
        <v>52</v>
      </c>
      <c r="G38" s="8" t="s">
        <v>53</v>
      </c>
      <c r="H38" s="7" t="s">
        <v>54</v>
      </c>
      <c r="I38" s="7">
        <v>15000</v>
      </c>
      <c r="J38" s="7">
        <v>12000</v>
      </c>
      <c r="K38" s="7">
        <v>18000</v>
      </c>
      <c r="L38" s="7"/>
      <c r="M38" s="7" t="s">
        <v>24</v>
      </c>
      <c r="N38" s="7"/>
      <c r="O38" s="7" t="s">
        <v>45</v>
      </c>
      <c r="P38" s="7" t="s">
        <v>26</v>
      </c>
      <c r="Q38" s="7"/>
    </row>
    <row r="39" spans="1:17" ht="32" customHeight="1" x14ac:dyDescent="0.2">
      <c r="A39" s="7" t="s">
        <v>153</v>
      </c>
      <c r="B39" s="7" t="s">
        <v>40</v>
      </c>
      <c r="C39" s="7" t="s">
        <v>38</v>
      </c>
      <c r="D39" s="7" t="s">
        <v>289</v>
      </c>
      <c r="E39" s="7"/>
      <c r="F39" s="7" t="s">
        <v>55</v>
      </c>
      <c r="G39" s="8" t="s">
        <v>56</v>
      </c>
      <c r="H39" s="7" t="s">
        <v>37</v>
      </c>
      <c r="I39" s="7">
        <v>98</v>
      </c>
      <c r="J39" s="7">
        <v>78.400000000000006</v>
      </c>
      <c r="K39" s="7">
        <v>100</v>
      </c>
      <c r="L39" s="7"/>
      <c r="M39" s="7" t="s">
        <v>24</v>
      </c>
      <c r="N39" s="7"/>
      <c r="O39" s="7" t="s">
        <v>45</v>
      </c>
      <c r="P39" s="7" t="s">
        <v>26</v>
      </c>
      <c r="Q39" s="7"/>
    </row>
    <row r="40" spans="1:17" ht="16" customHeight="1" x14ac:dyDescent="0.2">
      <c r="A40" s="7" t="s">
        <v>153</v>
      </c>
      <c r="B40" s="7" t="s">
        <v>40</v>
      </c>
      <c r="C40" s="7" t="s">
        <v>38</v>
      </c>
      <c r="D40" s="7" t="s">
        <v>289</v>
      </c>
      <c r="E40" s="7"/>
      <c r="F40" s="7" t="s">
        <v>57</v>
      </c>
      <c r="G40" s="8" t="s">
        <v>58</v>
      </c>
      <c r="H40" s="7" t="s">
        <v>23</v>
      </c>
      <c r="I40" s="7" t="s">
        <v>59</v>
      </c>
      <c r="J40" s="7"/>
      <c r="K40" s="7"/>
      <c r="L40" s="7"/>
      <c r="M40" s="7" t="s">
        <v>60</v>
      </c>
      <c r="N40" s="7" t="s">
        <v>61</v>
      </c>
      <c r="O40" s="7"/>
      <c r="P40" s="7" t="s">
        <v>26</v>
      </c>
      <c r="Q40" s="7"/>
    </row>
    <row r="41" spans="1:17" ht="16" customHeight="1" x14ac:dyDescent="0.2">
      <c r="A41" s="7" t="s">
        <v>153</v>
      </c>
      <c r="B41" s="7" t="s">
        <v>40</v>
      </c>
      <c r="C41" s="7" t="s">
        <v>38</v>
      </c>
      <c r="D41" s="7" t="s">
        <v>290</v>
      </c>
      <c r="E41" s="7"/>
      <c r="F41" s="7" t="s">
        <v>42</v>
      </c>
      <c r="G41" s="8" t="s">
        <v>43</v>
      </c>
      <c r="H41" s="7" t="s">
        <v>44</v>
      </c>
      <c r="I41" s="7">
        <v>250</v>
      </c>
      <c r="J41" s="7">
        <v>200</v>
      </c>
      <c r="K41" s="7">
        <v>300</v>
      </c>
      <c r="L41" s="7"/>
      <c r="M41" s="7" t="s">
        <v>24</v>
      </c>
      <c r="N41" s="7"/>
      <c r="O41" s="7" t="s">
        <v>45</v>
      </c>
      <c r="P41" s="7" t="s">
        <v>26</v>
      </c>
      <c r="Q41" s="7"/>
    </row>
    <row r="42" spans="1:17" ht="16" customHeight="1" x14ac:dyDescent="0.2">
      <c r="A42" s="7" t="s">
        <v>153</v>
      </c>
      <c r="B42" s="7" t="s">
        <v>40</v>
      </c>
      <c r="C42" s="7" t="s">
        <v>38</v>
      </c>
      <c r="D42" s="7" t="s">
        <v>290</v>
      </c>
      <c r="E42" s="7"/>
      <c r="F42" s="7" t="s">
        <v>46</v>
      </c>
      <c r="G42" s="8" t="s">
        <v>47</v>
      </c>
      <c r="H42" s="7" t="s">
        <v>48</v>
      </c>
      <c r="I42" s="7">
        <v>2.5</v>
      </c>
      <c r="J42" s="7">
        <v>2</v>
      </c>
      <c r="K42" s="7">
        <v>3</v>
      </c>
      <c r="L42" s="7"/>
      <c r="M42" s="7" t="s">
        <v>24</v>
      </c>
      <c r="N42" s="7"/>
      <c r="O42" s="7" t="s">
        <v>45</v>
      </c>
      <c r="P42" s="7" t="s">
        <v>26</v>
      </c>
      <c r="Q42" s="7"/>
    </row>
    <row r="43" spans="1:17" ht="16" customHeight="1" x14ac:dyDescent="0.2">
      <c r="A43" s="7" t="s">
        <v>153</v>
      </c>
      <c r="B43" s="7" t="s">
        <v>40</v>
      </c>
      <c r="C43" s="7" t="s">
        <v>38</v>
      </c>
      <c r="D43" s="7" t="s">
        <v>290</v>
      </c>
      <c r="E43" s="7"/>
      <c r="F43" s="7" t="s">
        <v>49</v>
      </c>
      <c r="G43" s="8" t="s">
        <v>50</v>
      </c>
      <c r="H43" s="7" t="s">
        <v>51</v>
      </c>
      <c r="I43" s="7">
        <v>0.5</v>
      </c>
      <c r="J43" s="7">
        <v>0.4</v>
      </c>
      <c r="K43" s="7">
        <v>0.6</v>
      </c>
      <c r="L43" s="7"/>
      <c r="M43" s="7" t="s">
        <v>24</v>
      </c>
      <c r="N43" s="7"/>
      <c r="O43" s="7" t="s">
        <v>45</v>
      </c>
      <c r="P43" s="7" t="s">
        <v>26</v>
      </c>
      <c r="Q43" s="7"/>
    </row>
    <row r="44" spans="1:17" ht="16" customHeight="1" x14ac:dyDescent="0.2">
      <c r="A44" s="7" t="s">
        <v>153</v>
      </c>
      <c r="B44" s="7" t="s">
        <v>40</v>
      </c>
      <c r="C44" s="7" t="s">
        <v>38</v>
      </c>
      <c r="D44" s="7" t="s">
        <v>290</v>
      </c>
      <c r="E44" s="7"/>
      <c r="F44" s="7" t="s">
        <v>52</v>
      </c>
      <c r="G44" s="8" t="s">
        <v>53</v>
      </c>
      <c r="H44" s="7" t="s">
        <v>54</v>
      </c>
      <c r="I44" s="7">
        <v>20000</v>
      </c>
      <c r="J44" s="7">
        <v>16000</v>
      </c>
      <c r="K44" s="7">
        <v>24000</v>
      </c>
      <c r="L44" s="7"/>
      <c r="M44" s="7" t="s">
        <v>24</v>
      </c>
      <c r="N44" s="7"/>
      <c r="O44" s="7" t="s">
        <v>45</v>
      </c>
      <c r="P44" s="7" t="s">
        <v>26</v>
      </c>
      <c r="Q44" s="7"/>
    </row>
    <row r="45" spans="1:17" ht="32" customHeight="1" x14ac:dyDescent="0.2">
      <c r="A45" s="7" t="s">
        <v>153</v>
      </c>
      <c r="B45" s="7" t="s">
        <v>40</v>
      </c>
      <c r="C45" s="7" t="s">
        <v>38</v>
      </c>
      <c r="D45" s="7" t="s">
        <v>290</v>
      </c>
      <c r="E45" s="7"/>
      <c r="F45" s="7" t="s">
        <v>55</v>
      </c>
      <c r="G45" s="8" t="s">
        <v>56</v>
      </c>
      <c r="H45" s="7" t="s">
        <v>37</v>
      </c>
      <c r="I45" s="7">
        <v>92</v>
      </c>
      <c r="J45" s="7">
        <v>73.599999999999994</v>
      </c>
      <c r="K45" s="7">
        <v>100</v>
      </c>
      <c r="L45" s="7"/>
      <c r="M45" s="7" t="s">
        <v>24</v>
      </c>
      <c r="N45" s="7"/>
      <c r="O45" s="7" t="s">
        <v>45</v>
      </c>
      <c r="P45" s="7" t="s">
        <v>26</v>
      </c>
      <c r="Q45" s="7"/>
    </row>
    <row r="46" spans="1:17" ht="16" customHeight="1" x14ac:dyDescent="0.2">
      <c r="A46" s="7" t="s">
        <v>153</v>
      </c>
      <c r="B46" s="7" t="s">
        <v>40</v>
      </c>
      <c r="C46" s="7" t="s">
        <v>38</v>
      </c>
      <c r="D46" s="7" t="s">
        <v>290</v>
      </c>
      <c r="E46" s="7"/>
      <c r="F46" s="7" t="s">
        <v>57</v>
      </c>
      <c r="G46" s="8" t="s">
        <v>58</v>
      </c>
      <c r="H46" s="7" t="s">
        <v>23</v>
      </c>
      <c r="I46" s="7" t="s">
        <v>59</v>
      </c>
      <c r="J46" s="7"/>
      <c r="K46" s="7"/>
      <c r="L46" s="7"/>
      <c r="M46" s="7" t="s">
        <v>60</v>
      </c>
      <c r="N46" s="7" t="s">
        <v>61</v>
      </c>
      <c r="O46" s="7"/>
      <c r="P46" s="7" t="s">
        <v>26</v>
      </c>
      <c r="Q46" s="7"/>
    </row>
    <row r="47" spans="1:17" ht="16" customHeight="1" x14ac:dyDescent="0.2">
      <c r="A47" s="7" t="s">
        <v>153</v>
      </c>
      <c r="B47" s="7" t="s">
        <v>63</v>
      </c>
      <c r="C47" s="7" t="s">
        <v>64</v>
      </c>
      <c r="D47" s="7" t="s">
        <v>20</v>
      </c>
      <c r="E47" s="7"/>
      <c r="F47" s="7" t="s">
        <v>65</v>
      </c>
      <c r="G47" s="8" t="s">
        <v>66</v>
      </c>
      <c r="H47" s="7" t="s">
        <v>67</v>
      </c>
      <c r="I47" s="7">
        <v>20</v>
      </c>
      <c r="J47" s="7">
        <v>16</v>
      </c>
      <c r="K47" s="7">
        <v>24</v>
      </c>
      <c r="L47" s="7"/>
      <c r="M47" s="7" t="s">
        <v>24</v>
      </c>
      <c r="N47" s="7"/>
      <c r="O47" s="7"/>
      <c r="P47" s="7" t="s">
        <v>26</v>
      </c>
      <c r="Q47" s="7"/>
    </row>
    <row r="48" spans="1:17" ht="16" customHeight="1" x14ac:dyDescent="0.2">
      <c r="A48" s="7" t="s">
        <v>153</v>
      </c>
      <c r="B48" s="7" t="s">
        <v>63</v>
      </c>
      <c r="C48" s="7" t="s">
        <v>64</v>
      </c>
      <c r="D48" s="7" t="s">
        <v>20</v>
      </c>
      <c r="E48" s="7"/>
      <c r="F48" s="7" t="s">
        <v>68</v>
      </c>
      <c r="G48" s="8" t="s">
        <v>69</v>
      </c>
      <c r="H48" s="7" t="s">
        <v>67</v>
      </c>
      <c r="I48" s="7">
        <v>10</v>
      </c>
      <c r="J48" s="7">
        <v>8</v>
      </c>
      <c r="K48" s="7">
        <v>12</v>
      </c>
      <c r="L48" s="7"/>
      <c r="M48" s="7" t="s">
        <v>24</v>
      </c>
      <c r="N48" s="7"/>
      <c r="O48" s="7"/>
      <c r="P48" s="7" t="s">
        <v>26</v>
      </c>
      <c r="Q48" s="7"/>
    </row>
    <row r="49" spans="1:17" ht="16" customHeight="1" x14ac:dyDescent="0.2">
      <c r="A49" s="7" t="s">
        <v>153</v>
      </c>
      <c r="B49" s="7" t="s">
        <v>63</v>
      </c>
      <c r="C49" s="7" t="s">
        <v>38</v>
      </c>
      <c r="D49" s="7" t="s">
        <v>70</v>
      </c>
      <c r="E49" s="7"/>
      <c r="F49" s="7" t="s">
        <v>71</v>
      </c>
      <c r="G49" s="8" t="s">
        <v>72</v>
      </c>
      <c r="H49" s="7" t="s">
        <v>37</v>
      </c>
      <c r="I49" s="7">
        <v>10</v>
      </c>
      <c r="J49" s="7">
        <v>8</v>
      </c>
      <c r="K49" s="7">
        <v>12</v>
      </c>
      <c r="L49" s="7"/>
      <c r="M49" s="7" t="s">
        <v>24</v>
      </c>
      <c r="N49" s="7"/>
      <c r="O49" s="7"/>
      <c r="P49" s="7" t="s">
        <v>26</v>
      </c>
      <c r="Q49" s="7"/>
    </row>
    <row r="50" spans="1:17" ht="16" customHeight="1" x14ac:dyDescent="0.2">
      <c r="A50" s="7" t="s">
        <v>153</v>
      </c>
      <c r="B50" s="7" t="s">
        <v>63</v>
      </c>
      <c r="C50" s="7" t="s">
        <v>73</v>
      </c>
      <c r="D50" s="7" t="s">
        <v>74</v>
      </c>
      <c r="E50" s="7" t="s">
        <v>75</v>
      </c>
      <c r="F50" s="7" t="s">
        <v>76</v>
      </c>
      <c r="G50" s="8" t="s">
        <v>77</v>
      </c>
      <c r="H50" s="7" t="s">
        <v>37</v>
      </c>
      <c r="I50" s="7">
        <v>30</v>
      </c>
      <c r="J50" s="7">
        <v>24</v>
      </c>
      <c r="K50" s="7">
        <v>36</v>
      </c>
      <c r="L50" s="7"/>
      <c r="M50" s="7" t="s">
        <v>24</v>
      </c>
      <c r="N50" s="7"/>
      <c r="O50" s="7"/>
      <c r="P50" s="7" t="s">
        <v>26</v>
      </c>
      <c r="Q50" s="7"/>
    </row>
    <row r="51" spans="1:17" ht="32" customHeight="1" x14ac:dyDescent="0.2">
      <c r="A51" s="7" t="s">
        <v>153</v>
      </c>
      <c r="B51" s="7" t="s">
        <v>63</v>
      </c>
      <c r="C51" s="7" t="s">
        <v>73</v>
      </c>
      <c r="D51" s="7" t="s">
        <v>74</v>
      </c>
      <c r="E51" s="7" t="s">
        <v>79</v>
      </c>
      <c r="F51" s="7" t="s">
        <v>76</v>
      </c>
      <c r="G51" s="8" t="s">
        <v>80</v>
      </c>
      <c r="H51" s="7" t="s">
        <v>37</v>
      </c>
      <c r="I51" s="7">
        <v>20</v>
      </c>
      <c r="J51" s="7">
        <v>16</v>
      </c>
      <c r="K51" s="7">
        <v>24</v>
      </c>
      <c r="L51" s="7"/>
      <c r="M51" s="7" t="s">
        <v>24</v>
      </c>
      <c r="N51" s="7"/>
      <c r="O51" s="7"/>
      <c r="P51" s="7" t="s">
        <v>26</v>
      </c>
      <c r="Q51" s="7"/>
    </row>
    <row r="52" spans="1:17" ht="32" customHeight="1" x14ac:dyDescent="0.2">
      <c r="A52" s="7" t="s">
        <v>153</v>
      </c>
      <c r="B52" s="7" t="s">
        <v>63</v>
      </c>
      <c r="C52" s="7" t="s">
        <v>73</v>
      </c>
      <c r="D52" s="7" t="s">
        <v>74</v>
      </c>
      <c r="E52" s="7" t="s">
        <v>81</v>
      </c>
      <c r="F52" s="7" t="s">
        <v>76</v>
      </c>
      <c r="G52" s="8" t="s">
        <v>82</v>
      </c>
      <c r="H52" s="7" t="s">
        <v>37</v>
      </c>
      <c r="I52" s="7">
        <v>30</v>
      </c>
      <c r="J52" s="7">
        <v>24</v>
      </c>
      <c r="K52" s="7">
        <v>36</v>
      </c>
      <c r="L52" s="7"/>
      <c r="M52" s="7" t="s">
        <v>24</v>
      </c>
      <c r="N52" s="7"/>
      <c r="O52" s="7"/>
      <c r="P52" s="7" t="s">
        <v>26</v>
      </c>
      <c r="Q52" s="7"/>
    </row>
    <row r="53" spans="1:17" ht="32" customHeight="1" x14ac:dyDescent="0.2">
      <c r="A53" s="7" t="s">
        <v>153</v>
      </c>
      <c r="B53" s="7" t="s">
        <v>63</v>
      </c>
      <c r="C53" s="7" t="s">
        <v>73</v>
      </c>
      <c r="D53" s="7" t="s">
        <v>74</v>
      </c>
      <c r="E53" s="7" t="s">
        <v>83</v>
      </c>
      <c r="F53" s="7" t="s">
        <v>76</v>
      </c>
      <c r="G53" s="8" t="s">
        <v>84</v>
      </c>
      <c r="H53" s="7" t="s">
        <v>37</v>
      </c>
      <c r="I53" s="7">
        <v>10</v>
      </c>
      <c r="J53" s="7">
        <v>8</v>
      </c>
      <c r="K53" s="7">
        <v>12</v>
      </c>
      <c r="L53" s="7"/>
      <c r="M53" s="7" t="s">
        <v>24</v>
      </c>
      <c r="N53" s="7"/>
      <c r="O53" s="7"/>
      <c r="P53" s="7" t="s">
        <v>26</v>
      </c>
      <c r="Q53" s="7"/>
    </row>
    <row r="54" spans="1:17" ht="32" customHeight="1" x14ac:dyDescent="0.2">
      <c r="A54" s="7" t="s">
        <v>153</v>
      </c>
      <c r="B54" s="7" t="s">
        <v>63</v>
      </c>
      <c r="C54" s="7" t="s">
        <v>73</v>
      </c>
      <c r="D54" s="7" t="s">
        <v>74</v>
      </c>
      <c r="E54" s="7" t="s">
        <v>85</v>
      </c>
      <c r="F54" s="7" t="s">
        <v>76</v>
      </c>
      <c r="G54" s="8" t="s">
        <v>86</v>
      </c>
      <c r="H54" s="7" t="s">
        <v>37</v>
      </c>
      <c r="I54" s="7">
        <v>10</v>
      </c>
      <c r="J54" s="7">
        <v>8</v>
      </c>
      <c r="K54" s="7">
        <v>12</v>
      </c>
      <c r="L54" s="7"/>
      <c r="M54" s="7" t="s">
        <v>24</v>
      </c>
      <c r="N54" s="7"/>
      <c r="O54" s="7"/>
      <c r="P54" s="7" t="s">
        <v>26</v>
      </c>
      <c r="Q54" s="7"/>
    </row>
    <row r="55" spans="1:17" ht="32" customHeight="1" x14ac:dyDescent="0.2">
      <c r="A55" s="7" t="s">
        <v>153</v>
      </c>
      <c r="B55" s="7" t="s">
        <v>87</v>
      </c>
      <c r="C55" s="7" t="s">
        <v>88</v>
      </c>
      <c r="D55" s="7" t="s">
        <v>20</v>
      </c>
      <c r="E55" s="7"/>
      <c r="F55" s="7" t="s">
        <v>87</v>
      </c>
      <c r="G55" s="8" t="s">
        <v>89</v>
      </c>
      <c r="H55" s="7" t="s">
        <v>90</v>
      </c>
      <c r="I55" s="7" t="s">
        <v>91</v>
      </c>
      <c r="J55" s="7"/>
      <c r="K55" s="7"/>
      <c r="L55" s="7"/>
      <c r="M55" s="7" t="s">
        <v>60</v>
      </c>
      <c r="N55" s="7"/>
      <c r="O55" s="7"/>
      <c r="P55" s="7" t="s">
        <v>26</v>
      </c>
      <c r="Q55" s="7"/>
    </row>
    <row r="56" spans="1:17" ht="32" customHeight="1" x14ac:dyDescent="0.2"/>
  </sheetData>
  <conditionalFormatting sqref="I2:I262">
    <cfRule type="expression" dxfId="14" priority="3">
      <formula>AND($F2&lt;&gt;"",$I2="")</formula>
    </cfRule>
  </conditionalFormatting>
  <conditionalFormatting sqref="I2:P262">
    <cfRule type="expression" dxfId="13" priority="1">
      <formula>$P2="placeholder"</formula>
    </cfRule>
  </conditionalFormatting>
  <conditionalFormatting sqref="J2:K262">
    <cfRule type="expression" dxfId="12" priority="2">
      <formula>AND(OR($M2="triangular",$M2="uniform"),OR($J2="",$K2=""))</formula>
    </cfRule>
  </conditionalFormatting>
  <dataValidations count="4">
    <dataValidation type="list" allowBlank="1" showErrorMessage="1" sqref="B2:B262" xr:uid="{00000000-0002-0000-0500-000000000000}">
      <formula1>"design,manufacturing,circularity,location"</formula1>
    </dataValidation>
    <dataValidation type="list" allowBlank="1" showErrorMessage="1" sqref="C2:C262" xr:uid="{00000000-0002-0000-0500-000001000000}">
      <formula1>"product size,production,repair,use,end-of-life,general"</formula1>
    </dataValidation>
    <dataValidation type="list" allowBlank="1" showErrorMessage="1" sqref="M2:M262" xr:uid="{00000000-0002-0000-0500-000002000000}">
      <formula1>"fixed,triangular,uniform,choice"</formula1>
    </dataValidation>
    <dataValidation type="list" allowBlank="1" showErrorMessage="1" sqref="P2:P262" xr:uid="{00000000-0002-0000-0500-000003000000}">
      <formula1>"placeholder,partner estimate,measured,literature"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6A5AF"/>
  </sheetPr>
  <dimension ref="A1:Q40"/>
  <sheetViews>
    <sheetView workbookViewId="0">
      <pane xSplit="6" ySplit="1" topLeftCell="G2" activePane="bottomRight" state="frozen"/>
      <selection pane="topRight"/>
      <selection pane="bottomLeft"/>
      <selection pane="bottomRight" activeCell="G13" sqref="G13"/>
    </sheetView>
  </sheetViews>
  <sheetFormatPr baseColWidth="10" defaultColWidth="8.83203125" defaultRowHeight="15" x14ac:dyDescent="0.2"/>
  <cols>
    <col min="1" max="1" width="12" customWidth="1"/>
    <col min="2" max="2" width="15" customWidth="1"/>
    <col min="3" max="3" width="13" customWidth="1"/>
    <col min="4" max="4" width="22" customWidth="1"/>
    <col min="5" max="5" width="17" customWidth="1"/>
    <col min="6" max="6" width="34" customWidth="1"/>
    <col min="7" max="7" width="60" customWidth="1"/>
    <col min="8" max="8" width="14" customWidth="1"/>
    <col min="9" max="10" width="9" customWidth="1"/>
    <col min="11" max="12" width="13" customWidth="1"/>
    <col min="13" max="13" width="17" customWidth="1"/>
    <col min="14" max="14" width="40" customWidth="1"/>
    <col min="15" max="15" width="13" customWidth="1"/>
    <col min="16" max="16" width="40" customWidth="1"/>
  </cols>
  <sheetData>
    <row r="1" spans="1:17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16" customHeight="1" x14ac:dyDescent="0.2">
      <c r="A2" s="7" t="s">
        <v>17</v>
      </c>
      <c r="B2" s="7" t="s">
        <v>18</v>
      </c>
      <c r="C2" s="7" t="s">
        <v>19</v>
      </c>
      <c r="D2" s="7" t="s">
        <v>20</v>
      </c>
      <c r="E2" s="7"/>
      <c r="F2" s="7" t="s">
        <v>21</v>
      </c>
      <c r="G2" s="7" t="s">
        <v>22</v>
      </c>
      <c r="H2" s="7" t="s">
        <v>23</v>
      </c>
      <c r="I2" s="7">
        <v>20</v>
      </c>
      <c r="J2" s="7">
        <v>16</v>
      </c>
      <c r="K2" s="7">
        <v>24</v>
      </c>
      <c r="L2" s="7"/>
      <c r="M2" s="7" t="s">
        <v>24</v>
      </c>
      <c r="N2" s="7"/>
      <c r="O2" s="7" t="s">
        <v>25</v>
      </c>
      <c r="P2" s="7" t="s">
        <v>26</v>
      </c>
      <c r="Q2" s="7"/>
    </row>
    <row r="3" spans="1:17" ht="16" customHeight="1" x14ac:dyDescent="0.2">
      <c r="A3" s="7" t="s">
        <v>17</v>
      </c>
      <c r="B3" s="7" t="s">
        <v>18</v>
      </c>
      <c r="C3" s="7" t="s">
        <v>19</v>
      </c>
      <c r="D3" s="7" t="s">
        <v>20</v>
      </c>
      <c r="E3" s="7"/>
      <c r="F3" s="7" t="s">
        <v>27</v>
      </c>
      <c r="G3" s="7" t="s">
        <v>28</v>
      </c>
      <c r="H3" s="7" t="s">
        <v>23</v>
      </c>
      <c r="I3" s="7">
        <v>3</v>
      </c>
      <c r="J3" s="7">
        <v>2.4</v>
      </c>
      <c r="K3" s="7">
        <v>3.6</v>
      </c>
      <c r="L3" s="7"/>
      <c r="M3" s="7" t="s">
        <v>24</v>
      </c>
      <c r="N3" s="7"/>
      <c r="O3" s="7" t="s">
        <v>25</v>
      </c>
      <c r="P3" s="7" t="s">
        <v>26</v>
      </c>
      <c r="Q3" s="7"/>
    </row>
    <row r="4" spans="1:17" ht="16" customHeight="1" x14ac:dyDescent="0.2">
      <c r="A4" s="7" t="s">
        <v>17</v>
      </c>
      <c r="B4" s="7" t="s">
        <v>18</v>
      </c>
      <c r="C4" s="7" t="s">
        <v>19</v>
      </c>
      <c r="D4" s="7" t="s">
        <v>20</v>
      </c>
      <c r="E4" s="7"/>
      <c r="F4" s="7" t="s">
        <v>29</v>
      </c>
      <c r="G4" s="7" t="s">
        <v>30</v>
      </c>
      <c r="H4" s="7" t="s">
        <v>31</v>
      </c>
      <c r="I4" s="7">
        <v>480</v>
      </c>
      <c r="J4" s="7">
        <v>384</v>
      </c>
      <c r="K4" s="7">
        <v>576</v>
      </c>
      <c r="L4" s="7"/>
      <c r="M4" s="7" t="s">
        <v>24</v>
      </c>
      <c r="N4" s="7"/>
      <c r="O4" s="7" t="s">
        <v>25</v>
      </c>
      <c r="P4" s="7" t="s">
        <v>26</v>
      </c>
      <c r="Q4" s="7"/>
    </row>
    <row r="5" spans="1:17" ht="32" customHeight="1" x14ac:dyDescent="0.2">
      <c r="A5" s="7" t="s">
        <v>17</v>
      </c>
      <c r="B5" s="7" t="s">
        <v>18</v>
      </c>
      <c r="C5" s="7" t="s">
        <v>32</v>
      </c>
      <c r="D5" s="7" t="s">
        <v>33</v>
      </c>
      <c r="E5" s="7" t="s">
        <v>34</v>
      </c>
      <c r="F5" s="7" t="s">
        <v>35</v>
      </c>
      <c r="G5" s="8" t="s">
        <v>36</v>
      </c>
      <c r="H5" s="7" t="s">
        <v>37</v>
      </c>
      <c r="I5" s="7">
        <v>100</v>
      </c>
      <c r="J5" s="7">
        <v>80</v>
      </c>
      <c r="K5" s="7">
        <v>100</v>
      </c>
      <c r="L5" s="7"/>
      <c r="M5" s="7" t="s">
        <v>24</v>
      </c>
      <c r="N5" s="7"/>
      <c r="O5" s="7"/>
      <c r="P5" s="7" t="s">
        <v>26</v>
      </c>
      <c r="Q5" s="7"/>
    </row>
    <row r="6" spans="1:17" ht="32" customHeight="1" x14ac:dyDescent="0.2">
      <c r="A6" s="7" t="s">
        <v>17</v>
      </c>
      <c r="B6" s="7" t="s">
        <v>18</v>
      </c>
      <c r="C6" s="7" t="s">
        <v>38</v>
      </c>
      <c r="D6" s="7" t="s">
        <v>33</v>
      </c>
      <c r="E6" s="7" t="s">
        <v>34</v>
      </c>
      <c r="F6" s="7" t="s">
        <v>35</v>
      </c>
      <c r="G6" s="8" t="s">
        <v>39</v>
      </c>
      <c r="H6" s="7" t="s">
        <v>37</v>
      </c>
      <c r="I6" s="7">
        <v>100</v>
      </c>
      <c r="J6" s="7">
        <v>80</v>
      </c>
      <c r="K6" s="7">
        <v>100</v>
      </c>
      <c r="L6" s="7"/>
      <c r="M6" s="7" t="s">
        <v>24</v>
      </c>
      <c r="N6" s="7"/>
      <c r="O6" s="7"/>
      <c r="P6" s="7" t="s">
        <v>26</v>
      </c>
      <c r="Q6" s="7"/>
    </row>
    <row r="7" spans="1:17" ht="16" customHeight="1" x14ac:dyDescent="0.2">
      <c r="A7" s="7" t="s">
        <v>17</v>
      </c>
      <c r="B7" s="7" t="s">
        <v>40</v>
      </c>
      <c r="C7" s="7" t="s">
        <v>32</v>
      </c>
      <c r="D7" s="7" t="s">
        <v>41</v>
      </c>
      <c r="E7" s="7"/>
      <c r="F7" s="7" t="s">
        <v>42</v>
      </c>
      <c r="G7" s="8" t="s">
        <v>43</v>
      </c>
      <c r="H7" s="7" t="s">
        <v>44</v>
      </c>
      <c r="I7" s="7">
        <v>2000</v>
      </c>
      <c r="J7" s="7">
        <v>1600</v>
      </c>
      <c r="K7" s="7">
        <v>2400</v>
      </c>
      <c r="L7" s="7"/>
      <c r="M7" s="7" t="s">
        <v>24</v>
      </c>
      <c r="N7" s="7"/>
      <c r="O7" s="7" t="s">
        <v>45</v>
      </c>
      <c r="P7" s="7" t="s">
        <v>26</v>
      </c>
      <c r="Q7" s="7"/>
    </row>
    <row r="8" spans="1:17" ht="16" customHeight="1" x14ac:dyDescent="0.2">
      <c r="A8" s="7" t="s">
        <v>17</v>
      </c>
      <c r="B8" s="7" t="s">
        <v>40</v>
      </c>
      <c r="C8" s="7" t="s">
        <v>32</v>
      </c>
      <c r="D8" s="7" t="s">
        <v>41</v>
      </c>
      <c r="E8" s="7"/>
      <c r="F8" s="7" t="s">
        <v>46</v>
      </c>
      <c r="G8" s="8" t="s">
        <v>47</v>
      </c>
      <c r="H8" s="7" t="s">
        <v>48</v>
      </c>
      <c r="I8" s="7">
        <v>10</v>
      </c>
      <c r="J8" s="7">
        <v>8</v>
      </c>
      <c r="K8" s="7">
        <v>12</v>
      </c>
      <c r="L8" s="7"/>
      <c r="M8" s="7" t="s">
        <v>24</v>
      </c>
      <c r="N8" s="7"/>
      <c r="O8" s="7" t="s">
        <v>45</v>
      </c>
      <c r="P8" s="7" t="s">
        <v>26</v>
      </c>
      <c r="Q8" s="7"/>
    </row>
    <row r="9" spans="1:17" ht="16" customHeight="1" x14ac:dyDescent="0.2">
      <c r="A9" s="7" t="s">
        <v>17</v>
      </c>
      <c r="B9" s="7" t="s">
        <v>40</v>
      </c>
      <c r="C9" s="7" t="s">
        <v>32</v>
      </c>
      <c r="D9" s="7" t="s">
        <v>41</v>
      </c>
      <c r="E9" s="7"/>
      <c r="F9" s="7" t="s">
        <v>49</v>
      </c>
      <c r="G9" s="8" t="s">
        <v>50</v>
      </c>
      <c r="H9" s="7" t="s">
        <v>51</v>
      </c>
      <c r="I9" s="7">
        <v>600</v>
      </c>
      <c r="J9" s="7">
        <v>480</v>
      </c>
      <c r="K9" s="7">
        <v>720</v>
      </c>
      <c r="L9" s="7"/>
      <c r="M9" s="7" t="s">
        <v>24</v>
      </c>
      <c r="N9" s="7"/>
      <c r="O9" s="7" t="s">
        <v>45</v>
      </c>
      <c r="P9" s="7" t="s">
        <v>26</v>
      </c>
      <c r="Q9" s="7"/>
    </row>
    <row r="10" spans="1:17" ht="16" customHeight="1" x14ac:dyDescent="0.2">
      <c r="A10" s="7" t="s">
        <v>17</v>
      </c>
      <c r="B10" s="7" t="s">
        <v>40</v>
      </c>
      <c r="C10" s="7" t="s">
        <v>32</v>
      </c>
      <c r="D10" s="7" t="s">
        <v>41</v>
      </c>
      <c r="E10" s="7"/>
      <c r="F10" s="7" t="s">
        <v>52</v>
      </c>
      <c r="G10" s="8" t="s">
        <v>53</v>
      </c>
      <c r="H10" s="7" t="s">
        <v>54</v>
      </c>
      <c r="I10" s="7">
        <v>40000</v>
      </c>
      <c r="J10" s="7">
        <v>32000</v>
      </c>
      <c r="K10" s="7">
        <v>48000</v>
      </c>
      <c r="L10" s="7"/>
      <c r="M10" s="7" t="s">
        <v>24</v>
      </c>
      <c r="N10" s="7"/>
      <c r="O10" s="7" t="s">
        <v>45</v>
      </c>
      <c r="P10" s="7" t="s">
        <v>26</v>
      </c>
      <c r="Q10" s="7"/>
    </row>
    <row r="11" spans="1:17" ht="32" customHeight="1" x14ac:dyDescent="0.2">
      <c r="A11" s="7" t="s">
        <v>17</v>
      </c>
      <c r="B11" s="7" t="s">
        <v>40</v>
      </c>
      <c r="C11" s="7" t="s">
        <v>32</v>
      </c>
      <c r="D11" s="7" t="s">
        <v>41</v>
      </c>
      <c r="E11" s="7"/>
      <c r="F11" s="7" t="s">
        <v>55</v>
      </c>
      <c r="G11" s="8" t="s">
        <v>56</v>
      </c>
      <c r="H11" s="7" t="s">
        <v>37</v>
      </c>
      <c r="I11" s="7">
        <v>100</v>
      </c>
      <c r="J11" s="7">
        <v>80</v>
      </c>
      <c r="K11" s="7">
        <v>100</v>
      </c>
      <c r="L11" s="7"/>
      <c r="M11" s="7" t="s">
        <v>24</v>
      </c>
      <c r="N11" s="7"/>
      <c r="O11" s="7" t="s">
        <v>45</v>
      </c>
      <c r="P11" s="7" t="s">
        <v>26</v>
      </c>
      <c r="Q11" s="7"/>
    </row>
    <row r="12" spans="1:17" ht="16" customHeight="1" x14ac:dyDescent="0.2">
      <c r="A12" s="7" t="s">
        <v>17</v>
      </c>
      <c r="B12" s="7" t="s">
        <v>40</v>
      </c>
      <c r="C12" s="7" t="s">
        <v>32</v>
      </c>
      <c r="D12" s="7" t="s">
        <v>41</v>
      </c>
      <c r="E12" s="7"/>
      <c r="F12" s="7" t="s">
        <v>57</v>
      </c>
      <c r="G12" s="8" t="s">
        <v>58</v>
      </c>
      <c r="H12" s="7" t="s">
        <v>23</v>
      </c>
      <c r="I12" s="7" t="s">
        <v>59</v>
      </c>
      <c r="J12" s="7"/>
      <c r="K12" s="7"/>
      <c r="L12" s="7"/>
      <c r="M12" s="7" t="s">
        <v>60</v>
      </c>
      <c r="N12" s="7" t="s">
        <v>61</v>
      </c>
      <c r="O12" s="7"/>
      <c r="P12" s="7" t="s">
        <v>26</v>
      </c>
      <c r="Q12" s="7"/>
    </row>
    <row r="13" spans="1:17" ht="16" customHeight="1" x14ac:dyDescent="0.2">
      <c r="A13" s="7" t="s">
        <v>17</v>
      </c>
      <c r="B13" s="7" t="s">
        <v>40</v>
      </c>
      <c r="C13" s="7" t="s">
        <v>32</v>
      </c>
      <c r="D13" s="7" t="s">
        <v>62</v>
      </c>
      <c r="E13" s="7"/>
      <c r="F13" s="7" t="s">
        <v>42</v>
      </c>
      <c r="G13" s="8" t="s">
        <v>43</v>
      </c>
      <c r="H13" s="7" t="s">
        <v>44</v>
      </c>
      <c r="I13" s="7">
        <v>1200</v>
      </c>
      <c r="J13" s="7">
        <v>960</v>
      </c>
      <c r="K13" s="7">
        <v>1440</v>
      </c>
      <c r="L13" s="7">
        <v>5000</v>
      </c>
      <c r="M13" s="7" t="s">
        <v>24</v>
      </c>
      <c r="N13" s="7"/>
      <c r="O13" s="7" t="s">
        <v>45</v>
      </c>
      <c r="P13" s="7" t="s">
        <v>26</v>
      </c>
      <c r="Q13" s="7"/>
    </row>
    <row r="14" spans="1:17" ht="16" customHeight="1" x14ac:dyDescent="0.2">
      <c r="A14" s="7" t="s">
        <v>17</v>
      </c>
      <c r="B14" s="7" t="s">
        <v>40</v>
      </c>
      <c r="C14" s="7" t="s">
        <v>32</v>
      </c>
      <c r="D14" s="7" t="s">
        <v>62</v>
      </c>
      <c r="E14" s="7"/>
      <c r="F14" s="7" t="s">
        <v>46</v>
      </c>
      <c r="G14" s="8" t="s">
        <v>47</v>
      </c>
      <c r="H14" s="7" t="s">
        <v>48</v>
      </c>
      <c r="I14" s="7">
        <v>10</v>
      </c>
      <c r="J14" s="7">
        <v>8</v>
      </c>
      <c r="K14" s="7">
        <v>12</v>
      </c>
      <c r="L14" s="7">
        <v>20</v>
      </c>
      <c r="M14" s="7" t="s">
        <v>24</v>
      </c>
      <c r="N14" s="7"/>
      <c r="O14" s="7" t="s">
        <v>45</v>
      </c>
      <c r="P14" s="7" t="s">
        <v>26</v>
      </c>
      <c r="Q14" s="7"/>
    </row>
    <row r="15" spans="1:17" ht="16" customHeight="1" x14ac:dyDescent="0.2">
      <c r="A15" s="7" t="s">
        <v>17</v>
      </c>
      <c r="B15" s="7" t="s">
        <v>40</v>
      </c>
      <c r="C15" s="7" t="s">
        <v>32</v>
      </c>
      <c r="D15" s="7" t="s">
        <v>62</v>
      </c>
      <c r="E15" s="7"/>
      <c r="F15" s="7" t="s">
        <v>49</v>
      </c>
      <c r="G15" s="8" t="s">
        <v>50</v>
      </c>
      <c r="H15" s="7" t="s">
        <v>51</v>
      </c>
      <c r="I15" s="7">
        <v>30</v>
      </c>
      <c r="J15" s="7">
        <v>24</v>
      </c>
      <c r="K15" s="7">
        <v>36</v>
      </c>
      <c r="L15" s="7">
        <v>10</v>
      </c>
      <c r="M15" s="7" t="s">
        <v>24</v>
      </c>
      <c r="N15" s="7"/>
      <c r="O15" s="7" t="s">
        <v>45</v>
      </c>
      <c r="P15" s="7" t="s">
        <v>26</v>
      </c>
      <c r="Q15" s="7"/>
    </row>
    <row r="16" spans="1:17" ht="16" customHeight="1" x14ac:dyDescent="0.2">
      <c r="A16" s="7" t="s">
        <v>17</v>
      </c>
      <c r="B16" s="7" t="s">
        <v>40</v>
      </c>
      <c r="C16" s="7" t="s">
        <v>32</v>
      </c>
      <c r="D16" s="7" t="s">
        <v>62</v>
      </c>
      <c r="E16" s="7"/>
      <c r="F16" s="7" t="s">
        <v>52</v>
      </c>
      <c r="G16" s="8" t="s">
        <v>53</v>
      </c>
      <c r="H16" s="7" t="s">
        <v>54</v>
      </c>
      <c r="I16" s="7">
        <v>40000</v>
      </c>
      <c r="J16" s="7">
        <v>32000</v>
      </c>
      <c r="K16" s="7">
        <v>48000</v>
      </c>
      <c r="L16" s="7">
        <v>70000</v>
      </c>
      <c r="M16" s="7" t="s">
        <v>24</v>
      </c>
      <c r="N16" s="7"/>
      <c r="O16" s="7" t="s">
        <v>45</v>
      </c>
      <c r="P16" s="7" t="s">
        <v>26</v>
      </c>
      <c r="Q16" s="7"/>
    </row>
    <row r="17" spans="1:17" ht="32" customHeight="1" x14ac:dyDescent="0.2">
      <c r="A17" s="7" t="s">
        <v>17</v>
      </c>
      <c r="B17" s="7" t="s">
        <v>40</v>
      </c>
      <c r="C17" s="7" t="s">
        <v>32</v>
      </c>
      <c r="D17" s="7" t="s">
        <v>62</v>
      </c>
      <c r="E17" s="7"/>
      <c r="F17" s="7" t="s">
        <v>55</v>
      </c>
      <c r="G17" s="8" t="s">
        <v>56</v>
      </c>
      <c r="H17" s="7" t="s">
        <v>37</v>
      </c>
      <c r="I17" s="7">
        <v>90</v>
      </c>
      <c r="J17" s="7">
        <v>72</v>
      </c>
      <c r="K17" s="7">
        <v>100</v>
      </c>
      <c r="L17" s="7"/>
      <c r="M17" s="7" t="s">
        <v>24</v>
      </c>
      <c r="N17" s="7"/>
      <c r="O17" s="7" t="s">
        <v>45</v>
      </c>
      <c r="P17" s="7" t="s">
        <v>26</v>
      </c>
      <c r="Q17" s="7"/>
    </row>
    <row r="18" spans="1:17" ht="16" customHeight="1" x14ac:dyDescent="0.2">
      <c r="A18" s="7" t="s">
        <v>17</v>
      </c>
      <c r="B18" s="7" t="s">
        <v>40</v>
      </c>
      <c r="C18" s="7" t="s">
        <v>32</v>
      </c>
      <c r="D18" s="7" t="s">
        <v>62</v>
      </c>
      <c r="E18" s="7"/>
      <c r="F18" s="7" t="s">
        <v>57</v>
      </c>
      <c r="G18" s="8" t="s">
        <v>58</v>
      </c>
      <c r="H18" s="7" t="s">
        <v>23</v>
      </c>
      <c r="I18" s="7" t="s">
        <v>59</v>
      </c>
      <c r="J18" s="7"/>
      <c r="K18" s="7"/>
      <c r="L18" s="7"/>
      <c r="M18" s="7" t="s">
        <v>60</v>
      </c>
      <c r="N18" s="7" t="s">
        <v>61</v>
      </c>
      <c r="O18" s="7"/>
      <c r="P18" s="7" t="s">
        <v>26</v>
      </c>
      <c r="Q18" s="7"/>
    </row>
    <row r="19" spans="1:17" ht="16" customHeight="1" x14ac:dyDescent="0.2">
      <c r="A19" s="7" t="s">
        <v>17</v>
      </c>
      <c r="B19" s="7" t="s">
        <v>40</v>
      </c>
      <c r="C19" s="7" t="s">
        <v>38</v>
      </c>
      <c r="D19" s="7" t="s">
        <v>41</v>
      </c>
      <c r="E19" s="7"/>
      <c r="F19" s="7" t="s">
        <v>42</v>
      </c>
      <c r="G19" s="8" t="s">
        <v>43</v>
      </c>
      <c r="H19" s="7" t="s">
        <v>44</v>
      </c>
      <c r="I19" s="7">
        <v>2000</v>
      </c>
      <c r="J19" s="7">
        <v>1600</v>
      </c>
      <c r="K19" s="7">
        <v>2400</v>
      </c>
      <c r="L19" s="7"/>
      <c r="M19" s="7" t="s">
        <v>24</v>
      </c>
      <c r="N19" s="7"/>
      <c r="O19" s="7" t="s">
        <v>45</v>
      </c>
      <c r="P19" s="7" t="s">
        <v>26</v>
      </c>
      <c r="Q19" s="7"/>
    </row>
    <row r="20" spans="1:17" ht="16" customHeight="1" x14ac:dyDescent="0.2">
      <c r="A20" s="7" t="s">
        <v>17</v>
      </c>
      <c r="B20" s="7" t="s">
        <v>40</v>
      </c>
      <c r="C20" s="7" t="s">
        <v>38</v>
      </c>
      <c r="D20" s="7" t="s">
        <v>41</v>
      </c>
      <c r="E20" s="7"/>
      <c r="F20" s="7" t="s">
        <v>46</v>
      </c>
      <c r="G20" s="8" t="s">
        <v>47</v>
      </c>
      <c r="H20" s="7" t="s">
        <v>48</v>
      </c>
      <c r="I20" s="7">
        <v>10</v>
      </c>
      <c r="J20" s="7">
        <v>8</v>
      </c>
      <c r="K20" s="7">
        <v>12</v>
      </c>
      <c r="L20" s="7"/>
      <c r="M20" s="7" t="s">
        <v>24</v>
      </c>
      <c r="N20" s="7"/>
      <c r="O20" s="7" t="s">
        <v>45</v>
      </c>
      <c r="P20" s="7" t="s">
        <v>26</v>
      </c>
      <c r="Q20" s="7"/>
    </row>
    <row r="21" spans="1:17" ht="16" customHeight="1" x14ac:dyDescent="0.2">
      <c r="A21" s="7" t="s">
        <v>17</v>
      </c>
      <c r="B21" s="7" t="s">
        <v>40</v>
      </c>
      <c r="C21" s="7" t="s">
        <v>38</v>
      </c>
      <c r="D21" s="7" t="s">
        <v>41</v>
      </c>
      <c r="E21" s="7"/>
      <c r="F21" s="7" t="s">
        <v>49</v>
      </c>
      <c r="G21" s="8" t="s">
        <v>50</v>
      </c>
      <c r="H21" s="7" t="s">
        <v>51</v>
      </c>
      <c r="I21" s="7">
        <v>600</v>
      </c>
      <c r="J21" s="7">
        <v>480</v>
      </c>
      <c r="K21" s="7">
        <v>720</v>
      </c>
      <c r="L21" s="7"/>
      <c r="M21" s="7" t="s">
        <v>24</v>
      </c>
      <c r="N21" s="7"/>
      <c r="O21" s="7" t="s">
        <v>45</v>
      </c>
      <c r="P21" s="7" t="s">
        <v>26</v>
      </c>
      <c r="Q21" s="7"/>
    </row>
    <row r="22" spans="1:17" ht="16" customHeight="1" x14ac:dyDescent="0.2">
      <c r="A22" s="7" t="s">
        <v>17</v>
      </c>
      <c r="B22" s="7" t="s">
        <v>40</v>
      </c>
      <c r="C22" s="7" t="s">
        <v>38</v>
      </c>
      <c r="D22" s="7" t="s">
        <v>41</v>
      </c>
      <c r="E22" s="7"/>
      <c r="F22" s="7" t="s">
        <v>52</v>
      </c>
      <c r="G22" s="8" t="s">
        <v>53</v>
      </c>
      <c r="H22" s="7" t="s">
        <v>54</v>
      </c>
      <c r="I22" s="7">
        <v>40000</v>
      </c>
      <c r="J22" s="7">
        <v>32000</v>
      </c>
      <c r="K22" s="7">
        <v>48000</v>
      </c>
      <c r="L22" s="7"/>
      <c r="M22" s="7" t="s">
        <v>24</v>
      </c>
      <c r="N22" s="7"/>
      <c r="O22" s="7" t="s">
        <v>45</v>
      </c>
      <c r="P22" s="7" t="s">
        <v>26</v>
      </c>
      <c r="Q22" s="7"/>
    </row>
    <row r="23" spans="1:17" ht="32" customHeight="1" x14ac:dyDescent="0.2">
      <c r="A23" s="7" t="s">
        <v>17</v>
      </c>
      <c r="B23" s="7" t="s">
        <v>40</v>
      </c>
      <c r="C23" s="7" t="s">
        <v>38</v>
      </c>
      <c r="D23" s="7" t="s">
        <v>41</v>
      </c>
      <c r="E23" s="7"/>
      <c r="F23" s="7" t="s">
        <v>55</v>
      </c>
      <c r="G23" s="8" t="s">
        <v>56</v>
      </c>
      <c r="H23" s="7" t="s">
        <v>37</v>
      </c>
      <c r="I23" s="7">
        <v>100</v>
      </c>
      <c r="J23" s="7">
        <v>80</v>
      </c>
      <c r="K23" s="7">
        <v>100</v>
      </c>
      <c r="L23" s="7"/>
      <c r="M23" s="7" t="s">
        <v>24</v>
      </c>
      <c r="N23" s="7"/>
      <c r="O23" s="7" t="s">
        <v>45</v>
      </c>
      <c r="P23" s="7" t="s">
        <v>26</v>
      </c>
      <c r="Q23" s="7"/>
    </row>
    <row r="24" spans="1:17" ht="16" customHeight="1" x14ac:dyDescent="0.2">
      <c r="A24" s="7" t="s">
        <v>17</v>
      </c>
      <c r="B24" s="7" t="s">
        <v>40</v>
      </c>
      <c r="C24" s="7" t="s">
        <v>38</v>
      </c>
      <c r="D24" s="7" t="s">
        <v>41</v>
      </c>
      <c r="E24" s="7"/>
      <c r="F24" s="7" t="s">
        <v>57</v>
      </c>
      <c r="G24" s="8" t="s">
        <v>58</v>
      </c>
      <c r="H24" s="7" t="s">
        <v>23</v>
      </c>
      <c r="I24" s="7" t="s">
        <v>59</v>
      </c>
      <c r="J24" s="7"/>
      <c r="K24" s="7"/>
      <c r="L24" s="7"/>
      <c r="M24" s="7" t="s">
        <v>60</v>
      </c>
      <c r="N24" s="7" t="s">
        <v>61</v>
      </c>
      <c r="O24" s="7"/>
      <c r="P24" s="7" t="s">
        <v>26</v>
      </c>
      <c r="Q24" s="7"/>
    </row>
    <row r="25" spans="1:17" ht="16" customHeight="1" x14ac:dyDescent="0.2">
      <c r="A25" s="7" t="s">
        <v>17</v>
      </c>
      <c r="B25" s="7" t="s">
        <v>40</v>
      </c>
      <c r="C25" s="7" t="s">
        <v>38</v>
      </c>
      <c r="D25" s="7" t="s">
        <v>62</v>
      </c>
      <c r="E25" s="7"/>
      <c r="F25" s="7" t="s">
        <v>42</v>
      </c>
      <c r="G25" s="8" t="s">
        <v>43</v>
      </c>
      <c r="H25" s="7" t="s">
        <v>44</v>
      </c>
      <c r="I25" s="7">
        <v>1200</v>
      </c>
      <c r="J25" s="7">
        <v>960</v>
      </c>
      <c r="K25" s="7">
        <v>1440</v>
      </c>
      <c r="L25" s="7"/>
      <c r="M25" s="7" t="s">
        <v>24</v>
      </c>
      <c r="N25" s="7"/>
      <c r="O25" s="7" t="s">
        <v>45</v>
      </c>
      <c r="P25" s="7" t="s">
        <v>26</v>
      </c>
      <c r="Q25" s="7"/>
    </row>
    <row r="26" spans="1:17" ht="16" customHeight="1" x14ac:dyDescent="0.2">
      <c r="A26" s="7" t="s">
        <v>17</v>
      </c>
      <c r="B26" s="7" t="s">
        <v>40</v>
      </c>
      <c r="C26" s="7" t="s">
        <v>38</v>
      </c>
      <c r="D26" s="7" t="s">
        <v>62</v>
      </c>
      <c r="E26" s="7"/>
      <c r="F26" s="7" t="s">
        <v>46</v>
      </c>
      <c r="G26" s="8" t="s">
        <v>47</v>
      </c>
      <c r="H26" s="7" t="s">
        <v>48</v>
      </c>
      <c r="I26" s="7">
        <v>10</v>
      </c>
      <c r="J26" s="7">
        <v>8</v>
      </c>
      <c r="K26" s="7">
        <v>12</v>
      </c>
      <c r="L26" s="7"/>
      <c r="M26" s="7" t="s">
        <v>24</v>
      </c>
      <c r="N26" s="7"/>
      <c r="O26" s="7" t="s">
        <v>45</v>
      </c>
      <c r="P26" s="7" t="s">
        <v>26</v>
      </c>
      <c r="Q26" s="7"/>
    </row>
    <row r="27" spans="1:17" ht="16" customHeight="1" x14ac:dyDescent="0.2">
      <c r="A27" s="7" t="s">
        <v>17</v>
      </c>
      <c r="B27" s="7" t="s">
        <v>40</v>
      </c>
      <c r="C27" s="7" t="s">
        <v>38</v>
      </c>
      <c r="D27" s="7" t="s">
        <v>62</v>
      </c>
      <c r="E27" s="7"/>
      <c r="F27" s="7" t="s">
        <v>49</v>
      </c>
      <c r="G27" s="8" t="s">
        <v>50</v>
      </c>
      <c r="H27" s="7" t="s">
        <v>51</v>
      </c>
      <c r="I27" s="7">
        <v>30</v>
      </c>
      <c r="J27" s="7">
        <v>24</v>
      </c>
      <c r="K27" s="7">
        <v>36</v>
      </c>
      <c r="L27" s="7"/>
      <c r="M27" s="7" t="s">
        <v>24</v>
      </c>
      <c r="N27" s="7"/>
      <c r="O27" s="7" t="s">
        <v>45</v>
      </c>
      <c r="P27" s="7" t="s">
        <v>26</v>
      </c>
      <c r="Q27" s="7"/>
    </row>
    <row r="28" spans="1:17" ht="16" customHeight="1" x14ac:dyDescent="0.2">
      <c r="A28" s="7" t="s">
        <v>17</v>
      </c>
      <c r="B28" s="7" t="s">
        <v>40</v>
      </c>
      <c r="C28" s="7" t="s">
        <v>38</v>
      </c>
      <c r="D28" s="7" t="s">
        <v>62</v>
      </c>
      <c r="E28" s="7"/>
      <c r="F28" s="7" t="s">
        <v>52</v>
      </c>
      <c r="G28" s="8" t="s">
        <v>53</v>
      </c>
      <c r="H28" s="7" t="s">
        <v>54</v>
      </c>
      <c r="I28" s="7">
        <v>40000</v>
      </c>
      <c r="J28" s="7">
        <v>32000</v>
      </c>
      <c r="K28" s="7">
        <v>48000</v>
      </c>
      <c r="L28" s="7"/>
      <c r="M28" s="7" t="s">
        <v>24</v>
      </c>
      <c r="N28" s="7"/>
      <c r="O28" s="7" t="s">
        <v>45</v>
      </c>
      <c r="P28" s="7" t="s">
        <v>26</v>
      </c>
      <c r="Q28" s="7"/>
    </row>
    <row r="29" spans="1:17" ht="32" customHeight="1" x14ac:dyDescent="0.2">
      <c r="A29" s="7" t="s">
        <v>17</v>
      </c>
      <c r="B29" s="7" t="s">
        <v>40</v>
      </c>
      <c r="C29" s="7" t="s">
        <v>38</v>
      </c>
      <c r="D29" s="7" t="s">
        <v>62</v>
      </c>
      <c r="E29" s="7"/>
      <c r="F29" s="7" t="s">
        <v>55</v>
      </c>
      <c r="G29" s="8" t="s">
        <v>56</v>
      </c>
      <c r="H29" s="7" t="s">
        <v>37</v>
      </c>
      <c r="I29" s="7">
        <v>90</v>
      </c>
      <c r="J29" s="7">
        <v>72</v>
      </c>
      <c r="K29" s="7">
        <v>100</v>
      </c>
      <c r="L29" s="7"/>
      <c r="M29" s="7" t="s">
        <v>24</v>
      </c>
      <c r="N29" s="7"/>
      <c r="O29" s="7" t="s">
        <v>45</v>
      </c>
      <c r="P29" s="7" t="s">
        <v>26</v>
      </c>
      <c r="Q29" s="7"/>
    </row>
    <row r="30" spans="1:17" ht="16" customHeight="1" x14ac:dyDescent="0.2">
      <c r="A30" s="7" t="s">
        <v>17</v>
      </c>
      <c r="B30" s="7" t="s">
        <v>40</v>
      </c>
      <c r="C30" s="7" t="s">
        <v>38</v>
      </c>
      <c r="D30" s="7" t="s">
        <v>62</v>
      </c>
      <c r="E30" s="7"/>
      <c r="F30" s="7" t="s">
        <v>57</v>
      </c>
      <c r="G30" s="8" t="s">
        <v>58</v>
      </c>
      <c r="H30" s="7" t="s">
        <v>23</v>
      </c>
      <c r="I30" s="7" t="s">
        <v>59</v>
      </c>
      <c r="J30" s="7"/>
      <c r="K30" s="7"/>
      <c r="L30" s="7"/>
      <c r="M30" s="7" t="s">
        <v>60</v>
      </c>
      <c r="N30" s="7" t="s">
        <v>61</v>
      </c>
      <c r="O30" s="7"/>
      <c r="P30" s="7" t="s">
        <v>26</v>
      </c>
      <c r="Q30" s="7"/>
    </row>
    <row r="31" spans="1:17" ht="16" customHeight="1" x14ac:dyDescent="0.2">
      <c r="A31" s="7" t="s">
        <v>17</v>
      </c>
      <c r="B31" s="7" t="s">
        <v>63</v>
      </c>
      <c r="C31" s="7" t="s">
        <v>64</v>
      </c>
      <c r="D31" s="7" t="s">
        <v>20</v>
      </c>
      <c r="E31" s="7"/>
      <c r="F31" s="7" t="s">
        <v>65</v>
      </c>
      <c r="G31" s="8" t="s">
        <v>66</v>
      </c>
      <c r="H31" s="7" t="s">
        <v>67</v>
      </c>
      <c r="I31" s="7">
        <v>50</v>
      </c>
      <c r="J31" s="7">
        <v>40</v>
      </c>
      <c r="K31" s="7">
        <v>60</v>
      </c>
      <c r="L31" s="7"/>
      <c r="M31" s="7" t="s">
        <v>24</v>
      </c>
      <c r="N31" s="7"/>
      <c r="O31" s="7"/>
      <c r="P31" s="7" t="s">
        <v>26</v>
      </c>
      <c r="Q31" s="7"/>
    </row>
    <row r="32" spans="1:17" ht="16" customHeight="1" x14ac:dyDescent="0.2">
      <c r="A32" s="7" t="s">
        <v>17</v>
      </c>
      <c r="B32" s="7" t="s">
        <v>63</v>
      </c>
      <c r="C32" s="7" t="s">
        <v>64</v>
      </c>
      <c r="D32" s="7" t="s">
        <v>20</v>
      </c>
      <c r="E32" s="7"/>
      <c r="F32" s="7" t="s">
        <v>68</v>
      </c>
      <c r="G32" s="8" t="s">
        <v>69</v>
      </c>
      <c r="H32" s="7" t="s">
        <v>67</v>
      </c>
      <c r="I32" s="7">
        <v>10</v>
      </c>
      <c r="J32" s="7">
        <v>8</v>
      </c>
      <c r="K32" s="7">
        <v>12</v>
      </c>
      <c r="L32" s="7"/>
      <c r="M32" s="7" t="s">
        <v>24</v>
      </c>
      <c r="N32" s="7"/>
      <c r="O32" s="7"/>
      <c r="P32" s="7" t="s">
        <v>26</v>
      </c>
      <c r="Q32" s="7"/>
    </row>
    <row r="33" spans="1:17" ht="16" customHeight="1" x14ac:dyDescent="0.2">
      <c r="A33" s="7" t="s">
        <v>17</v>
      </c>
      <c r="B33" s="7" t="s">
        <v>63</v>
      </c>
      <c r="C33" s="7" t="s">
        <v>38</v>
      </c>
      <c r="D33" s="7" t="s">
        <v>70</v>
      </c>
      <c r="E33" s="7"/>
      <c r="F33" s="7" t="s">
        <v>71</v>
      </c>
      <c r="G33" s="8" t="s">
        <v>72</v>
      </c>
      <c r="H33" s="7" t="s">
        <v>37</v>
      </c>
      <c r="I33" s="7">
        <v>10</v>
      </c>
      <c r="J33" s="7">
        <v>8</v>
      </c>
      <c r="K33" s="7">
        <v>12</v>
      </c>
      <c r="L33" s="7"/>
      <c r="M33" s="7" t="s">
        <v>24</v>
      </c>
      <c r="N33" s="7"/>
      <c r="O33" s="7"/>
      <c r="P33" s="7" t="s">
        <v>26</v>
      </c>
      <c r="Q33" s="7"/>
    </row>
    <row r="34" spans="1:17" ht="16" customHeight="1" x14ac:dyDescent="0.2">
      <c r="A34" s="7" t="s">
        <v>17</v>
      </c>
      <c r="B34" s="7" t="s">
        <v>63</v>
      </c>
      <c r="C34" s="7" t="s">
        <v>73</v>
      </c>
      <c r="D34" s="7" t="s">
        <v>74</v>
      </c>
      <c r="E34" s="7" t="s">
        <v>75</v>
      </c>
      <c r="F34" s="7" t="s">
        <v>76</v>
      </c>
      <c r="G34" s="8" t="s">
        <v>77</v>
      </c>
      <c r="H34" s="7" t="s">
        <v>37</v>
      </c>
      <c r="I34" s="7">
        <v>0</v>
      </c>
      <c r="J34" s="7">
        <v>0</v>
      </c>
      <c r="K34" s="7">
        <v>0</v>
      </c>
      <c r="L34" s="7"/>
      <c r="M34" s="7" t="s">
        <v>78</v>
      </c>
      <c r="N34" s="7"/>
      <c r="O34" s="7"/>
      <c r="P34" s="7" t="s">
        <v>26</v>
      </c>
      <c r="Q34" s="7"/>
    </row>
    <row r="35" spans="1:17" ht="32" customHeight="1" x14ac:dyDescent="0.2">
      <c r="A35" s="7" t="s">
        <v>17</v>
      </c>
      <c r="B35" s="7" t="s">
        <v>63</v>
      </c>
      <c r="C35" s="7" t="s">
        <v>73</v>
      </c>
      <c r="D35" s="7" t="s">
        <v>74</v>
      </c>
      <c r="E35" s="7" t="s">
        <v>79</v>
      </c>
      <c r="F35" s="7" t="s">
        <v>76</v>
      </c>
      <c r="G35" s="8" t="s">
        <v>80</v>
      </c>
      <c r="H35" s="7" t="s">
        <v>37</v>
      </c>
      <c r="I35" s="7">
        <v>0</v>
      </c>
      <c r="J35" s="7">
        <v>0</v>
      </c>
      <c r="K35" s="7">
        <v>0</v>
      </c>
      <c r="L35" s="7"/>
      <c r="M35" s="7" t="s">
        <v>78</v>
      </c>
      <c r="N35" s="7"/>
      <c r="O35" s="7"/>
      <c r="P35" s="7" t="s">
        <v>26</v>
      </c>
      <c r="Q35" s="7"/>
    </row>
    <row r="36" spans="1:17" ht="32" customHeight="1" x14ac:dyDescent="0.2">
      <c r="A36" s="7" t="s">
        <v>17</v>
      </c>
      <c r="B36" s="7" t="s">
        <v>63</v>
      </c>
      <c r="C36" s="7" t="s">
        <v>73</v>
      </c>
      <c r="D36" s="7" t="s">
        <v>74</v>
      </c>
      <c r="E36" s="7" t="s">
        <v>81</v>
      </c>
      <c r="F36" s="7" t="s">
        <v>76</v>
      </c>
      <c r="G36" s="8" t="s">
        <v>82</v>
      </c>
      <c r="H36" s="7" t="s">
        <v>37</v>
      </c>
      <c r="I36" s="7">
        <v>20</v>
      </c>
      <c r="J36" s="7">
        <v>16</v>
      </c>
      <c r="K36" s="7">
        <v>24</v>
      </c>
      <c r="L36" s="7"/>
      <c r="M36" s="7" t="s">
        <v>24</v>
      </c>
      <c r="N36" s="7"/>
      <c r="O36" s="7"/>
      <c r="P36" s="7" t="s">
        <v>26</v>
      </c>
      <c r="Q36" s="7"/>
    </row>
    <row r="37" spans="1:17" ht="32" customHeight="1" x14ac:dyDescent="0.2">
      <c r="A37" s="7" t="s">
        <v>17</v>
      </c>
      <c r="B37" s="7" t="s">
        <v>63</v>
      </c>
      <c r="C37" s="7" t="s">
        <v>73</v>
      </c>
      <c r="D37" s="7" t="s">
        <v>74</v>
      </c>
      <c r="E37" s="7" t="s">
        <v>83</v>
      </c>
      <c r="F37" s="7" t="s">
        <v>76</v>
      </c>
      <c r="G37" s="8" t="s">
        <v>84</v>
      </c>
      <c r="H37" s="7" t="s">
        <v>37</v>
      </c>
      <c r="I37" s="7">
        <v>80</v>
      </c>
      <c r="J37" s="7">
        <v>64</v>
      </c>
      <c r="K37" s="7">
        <v>96</v>
      </c>
      <c r="L37" s="7"/>
      <c r="M37" s="7" t="s">
        <v>24</v>
      </c>
      <c r="N37" s="7"/>
      <c r="O37" s="7"/>
      <c r="P37" s="7" t="s">
        <v>26</v>
      </c>
      <c r="Q37" s="7"/>
    </row>
    <row r="38" spans="1:17" ht="32" customHeight="1" x14ac:dyDescent="0.2">
      <c r="A38" s="7" t="s">
        <v>17</v>
      </c>
      <c r="B38" s="7" t="s">
        <v>63</v>
      </c>
      <c r="C38" s="7" t="s">
        <v>73</v>
      </c>
      <c r="D38" s="7" t="s">
        <v>74</v>
      </c>
      <c r="E38" s="7" t="s">
        <v>85</v>
      </c>
      <c r="F38" s="7" t="s">
        <v>76</v>
      </c>
      <c r="G38" s="8" t="s">
        <v>86</v>
      </c>
      <c r="H38" s="7" t="s">
        <v>37</v>
      </c>
      <c r="I38" s="7">
        <v>0</v>
      </c>
      <c r="J38" s="7">
        <v>0</v>
      </c>
      <c r="K38" s="7">
        <v>0</v>
      </c>
      <c r="L38" s="7"/>
      <c r="M38" s="7" t="s">
        <v>78</v>
      </c>
      <c r="N38" s="7"/>
      <c r="O38" s="7"/>
      <c r="P38" s="7" t="s">
        <v>26</v>
      </c>
      <c r="Q38" s="7"/>
    </row>
    <row r="39" spans="1:17" ht="32" customHeight="1" x14ac:dyDescent="0.2">
      <c r="A39" s="7" t="s">
        <v>17</v>
      </c>
      <c r="B39" s="7" t="s">
        <v>87</v>
      </c>
      <c r="C39" s="7" t="s">
        <v>88</v>
      </c>
      <c r="D39" s="7" t="s">
        <v>20</v>
      </c>
      <c r="E39" s="7"/>
      <c r="F39" s="7" t="s">
        <v>87</v>
      </c>
      <c r="G39" s="8" t="s">
        <v>89</v>
      </c>
      <c r="H39" s="7" t="s">
        <v>90</v>
      </c>
      <c r="I39" s="7" t="s">
        <v>91</v>
      </c>
      <c r="J39" s="7"/>
      <c r="K39" s="7"/>
      <c r="L39" s="7"/>
      <c r="M39" s="7" t="s">
        <v>60</v>
      </c>
      <c r="N39" s="7"/>
      <c r="O39" s="7"/>
      <c r="P39" s="7" t="s">
        <v>26</v>
      </c>
      <c r="Q39" s="7"/>
    </row>
    <row r="40" spans="1:17" ht="32" customHeight="1" x14ac:dyDescent="0.2"/>
  </sheetData>
  <conditionalFormatting sqref="I2:I244">
    <cfRule type="expression" dxfId="11" priority="3">
      <formula>AND($F2&lt;&gt;"",$I2="")</formula>
    </cfRule>
  </conditionalFormatting>
  <conditionalFormatting sqref="I2:P244">
    <cfRule type="expression" dxfId="10" priority="1">
      <formula>$P2="placeholder"</formula>
    </cfRule>
  </conditionalFormatting>
  <conditionalFormatting sqref="J2:K244">
    <cfRule type="expression" dxfId="9" priority="2">
      <formula>AND(OR($M2="triangular",$M2="uniform"),OR($J2="",$K2=""))</formula>
    </cfRule>
  </conditionalFormatting>
  <dataValidations count="4">
    <dataValidation type="list" allowBlank="1" showErrorMessage="1" sqref="B2:B244" xr:uid="{00000000-0002-0000-0600-000000000000}">
      <formula1>"design,manufacturing,circularity,location"</formula1>
    </dataValidation>
    <dataValidation type="list" allowBlank="1" showErrorMessage="1" sqref="C2:C244" xr:uid="{00000000-0002-0000-0600-000001000000}">
      <formula1>"product size,production,repair,use,end-of-life,general"</formula1>
    </dataValidation>
    <dataValidation type="list" allowBlank="1" showErrorMessage="1" sqref="M2:M244" xr:uid="{00000000-0002-0000-0600-000002000000}">
      <formula1>"fixed,triangular,uniform,choice"</formula1>
    </dataValidation>
    <dataValidation type="list" allowBlank="1" showErrorMessage="1" sqref="P2:P244" xr:uid="{00000000-0002-0000-0600-000003000000}">
      <formula1>"placeholder,partner estimate,measured,literature"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6A5AF"/>
  </sheetPr>
  <dimension ref="A1:Q41"/>
  <sheetViews>
    <sheetView workbookViewId="0">
      <pane xSplit="6" ySplit="1" topLeftCell="G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9" customWidth="1"/>
    <col min="2" max="2" width="15" customWidth="1"/>
    <col min="3" max="3" width="13" customWidth="1"/>
    <col min="4" max="4" width="27" customWidth="1"/>
    <col min="5" max="5" width="17" customWidth="1"/>
    <col min="6" max="6" width="34" customWidth="1"/>
    <col min="7" max="7" width="60" customWidth="1"/>
    <col min="8" max="8" width="14" customWidth="1"/>
    <col min="9" max="10" width="9" customWidth="1"/>
    <col min="11" max="12" width="13" customWidth="1"/>
    <col min="13" max="13" width="17" customWidth="1"/>
    <col min="14" max="14" width="40" customWidth="1"/>
    <col min="15" max="15" width="13" customWidth="1"/>
    <col min="16" max="16" width="40" customWidth="1"/>
  </cols>
  <sheetData>
    <row r="1" spans="1:17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16" customHeight="1" x14ac:dyDescent="0.2">
      <c r="A2" s="7" t="s">
        <v>151</v>
      </c>
      <c r="B2" s="7" t="s">
        <v>18</v>
      </c>
      <c r="C2" s="7" t="s">
        <v>19</v>
      </c>
      <c r="D2" s="7" t="s">
        <v>20</v>
      </c>
      <c r="E2" s="7"/>
      <c r="F2" s="7" t="s">
        <v>292</v>
      </c>
      <c r="G2" s="7" t="s">
        <v>293</v>
      </c>
      <c r="H2" s="7" t="s">
        <v>294</v>
      </c>
      <c r="I2" s="7">
        <v>550</v>
      </c>
      <c r="J2" s="7">
        <v>440</v>
      </c>
      <c r="K2" s="7">
        <v>660</v>
      </c>
      <c r="L2" s="7"/>
      <c r="M2" s="7" t="s">
        <v>24</v>
      </c>
      <c r="N2" s="7"/>
      <c r="O2" s="7" t="s">
        <v>25</v>
      </c>
      <c r="P2" s="7" t="s">
        <v>26</v>
      </c>
      <c r="Q2" s="7"/>
    </row>
    <row r="3" spans="1:17" ht="16" customHeight="1" x14ac:dyDescent="0.2">
      <c r="A3" s="7" t="s">
        <v>151</v>
      </c>
      <c r="B3" s="7" t="s">
        <v>18</v>
      </c>
      <c r="C3" s="7" t="s">
        <v>19</v>
      </c>
      <c r="D3" s="7" t="s">
        <v>20</v>
      </c>
      <c r="E3" s="7"/>
      <c r="F3" s="7" t="s">
        <v>295</v>
      </c>
      <c r="G3" s="7" t="s">
        <v>296</v>
      </c>
      <c r="H3" s="7" t="s">
        <v>297</v>
      </c>
      <c r="I3" s="7">
        <v>6.0000000000000001E-3</v>
      </c>
      <c r="J3" s="7">
        <v>4.7999999999999996E-3</v>
      </c>
      <c r="K3" s="7">
        <v>7.1999999999999998E-3</v>
      </c>
      <c r="L3" s="7"/>
      <c r="M3" s="7" t="s">
        <v>24</v>
      </c>
      <c r="N3" s="7"/>
      <c r="O3" s="7" t="s">
        <v>25</v>
      </c>
      <c r="P3" s="7" t="s">
        <v>26</v>
      </c>
      <c r="Q3" s="7"/>
    </row>
    <row r="4" spans="1:17" ht="32" customHeight="1" x14ac:dyDescent="0.2">
      <c r="A4" s="7" t="s">
        <v>151</v>
      </c>
      <c r="B4" s="7" t="s">
        <v>18</v>
      </c>
      <c r="C4" s="7" t="s">
        <v>32</v>
      </c>
      <c r="D4" s="7" t="s">
        <v>287</v>
      </c>
      <c r="E4" s="7" t="s">
        <v>59</v>
      </c>
      <c r="F4" s="7" t="s">
        <v>35</v>
      </c>
      <c r="G4" s="8" t="s">
        <v>278</v>
      </c>
      <c r="H4" s="7" t="s">
        <v>37</v>
      </c>
      <c r="I4" s="7">
        <v>60</v>
      </c>
      <c r="J4" s="7">
        <v>48</v>
      </c>
      <c r="K4" s="7">
        <v>72</v>
      </c>
      <c r="L4" s="7"/>
      <c r="M4" s="7" t="s">
        <v>24</v>
      </c>
      <c r="N4" s="7"/>
      <c r="O4" s="7"/>
      <c r="P4" s="7" t="s">
        <v>26</v>
      </c>
      <c r="Q4" s="7"/>
    </row>
    <row r="5" spans="1:17" ht="32" customHeight="1" x14ac:dyDescent="0.2">
      <c r="A5" s="7" t="s">
        <v>151</v>
      </c>
      <c r="B5" s="7" t="s">
        <v>18</v>
      </c>
      <c r="C5" s="7" t="s">
        <v>32</v>
      </c>
      <c r="D5" s="7" t="s">
        <v>298</v>
      </c>
      <c r="E5" s="7" t="s">
        <v>59</v>
      </c>
      <c r="F5" s="7" t="s">
        <v>35</v>
      </c>
      <c r="G5" s="8" t="s">
        <v>278</v>
      </c>
      <c r="H5" s="7" t="s">
        <v>37</v>
      </c>
      <c r="I5" s="7">
        <v>40</v>
      </c>
      <c r="J5" s="7">
        <v>32</v>
      </c>
      <c r="K5" s="7">
        <v>48</v>
      </c>
      <c r="L5" s="7"/>
      <c r="M5" s="7" t="s">
        <v>24</v>
      </c>
      <c r="N5" s="7"/>
      <c r="O5" s="7"/>
      <c r="P5" s="7" t="s">
        <v>26</v>
      </c>
      <c r="Q5" s="7"/>
    </row>
    <row r="6" spans="1:17" ht="32" customHeight="1" x14ac:dyDescent="0.2">
      <c r="A6" s="7" t="s">
        <v>151</v>
      </c>
      <c r="B6" s="7" t="s">
        <v>18</v>
      </c>
      <c r="C6" s="7" t="s">
        <v>38</v>
      </c>
      <c r="D6" s="7" t="s">
        <v>287</v>
      </c>
      <c r="E6" s="7" t="s">
        <v>59</v>
      </c>
      <c r="F6" s="7" t="s">
        <v>35</v>
      </c>
      <c r="G6" s="8" t="s">
        <v>285</v>
      </c>
      <c r="H6" s="7" t="s">
        <v>37</v>
      </c>
      <c r="I6" s="7">
        <v>60</v>
      </c>
      <c r="J6" s="7">
        <v>48</v>
      </c>
      <c r="K6" s="7">
        <v>72</v>
      </c>
      <c r="L6" s="7"/>
      <c r="M6" s="7" t="s">
        <v>24</v>
      </c>
      <c r="N6" s="7"/>
      <c r="O6" s="7"/>
      <c r="P6" s="7" t="s">
        <v>26</v>
      </c>
      <c r="Q6" s="7"/>
    </row>
    <row r="7" spans="1:17" ht="32" customHeight="1" x14ac:dyDescent="0.2">
      <c r="A7" s="7" t="s">
        <v>151</v>
      </c>
      <c r="B7" s="7" t="s">
        <v>18</v>
      </c>
      <c r="C7" s="7" t="s">
        <v>38</v>
      </c>
      <c r="D7" s="7" t="s">
        <v>298</v>
      </c>
      <c r="E7" s="7" t="s">
        <v>59</v>
      </c>
      <c r="F7" s="7" t="s">
        <v>35</v>
      </c>
      <c r="G7" s="8" t="s">
        <v>285</v>
      </c>
      <c r="H7" s="7" t="s">
        <v>37</v>
      </c>
      <c r="I7" s="7">
        <v>40</v>
      </c>
      <c r="J7" s="7">
        <v>32</v>
      </c>
      <c r="K7" s="7">
        <v>48</v>
      </c>
      <c r="L7" s="7"/>
      <c r="M7" s="7" t="s">
        <v>24</v>
      </c>
      <c r="N7" s="7"/>
      <c r="O7" s="7"/>
      <c r="P7" s="7" t="s">
        <v>26</v>
      </c>
      <c r="Q7" s="7"/>
    </row>
    <row r="8" spans="1:17" ht="16" customHeight="1" x14ac:dyDescent="0.2">
      <c r="A8" s="7" t="s">
        <v>151</v>
      </c>
      <c r="B8" s="7" t="s">
        <v>40</v>
      </c>
      <c r="C8" s="7" t="s">
        <v>32</v>
      </c>
      <c r="D8" s="7" t="s">
        <v>299</v>
      </c>
      <c r="E8" s="7"/>
      <c r="F8" s="7" t="s">
        <v>42</v>
      </c>
      <c r="G8" s="8" t="s">
        <v>43</v>
      </c>
      <c r="H8" s="7" t="s">
        <v>44</v>
      </c>
      <c r="I8" s="7">
        <v>800</v>
      </c>
      <c r="J8" s="7">
        <v>640</v>
      </c>
      <c r="K8" s="7">
        <v>960</v>
      </c>
      <c r="L8" s="7"/>
      <c r="M8" s="7" t="s">
        <v>24</v>
      </c>
      <c r="N8" s="7"/>
      <c r="O8" s="7" t="s">
        <v>45</v>
      </c>
      <c r="P8" s="7" t="s">
        <v>26</v>
      </c>
      <c r="Q8" s="7"/>
    </row>
    <row r="9" spans="1:17" ht="16" customHeight="1" x14ac:dyDescent="0.2">
      <c r="A9" s="7" t="s">
        <v>151</v>
      </c>
      <c r="B9" s="7" t="s">
        <v>40</v>
      </c>
      <c r="C9" s="7" t="s">
        <v>32</v>
      </c>
      <c r="D9" s="7" t="s">
        <v>299</v>
      </c>
      <c r="E9" s="7"/>
      <c r="F9" s="7" t="s">
        <v>46</v>
      </c>
      <c r="G9" s="8" t="s">
        <v>47</v>
      </c>
      <c r="H9" s="7" t="s">
        <v>48</v>
      </c>
      <c r="I9" s="7">
        <v>3</v>
      </c>
      <c r="J9" s="7">
        <v>2.4</v>
      </c>
      <c r="K9" s="7">
        <v>3.6</v>
      </c>
      <c r="L9" s="7"/>
      <c r="M9" s="7" t="s">
        <v>24</v>
      </c>
      <c r="N9" s="7"/>
      <c r="O9" s="7" t="s">
        <v>45</v>
      </c>
      <c r="P9" s="7" t="s">
        <v>26</v>
      </c>
      <c r="Q9" s="7"/>
    </row>
    <row r="10" spans="1:17" ht="16" customHeight="1" x14ac:dyDescent="0.2">
      <c r="A10" s="7" t="s">
        <v>151</v>
      </c>
      <c r="B10" s="7" t="s">
        <v>40</v>
      </c>
      <c r="C10" s="7" t="s">
        <v>32</v>
      </c>
      <c r="D10" s="7" t="s">
        <v>299</v>
      </c>
      <c r="E10" s="7"/>
      <c r="F10" s="7" t="s">
        <v>49</v>
      </c>
      <c r="G10" s="8" t="s">
        <v>50</v>
      </c>
      <c r="H10" s="7" t="s">
        <v>51</v>
      </c>
      <c r="I10" s="7">
        <v>20</v>
      </c>
      <c r="J10" s="7">
        <v>16</v>
      </c>
      <c r="K10" s="7">
        <v>24</v>
      </c>
      <c r="L10" s="7"/>
      <c r="M10" s="7" t="s">
        <v>24</v>
      </c>
      <c r="N10" s="7"/>
      <c r="O10" s="7" t="s">
        <v>45</v>
      </c>
      <c r="P10" s="7" t="s">
        <v>26</v>
      </c>
      <c r="Q10" s="7"/>
    </row>
    <row r="11" spans="1:17" ht="16" customHeight="1" x14ac:dyDescent="0.2">
      <c r="A11" s="7" t="s">
        <v>151</v>
      </c>
      <c r="B11" s="7" t="s">
        <v>40</v>
      </c>
      <c r="C11" s="7" t="s">
        <v>32</v>
      </c>
      <c r="D11" s="7" t="s">
        <v>299</v>
      </c>
      <c r="E11" s="7"/>
      <c r="F11" s="7" t="s">
        <v>52</v>
      </c>
      <c r="G11" s="8" t="s">
        <v>53</v>
      </c>
      <c r="H11" s="7" t="s">
        <v>54</v>
      </c>
      <c r="I11" s="7">
        <v>50000</v>
      </c>
      <c r="J11" s="7">
        <v>40000</v>
      </c>
      <c r="K11" s="7">
        <v>60000</v>
      </c>
      <c r="L11" s="7"/>
      <c r="M11" s="7" t="s">
        <v>24</v>
      </c>
      <c r="N11" s="7"/>
      <c r="O11" s="7" t="s">
        <v>45</v>
      </c>
      <c r="P11" s="7" t="s">
        <v>26</v>
      </c>
      <c r="Q11" s="7"/>
    </row>
    <row r="12" spans="1:17" ht="32" customHeight="1" x14ac:dyDescent="0.2">
      <c r="A12" s="7" t="s">
        <v>151</v>
      </c>
      <c r="B12" s="7" t="s">
        <v>40</v>
      </c>
      <c r="C12" s="7" t="s">
        <v>32</v>
      </c>
      <c r="D12" s="7" t="s">
        <v>299</v>
      </c>
      <c r="E12" s="7"/>
      <c r="F12" s="7" t="s">
        <v>55</v>
      </c>
      <c r="G12" s="8" t="s">
        <v>56</v>
      </c>
      <c r="H12" s="7" t="s">
        <v>37</v>
      </c>
      <c r="I12" s="7">
        <v>95</v>
      </c>
      <c r="J12" s="7">
        <v>76</v>
      </c>
      <c r="K12" s="7">
        <v>100</v>
      </c>
      <c r="L12" s="7"/>
      <c r="M12" s="7" t="s">
        <v>24</v>
      </c>
      <c r="N12" s="7"/>
      <c r="O12" s="7" t="s">
        <v>45</v>
      </c>
      <c r="P12" s="7" t="s">
        <v>26</v>
      </c>
      <c r="Q12" s="7"/>
    </row>
    <row r="13" spans="1:17" ht="16" customHeight="1" x14ac:dyDescent="0.2">
      <c r="A13" s="7" t="s">
        <v>151</v>
      </c>
      <c r="B13" s="7" t="s">
        <v>40</v>
      </c>
      <c r="C13" s="7" t="s">
        <v>32</v>
      </c>
      <c r="D13" s="7" t="s">
        <v>299</v>
      </c>
      <c r="E13" s="7"/>
      <c r="F13" s="7" t="s">
        <v>57</v>
      </c>
      <c r="G13" s="8" t="s">
        <v>58</v>
      </c>
      <c r="H13" s="7" t="s">
        <v>23</v>
      </c>
      <c r="I13" s="7" t="s">
        <v>59</v>
      </c>
      <c r="J13" s="7"/>
      <c r="K13" s="7"/>
      <c r="L13" s="7"/>
      <c r="M13" s="7" t="s">
        <v>60</v>
      </c>
      <c r="N13" s="7" t="s">
        <v>61</v>
      </c>
      <c r="O13" s="7"/>
      <c r="P13" s="7" t="s">
        <v>26</v>
      </c>
      <c r="Q13" s="7"/>
    </row>
    <row r="14" spans="1:17" ht="16" customHeight="1" x14ac:dyDescent="0.2">
      <c r="A14" s="7" t="s">
        <v>151</v>
      </c>
      <c r="B14" s="7" t="s">
        <v>40</v>
      </c>
      <c r="C14" s="7" t="s">
        <v>32</v>
      </c>
      <c r="D14" s="7" t="s">
        <v>300</v>
      </c>
      <c r="E14" s="7"/>
      <c r="F14" s="7" t="s">
        <v>42</v>
      </c>
      <c r="G14" s="8" t="s">
        <v>43</v>
      </c>
      <c r="H14" s="7" t="s">
        <v>44</v>
      </c>
      <c r="I14" s="7">
        <v>3000</v>
      </c>
      <c r="J14" s="7">
        <v>2400</v>
      </c>
      <c r="K14" s="7">
        <v>3600</v>
      </c>
      <c r="L14" s="7">
        <v>5000</v>
      </c>
      <c r="M14" s="7" t="s">
        <v>24</v>
      </c>
      <c r="N14" s="7"/>
      <c r="O14" s="7" t="s">
        <v>45</v>
      </c>
      <c r="P14" s="7" t="s">
        <v>26</v>
      </c>
      <c r="Q14" s="7"/>
    </row>
    <row r="15" spans="1:17" ht="16" customHeight="1" x14ac:dyDescent="0.2">
      <c r="A15" s="7" t="s">
        <v>151</v>
      </c>
      <c r="B15" s="7" t="s">
        <v>40</v>
      </c>
      <c r="C15" s="7" t="s">
        <v>32</v>
      </c>
      <c r="D15" s="7" t="s">
        <v>300</v>
      </c>
      <c r="E15" s="7"/>
      <c r="F15" s="7" t="s">
        <v>46</v>
      </c>
      <c r="G15" s="8" t="s">
        <v>47</v>
      </c>
      <c r="H15" s="7" t="s">
        <v>48</v>
      </c>
      <c r="I15" s="7">
        <v>6</v>
      </c>
      <c r="J15" s="7">
        <v>4.8</v>
      </c>
      <c r="K15" s="7">
        <v>7.2</v>
      </c>
      <c r="L15" s="7">
        <v>25</v>
      </c>
      <c r="M15" s="7" t="s">
        <v>24</v>
      </c>
      <c r="N15" s="7"/>
      <c r="O15" s="7" t="s">
        <v>45</v>
      </c>
      <c r="P15" s="7" t="s">
        <v>26</v>
      </c>
      <c r="Q15" s="7"/>
    </row>
    <row r="16" spans="1:17" ht="16" customHeight="1" x14ac:dyDescent="0.2">
      <c r="A16" s="7" t="s">
        <v>151</v>
      </c>
      <c r="B16" s="7" t="s">
        <v>40</v>
      </c>
      <c r="C16" s="7" t="s">
        <v>32</v>
      </c>
      <c r="D16" s="7" t="s">
        <v>300</v>
      </c>
      <c r="E16" s="7"/>
      <c r="F16" s="7" t="s">
        <v>49</v>
      </c>
      <c r="G16" s="8" t="s">
        <v>50</v>
      </c>
      <c r="H16" s="7" t="s">
        <v>51</v>
      </c>
      <c r="I16" s="7">
        <v>4</v>
      </c>
      <c r="J16" s="7">
        <v>3.2</v>
      </c>
      <c r="K16" s="7">
        <v>4.8</v>
      </c>
      <c r="L16" s="7">
        <v>10</v>
      </c>
      <c r="M16" s="7" t="s">
        <v>24</v>
      </c>
      <c r="N16" s="7"/>
      <c r="O16" s="7" t="s">
        <v>45</v>
      </c>
      <c r="P16" s="7" t="s">
        <v>26</v>
      </c>
      <c r="Q16" s="7"/>
    </row>
    <row r="17" spans="1:17" ht="16" customHeight="1" x14ac:dyDescent="0.2">
      <c r="A17" s="7" t="s">
        <v>151</v>
      </c>
      <c r="B17" s="7" t="s">
        <v>40</v>
      </c>
      <c r="C17" s="7" t="s">
        <v>32</v>
      </c>
      <c r="D17" s="7" t="s">
        <v>300</v>
      </c>
      <c r="E17" s="7"/>
      <c r="F17" s="7" t="s">
        <v>52</v>
      </c>
      <c r="G17" s="8" t="s">
        <v>53</v>
      </c>
      <c r="H17" s="7" t="s">
        <v>54</v>
      </c>
      <c r="I17" s="7">
        <v>50000</v>
      </c>
      <c r="J17" s="7">
        <v>40000</v>
      </c>
      <c r="K17" s="7">
        <v>60000</v>
      </c>
      <c r="L17" s="7">
        <v>50000</v>
      </c>
      <c r="M17" s="7" t="s">
        <v>24</v>
      </c>
      <c r="N17" s="7"/>
      <c r="O17" s="7" t="s">
        <v>45</v>
      </c>
      <c r="P17" s="7" t="s">
        <v>26</v>
      </c>
      <c r="Q17" s="7"/>
    </row>
    <row r="18" spans="1:17" ht="32" customHeight="1" x14ac:dyDescent="0.2">
      <c r="A18" s="7" t="s">
        <v>151</v>
      </c>
      <c r="B18" s="7" t="s">
        <v>40</v>
      </c>
      <c r="C18" s="7" t="s">
        <v>32</v>
      </c>
      <c r="D18" s="7" t="s">
        <v>300</v>
      </c>
      <c r="E18" s="7"/>
      <c r="F18" s="7" t="s">
        <v>55</v>
      </c>
      <c r="G18" s="8" t="s">
        <v>56</v>
      </c>
      <c r="H18" s="7" t="s">
        <v>37</v>
      </c>
      <c r="I18" s="7">
        <v>95</v>
      </c>
      <c r="J18" s="7">
        <v>76</v>
      </c>
      <c r="K18" s="7">
        <v>100</v>
      </c>
      <c r="L18" s="7"/>
      <c r="M18" s="7" t="s">
        <v>24</v>
      </c>
      <c r="N18" s="7"/>
      <c r="O18" s="7" t="s">
        <v>45</v>
      </c>
      <c r="P18" s="7" t="s">
        <v>26</v>
      </c>
      <c r="Q18" s="7"/>
    </row>
    <row r="19" spans="1:17" ht="16" customHeight="1" x14ac:dyDescent="0.2">
      <c r="A19" s="7" t="s">
        <v>151</v>
      </c>
      <c r="B19" s="7" t="s">
        <v>40</v>
      </c>
      <c r="C19" s="7" t="s">
        <v>32</v>
      </c>
      <c r="D19" s="7" t="s">
        <v>300</v>
      </c>
      <c r="E19" s="7"/>
      <c r="F19" s="7" t="s">
        <v>57</v>
      </c>
      <c r="G19" s="8" t="s">
        <v>58</v>
      </c>
      <c r="H19" s="7" t="s">
        <v>23</v>
      </c>
      <c r="I19" s="7" t="s">
        <v>59</v>
      </c>
      <c r="J19" s="7"/>
      <c r="K19" s="7"/>
      <c r="L19" s="7"/>
      <c r="M19" s="7" t="s">
        <v>60</v>
      </c>
      <c r="N19" s="7" t="s">
        <v>61</v>
      </c>
      <c r="O19" s="7"/>
      <c r="P19" s="7" t="s">
        <v>26</v>
      </c>
      <c r="Q19" s="7"/>
    </row>
    <row r="20" spans="1:17" ht="16" customHeight="1" x14ac:dyDescent="0.2">
      <c r="A20" s="7" t="s">
        <v>151</v>
      </c>
      <c r="B20" s="7" t="s">
        <v>40</v>
      </c>
      <c r="C20" s="7" t="s">
        <v>38</v>
      </c>
      <c r="D20" s="7" t="s">
        <v>299</v>
      </c>
      <c r="E20" s="7"/>
      <c r="F20" s="7" t="s">
        <v>42</v>
      </c>
      <c r="G20" s="8" t="s">
        <v>43</v>
      </c>
      <c r="H20" s="7" t="s">
        <v>44</v>
      </c>
      <c r="I20" s="7">
        <v>800</v>
      </c>
      <c r="J20" s="7">
        <v>640</v>
      </c>
      <c r="K20" s="7">
        <v>960</v>
      </c>
      <c r="L20" s="7"/>
      <c r="M20" s="7" t="s">
        <v>24</v>
      </c>
      <c r="N20" s="7"/>
      <c r="O20" s="7" t="s">
        <v>45</v>
      </c>
      <c r="P20" s="7" t="s">
        <v>26</v>
      </c>
      <c r="Q20" s="7"/>
    </row>
    <row r="21" spans="1:17" ht="16" customHeight="1" x14ac:dyDescent="0.2">
      <c r="A21" s="7" t="s">
        <v>151</v>
      </c>
      <c r="B21" s="7" t="s">
        <v>40</v>
      </c>
      <c r="C21" s="7" t="s">
        <v>38</v>
      </c>
      <c r="D21" s="7" t="s">
        <v>299</v>
      </c>
      <c r="E21" s="7"/>
      <c r="F21" s="7" t="s">
        <v>46</v>
      </c>
      <c r="G21" s="8" t="s">
        <v>47</v>
      </c>
      <c r="H21" s="7" t="s">
        <v>48</v>
      </c>
      <c r="I21" s="7">
        <v>3</v>
      </c>
      <c r="J21" s="7">
        <v>2.4</v>
      </c>
      <c r="K21" s="7">
        <v>3.6</v>
      </c>
      <c r="L21" s="7"/>
      <c r="M21" s="7" t="s">
        <v>24</v>
      </c>
      <c r="N21" s="7"/>
      <c r="O21" s="7" t="s">
        <v>45</v>
      </c>
      <c r="P21" s="7" t="s">
        <v>26</v>
      </c>
      <c r="Q21" s="7"/>
    </row>
    <row r="22" spans="1:17" ht="16" customHeight="1" x14ac:dyDescent="0.2">
      <c r="A22" s="7" t="s">
        <v>151</v>
      </c>
      <c r="B22" s="7" t="s">
        <v>40</v>
      </c>
      <c r="C22" s="7" t="s">
        <v>38</v>
      </c>
      <c r="D22" s="7" t="s">
        <v>299</v>
      </c>
      <c r="E22" s="7"/>
      <c r="F22" s="7" t="s">
        <v>49</v>
      </c>
      <c r="G22" s="8" t="s">
        <v>50</v>
      </c>
      <c r="H22" s="7" t="s">
        <v>51</v>
      </c>
      <c r="I22" s="7">
        <v>20</v>
      </c>
      <c r="J22" s="7">
        <v>16</v>
      </c>
      <c r="K22" s="7">
        <v>24</v>
      </c>
      <c r="L22" s="7"/>
      <c r="M22" s="7" t="s">
        <v>24</v>
      </c>
      <c r="N22" s="7"/>
      <c r="O22" s="7" t="s">
        <v>45</v>
      </c>
      <c r="P22" s="7" t="s">
        <v>26</v>
      </c>
      <c r="Q22" s="7"/>
    </row>
    <row r="23" spans="1:17" ht="16" customHeight="1" x14ac:dyDescent="0.2">
      <c r="A23" s="7" t="s">
        <v>151</v>
      </c>
      <c r="B23" s="7" t="s">
        <v>40</v>
      </c>
      <c r="C23" s="7" t="s">
        <v>38</v>
      </c>
      <c r="D23" s="7" t="s">
        <v>299</v>
      </c>
      <c r="E23" s="7"/>
      <c r="F23" s="7" t="s">
        <v>52</v>
      </c>
      <c r="G23" s="8" t="s">
        <v>53</v>
      </c>
      <c r="H23" s="7" t="s">
        <v>54</v>
      </c>
      <c r="I23" s="7">
        <v>50000</v>
      </c>
      <c r="J23" s="7">
        <v>40000</v>
      </c>
      <c r="K23" s="7">
        <v>60000</v>
      </c>
      <c r="L23" s="7"/>
      <c r="M23" s="7" t="s">
        <v>24</v>
      </c>
      <c r="N23" s="7"/>
      <c r="O23" s="7" t="s">
        <v>45</v>
      </c>
      <c r="P23" s="7" t="s">
        <v>26</v>
      </c>
      <c r="Q23" s="7"/>
    </row>
    <row r="24" spans="1:17" ht="32" customHeight="1" x14ac:dyDescent="0.2">
      <c r="A24" s="7" t="s">
        <v>151</v>
      </c>
      <c r="B24" s="7" t="s">
        <v>40</v>
      </c>
      <c r="C24" s="7" t="s">
        <v>38</v>
      </c>
      <c r="D24" s="7" t="s">
        <v>299</v>
      </c>
      <c r="E24" s="7"/>
      <c r="F24" s="7" t="s">
        <v>55</v>
      </c>
      <c r="G24" s="8" t="s">
        <v>56</v>
      </c>
      <c r="H24" s="7" t="s">
        <v>37</v>
      </c>
      <c r="I24" s="7">
        <v>95</v>
      </c>
      <c r="J24" s="7">
        <v>76</v>
      </c>
      <c r="K24" s="7">
        <v>100</v>
      </c>
      <c r="L24" s="7"/>
      <c r="M24" s="7" t="s">
        <v>24</v>
      </c>
      <c r="N24" s="7"/>
      <c r="O24" s="7" t="s">
        <v>45</v>
      </c>
      <c r="P24" s="7" t="s">
        <v>26</v>
      </c>
      <c r="Q24" s="7"/>
    </row>
    <row r="25" spans="1:17" ht="16" customHeight="1" x14ac:dyDescent="0.2">
      <c r="A25" s="7" t="s">
        <v>151</v>
      </c>
      <c r="B25" s="7" t="s">
        <v>40</v>
      </c>
      <c r="C25" s="7" t="s">
        <v>38</v>
      </c>
      <c r="D25" s="7" t="s">
        <v>299</v>
      </c>
      <c r="E25" s="7"/>
      <c r="F25" s="7" t="s">
        <v>57</v>
      </c>
      <c r="G25" s="8" t="s">
        <v>58</v>
      </c>
      <c r="H25" s="7" t="s">
        <v>23</v>
      </c>
      <c r="I25" s="7" t="s">
        <v>59</v>
      </c>
      <c r="J25" s="7"/>
      <c r="K25" s="7"/>
      <c r="L25" s="7"/>
      <c r="M25" s="7" t="s">
        <v>60</v>
      </c>
      <c r="N25" s="7" t="s">
        <v>61</v>
      </c>
      <c r="O25" s="7"/>
      <c r="P25" s="7" t="s">
        <v>26</v>
      </c>
      <c r="Q25" s="7"/>
    </row>
    <row r="26" spans="1:17" ht="16" customHeight="1" x14ac:dyDescent="0.2">
      <c r="A26" s="7" t="s">
        <v>151</v>
      </c>
      <c r="B26" s="7" t="s">
        <v>40</v>
      </c>
      <c r="C26" s="7" t="s">
        <v>38</v>
      </c>
      <c r="D26" s="7" t="s">
        <v>300</v>
      </c>
      <c r="E26" s="7"/>
      <c r="F26" s="7" t="s">
        <v>42</v>
      </c>
      <c r="G26" s="8" t="s">
        <v>43</v>
      </c>
      <c r="H26" s="7" t="s">
        <v>44</v>
      </c>
      <c r="I26" s="7">
        <v>3000</v>
      </c>
      <c r="J26" s="7">
        <v>2400</v>
      </c>
      <c r="K26" s="7">
        <v>3600</v>
      </c>
      <c r="L26" s="7"/>
      <c r="M26" s="7" t="s">
        <v>24</v>
      </c>
      <c r="N26" s="7"/>
      <c r="O26" s="7" t="s">
        <v>45</v>
      </c>
      <c r="P26" s="7" t="s">
        <v>26</v>
      </c>
      <c r="Q26" s="7"/>
    </row>
    <row r="27" spans="1:17" ht="16" customHeight="1" x14ac:dyDescent="0.2">
      <c r="A27" s="7" t="s">
        <v>151</v>
      </c>
      <c r="B27" s="7" t="s">
        <v>40</v>
      </c>
      <c r="C27" s="7" t="s">
        <v>38</v>
      </c>
      <c r="D27" s="7" t="s">
        <v>300</v>
      </c>
      <c r="E27" s="7"/>
      <c r="F27" s="7" t="s">
        <v>46</v>
      </c>
      <c r="G27" s="8" t="s">
        <v>47</v>
      </c>
      <c r="H27" s="7" t="s">
        <v>48</v>
      </c>
      <c r="I27" s="7">
        <v>6</v>
      </c>
      <c r="J27" s="7">
        <v>4.8</v>
      </c>
      <c r="K27" s="7">
        <v>7.2</v>
      </c>
      <c r="L27" s="7"/>
      <c r="M27" s="7" t="s">
        <v>24</v>
      </c>
      <c r="N27" s="7"/>
      <c r="O27" s="7" t="s">
        <v>45</v>
      </c>
      <c r="P27" s="7" t="s">
        <v>26</v>
      </c>
      <c r="Q27" s="7"/>
    </row>
    <row r="28" spans="1:17" ht="16" customHeight="1" x14ac:dyDescent="0.2">
      <c r="A28" s="7" t="s">
        <v>151</v>
      </c>
      <c r="B28" s="7" t="s">
        <v>40</v>
      </c>
      <c r="C28" s="7" t="s">
        <v>38</v>
      </c>
      <c r="D28" s="7" t="s">
        <v>300</v>
      </c>
      <c r="E28" s="7"/>
      <c r="F28" s="7" t="s">
        <v>49</v>
      </c>
      <c r="G28" s="8" t="s">
        <v>50</v>
      </c>
      <c r="H28" s="7" t="s">
        <v>51</v>
      </c>
      <c r="I28" s="7">
        <v>4</v>
      </c>
      <c r="J28" s="7">
        <v>3.2</v>
      </c>
      <c r="K28" s="7">
        <v>4.8</v>
      </c>
      <c r="L28" s="7"/>
      <c r="M28" s="7" t="s">
        <v>24</v>
      </c>
      <c r="N28" s="7"/>
      <c r="O28" s="7" t="s">
        <v>45</v>
      </c>
      <c r="P28" s="7" t="s">
        <v>26</v>
      </c>
      <c r="Q28" s="7"/>
    </row>
    <row r="29" spans="1:17" ht="16" customHeight="1" x14ac:dyDescent="0.2">
      <c r="A29" s="7" t="s">
        <v>151</v>
      </c>
      <c r="B29" s="7" t="s">
        <v>40</v>
      </c>
      <c r="C29" s="7" t="s">
        <v>38</v>
      </c>
      <c r="D29" s="7" t="s">
        <v>300</v>
      </c>
      <c r="E29" s="7"/>
      <c r="F29" s="7" t="s">
        <v>52</v>
      </c>
      <c r="G29" s="8" t="s">
        <v>53</v>
      </c>
      <c r="H29" s="7" t="s">
        <v>54</v>
      </c>
      <c r="I29" s="7">
        <v>50000</v>
      </c>
      <c r="J29" s="7">
        <v>40000</v>
      </c>
      <c r="K29" s="7">
        <v>60000</v>
      </c>
      <c r="L29" s="7"/>
      <c r="M29" s="7" t="s">
        <v>24</v>
      </c>
      <c r="N29" s="7"/>
      <c r="O29" s="7" t="s">
        <v>45</v>
      </c>
      <c r="P29" s="7" t="s">
        <v>26</v>
      </c>
      <c r="Q29" s="7"/>
    </row>
    <row r="30" spans="1:17" ht="32" customHeight="1" x14ac:dyDescent="0.2">
      <c r="A30" s="7" t="s">
        <v>151</v>
      </c>
      <c r="B30" s="7" t="s">
        <v>40</v>
      </c>
      <c r="C30" s="7" t="s">
        <v>38</v>
      </c>
      <c r="D30" s="7" t="s">
        <v>300</v>
      </c>
      <c r="E30" s="7"/>
      <c r="F30" s="7" t="s">
        <v>55</v>
      </c>
      <c r="G30" s="8" t="s">
        <v>56</v>
      </c>
      <c r="H30" s="7" t="s">
        <v>37</v>
      </c>
      <c r="I30" s="7">
        <v>95</v>
      </c>
      <c r="J30" s="7">
        <v>76</v>
      </c>
      <c r="K30" s="7">
        <v>100</v>
      </c>
      <c r="L30" s="7"/>
      <c r="M30" s="7" t="s">
        <v>24</v>
      </c>
      <c r="N30" s="7"/>
      <c r="O30" s="7" t="s">
        <v>45</v>
      </c>
      <c r="P30" s="7" t="s">
        <v>26</v>
      </c>
      <c r="Q30" s="7"/>
    </row>
    <row r="31" spans="1:17" ht="16" customHeight="1" x14ac:dyDescent="0.2">
      <c r="A31" s="7" t="s">
        <v>151</v>
      </c>
      <c r="B31" s="7" t="s">
        <v>40</v>
      </c>
      <c r="C31" s="7" t="s">
        <v>38</v>
      </c>
      <c r="D31" s="7" t="s">
        <v>300</v>
      </c>
      <c r="E31" s="7"/>
      <c r="F31" s="7" t="s">
        <v>57</v>
      </c>
      <c r="G31" s="8" t="s">
        <v>58</v>
      </c>
      <c r="H31" s="7" t="s">
        <v>23</v>
      </c>
      <c r="I31" s="7" t="s">
        <v>59</v>
      </c>
      <c r="J31" s="7"/>
      <c r="K31" s="7"/>
      <c r="L31" s="7"/>
      <c r="M31" s="7" t="s">
        <v>60</v>
      </c>
      <c r="N31" s="7" t="s">
        <v>61</v>
      </c>
      <c r="O31" s="7"/>
      <c r="P31" s="7" t="s">
        <v>26</v>
      </c>
      <c r="Q31" s="7"/>
    </row>
    <row r="32" spans="1:17" ht="16" customHeight="1" x14ac:dyDescent="0.2">
      <c r="A32" s="7" t="s">
        <v>151</v>
      </c>
      <c r="B32" s="7" t="s">
        <v>63</v>
      </c>
      <c r="C32" s="7" t="s">
        <v>64</v>
      </c>
      <c r="D32" s="7" t="s">
        <v>20</v>
      </c>
      <c r="E32" s="7"/>
      <c r="F32" s="7" t="s">
        <v>65</v>
      </c>
      <c r="G32" s="8" t="s">
        <v>66</v>
      </c>
      <c r="H32" s="7" t="s">
        <v>67</v>
      </c>
      <c r="I32" s="7">
        <v>50</v>
      </c>
      <c r="J32" s="7">
        <v>40</v>
      </c>
      <c r="K32" s="7">
        <v>60</v>
      </c>
      <c r="L32" s="7"/>
      <c r="M32" s="7" t="s">
        <v>24</v>
      </c>
      <c r="N32" s="7"/>
      <c r="O32" s="7"/>
      <c r="P32" s="7" t="s">
        <v>26</v>
      </c>
      <c r="Q32" s="7"/>
    </row>
    <row r="33" spans="1:17" ht="16" customHeight="1" x14ac:dyDescent="0.2">
      <c r="A33" s="7" t="s">
        <v>151</v>
      </c>
      <c r="B33" s="7" t="s">
        <v>63</v>
      </c>
      <c r="C33" s="7" t="s">
        <v>64</v>
      </c>
      <c r="D33" s="7" t="s">
        <v>20</v>
      </c>
      <c r="E33" s="7"/>
      <c r="F33" s="7" t="s">
        <v>68</v>
      </c>
      <c r="G33" s="8" t="s">
        <v>69</v>
      </c>
      <c r="H33" s="7" t="s">
        <v>67</v>
      </c>
      <c r="I33" s="7">
        <v>10</v>
      </c>
      <c r="J33" s="7">
        <v>8</v>
      </c>
      <c r="K33" s="7">
        <v>12</v>
      </c>
      <c r="L33" s="7"/>
      <c r="M33" s="7" t="s">
        <v>24</v>
      </c>
      <c r="N33" s="7"/>
      <c r="O33" s="7"/>
      <c r="P33" s="7" t="s">
        <v>26</v>
      </c>
      <c r="Q33" s="7"/>
    </row>
    <row r="34" spans="1:17" ht="16" customHeight="1" x14ac:dyDescent="0.2">
      <c r="A34" s="7" t="s">
        <v>151</v>
      </c>
      <c r="B34" s="7" t="s">
        <v>63</v>
      </c>
      <c r="C34" s="7" t="s">
        <v>38</v>
      </c>
      <c r="D34" s="7" t="s">
        <v>70</v>
      </c>
      <c r="E34" s="7"/>
      <c r="F34" s="7" t="s">
        <v>71</v>
      </c>
      <c r="G34" s="8" t="s">
        <v>72</v>
      </c>
      <c r="H34" s="7" t="s">
        <v>37</v>
      </c>
      <c r="I34" s="7">
        <v>10</v>
      </c>
      <c r="J34" s="7">
        <v>8</v>
      </c>
      <c r="K34" s="7">
        <v>12</v>
      </c>
      <c r="L34" s="7"/>
      <c r="M34" s="7" t="s">
        <v>24</v>
      </c>
      <c r="N34" s="7"/>
      <c r="O34" s="7"/>
      <c r="P34" s="7" t="s">
        <v>26</v>
      </c>
      <c r="Q34" s="7"/>
    </row>
    <row r="35" spans="1:17" ht="16" customHeight="1" x14ac:dyDescent="0.2">
      <c r="A35" s="7" t="s">
        <v>151</v>
      </c>
      <c r="B35" s="7" t="s">
        <v>63</v>
      </c>
      <c r="C35" s="7" t="s">
        <v>73</v>
      </c>
      <c r="D35" s="7" t="s">
        <v>74</v>
      </c>
      <c r="E35" s="7" t="s">
        <v>75</v>
      </c>
      <c r="F35" s="7" t="s">
        <v>76</v>
      </c>
      <c r="G35" s="8" t="s">
        <v>77</v>
      </c>
      <c r="H35" s="7" t="s">
        <v>37</v>
      </c>
      <c r="I35" s="7">
        <v>0</v>
      </c>
      <c r="J35" s="7">
        <v>0</v>
      </c>
      <c r="K35" s="7">
        <v>0</v>
      </c>
      <c r="L35" s="7"/>
      <c r="M35" s="7" t="s">
        <v>78</v>
      </c>
      <c r="N35" s="7"/>
      <c r="O35" s="7"/>
      <c r="P35" s="7" t="s">
        <v>26</v>
      </c>
      <c r="Q35" s="7"/>
    </row>
    <row r="36" spans="1:17" ht="32" customHeight="1" x14ac:dyDescent="0.2">
      <c r="A36" s="7" t="s">
        <v>151</v>
      </c>
      <c r="B36" s="7" t="s">
        <v>63</v>
      </c>
      <c r="C36" s="7" t="s">
        <v>73</v>
      </c>
      <c r="D36" s="7" t="s">
        <v>74</v>
      </c>
      <c r="E36" s="7" t="s">
        <v>79</v>
      </c>
      <c r="F36" s="7" t="s">
        <v>76</v>
      </c>
      <c r="G36" s="8" t="s">
        <v>80</v>
      </c>
      <c r="H36" s="7" t="s">
        <v>37</v>
      </c>
      <c r="I36" s="7">
        <v>0</v>
      </c>
      <c r="J36" s="7">
        <v>0</v>
      </c>
      <c r="K36" s="7">
        <v>0</v>
      </c>
      <c r="L36" s="7"/>
      <c r="M36" s="7" t="s">
        <v>78</v>
      </c>
      <c r="N36" s="7"/>
      <c r="O36" s="7"/>
      <c r="P36" s="7" t="s">
        <v>26</v>
      </c>
      <c r="Q36" s="7"/>
    </row>
    <row r="37" spans="1:17" ht="32" customHeight="1" x14ac:dyDescent="0.2">
      <c r="A37" s="7" t="s">
        <v>151</v>
      </c>
      <c r="B37" s="7" t="s">
        <v>63</v>
      </c>
      <c r="C37" s="7" t="s">
        <v>73</v>
      </c>
      <c r="D37" s="7" t="s">
        <v>74</v>
      </c>
      <c r="E37" s="7" t="s">
        <v>81</v>
      </c>
      <c r="F37" s="7" t="s">
        <v>76</v>
      </c>
      <c r="G37" s="8" t="s">
        <v>82</v>
      </c>
      <c r="H37" s="7" t="s">
        <v>37</v>
      </c>
      <c r="I37" s="7">
        <v>20</v>
      </c>
      <c r="J37" s="7">
        <v>16</v>
      </c>
      <c r="K37" s="7">
        <v>24</v>
      </c>
      <c r="L37" s="7"/>
      <c r="M37" s="7" t="s">
        <v>24</v>
      </c>
      <c r="N37" s="7"/>
      <c r="O37" s="7"/>
      <c r="P37" s="7" t="s">
        <v>26</v>
      </c>
      <c r="Q37" s="7"/>
    </row>
    <row r="38" spans="1:17" ht="32" customHeight="1" x14ac:dyDescent="0.2">
      <c r="A38" s="7" t="s">
        <v>151</v>
      </c>
      <c r="B38" s="7" t="s">
        <v>63</v>
      </c>
      <c r="C38" s="7" t="s">
        <v>73</v>
      </c>
      <c r="D38" s="7" t="s">
        <v>74</v>
      </c>
      <c r="E38" s="7" t="s">
        <v>83</v>
      </c>
      <c r="F38" s="7" t="s">
        <v>76</v>
      </c>
      <c r="G38" s="8" t="s">
        <v>84</v>
      </c>
      <c r="H38" s="7" t="s">
        <v>37</v>
      </c>
      <c r="I38" s="7">
        <v>80</v>
      </c>
      <c r="J38" s="7">
        <v>64</v>
      </c>
      <c r="K38" s="7">
        <v>96</v>
      </c>
      <c r="L38" s="7"/>
      <c r="M38" s="7" t="s">
        <v>24</v>
      </c>
      <c r="N38" s="7"/>
      <c r="O38" s="7"/>
      <c r="P38" s="7" t="s">
        <v>26</v>
      </c>
      <c r="Q38" s="7"/>
    </row>
    <row r="39" spans="1:17" ht="32" customHeight="1" x14ac:dyDescent="0.2">
      <c r="A39" s="7" t="s">
        <v>151</v>
      </c>
      <c r="B39" s="7" t="s">
        <v>63</v>
      </c>
      <c r="C39" s="7" t="s">
        <v>73</v>
      </c>
      <c r="D39" s="7" t="s">
        <v>74</v>
      </c>
      <c r="E39" s="7" t="s">
        <v>85</v>
      </c>
      <c r="F39" s="7" t="s">
        <v>76</v>
      </c>
      <c r="G39" s="8" t="s">
        <v>86</v>
      </c>
      <c r="H39" s="7" t="s">
        <v>37</v>
      </c>
      <c r="I39" s="7">
        <v>0</v>
      </c>
      <c r="J39" s="7">
        <v>0</v>
      </c>
      <c r="K39" s="7">
        <v>0</v>
      </c>
      <c r="L39" s="7"/>
      <c r="M39" s="7" t="s">
        <v>78</v>
      </c>
      <c r="N39" s="7"/>
      <c r="O39" s="7"/>
      <c r="P39" s="7" t="s">
        <v>26</v>
      </c>
      <c r="Q39" s="7"/>
    </row>
    <row r="40" spans="1:17" ht="32" customHeight="1" x14ac:dyDescent="0.2">
      <c r="A40" s="7" t="s">
        <v>151</v>
      </c>
      <c r="B40" s="7" t="s">
        <v>87</v>
      </c>
      <c r="C40" s="7" t="s">
        <v>88</v>
      </c>
      <c r="D40" s="7" t="s">
        <v>20</v>
      </c>
      <c r="E40" s="7"/>
      <c r="F40" s="7" t="s">
        <v>87</v>
      </c>
      <c r="G40" s="8" t="s">
        <v>89</v>
      </c>
      <c r="H40" s="7" t="s">
        <v>90</v>
      </c>
      <c r="I40" s="7" t="s">
        <v>91</v>
      </c>
      <c r="J40" s="7"/>
      <c r="K40" s="7"/>
      <c r="L40" s="7"/>
      <c r="M40" s="7" t="s">
        <v>60</v>
      </c>
      <c r="N40" s="7"/>
      <c r="O40" s="7"/>
      <c r="P40" s="7" t="s">
        <v>26</v>
      </c>
      <c r="Q40" s="7"/>
    </row>
    <row r="41" spans="1:17" ht="32" customHeight="1" x14ac:dyDescent="0.2"/>
  </sheetData>
  <conditionalFormatting sqref="I2:I245">
    <cfRule type="expression" dxfId="8" priority="3">
      <formula>AND($F2&lt;&gt;"",$I2="")</formula>
    </cfRule>
  </conditionalFormatting>
  <conditionalFormatting sqref="I2:P245">
    <cfRule type="expression" dxfId="7" priority="1">
      <formula>$P2="placeholder"</formula>
    </cfRule>
  </conditionalFormatting>
  <conditionalFormatting sqref="J2:K245">
    <cfRule type="expression" dxfId="6" priority="2">
      <formula>AND(OR($M2="triangular",$M2="uniform"),OR($J2="",$K2=""))</formula>
    </cfRule>
  </conditionalFormatting>
  <dataValidations count="4">
    <dataValidation type="list" allowBlank="1" showErrorMessage="1" sqref="B2:B245" xr:uid="{00000000-0002-0000-0700-000000000000}">
      <formula1>"design,manufacturing,circularity,location"</formula1>
    </dataValidation>
    <dataValidation type="list" allowBlank="1" showErrorMessage="1" sqref="C2:C245" xr:uid="{00000000-0002-0000-0700-000001000000}">
      <formula1>"product size,production,repair,use,end-of-life,general"</formula1>
    </dataValidation>
    <dataValidation type="list" allowBlank="1" showErrorMessage="1" sqref="M2:M245" xr:uid="{00000000-0002-0000-0700-000002000000}">
      <formula1>"fixed,triangular,uniform,choice"</formula1>
    </dataValidation>
    <dataValidation type="list" allowBlank="1" showErrorMessage="1" sqref="P2:P245" xr:uid="{00000000-0002-0000-0700-000003000000}">
      <formula1>"placeholder,partner estimate,measured,literature"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6A5AF"/>
  </sheetPr>
  <dimension ref="A1:Q50"/>
  <sheetViews>
    <sheetView workbookViewId="0">
      <pane xSplit="6" ySplit="1" topLeftCell="G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0" customWidth="1"/>
    <col min="2" max="2" width="15" customWidth="1"/>
    <col min="3" max="3" width="13" customWidth="1"/>
    <col min="4" max="4" width="22" customWidth="1"/>
    <col min="5" max="5" width="17" customWidth="1"/>
    <col min="6" max="6" width="34" customWidth="1"/>
    <col min="7" max="7" width="60" customWidth="1"/>
    <col min="8" max="8" width="14" customWidth="1"/>
    <col min="9" max="10" width="9" customWidth="1"/>
    <col min="11" max="12" width="13" customWidth="1"/>
    <col min="13" max="13" width="17" customWidth="1"/>
    <col min="14" max="14" width="40" customWidth="1"/>
    <col min="15" max="15" width="13" customWidth="1"/>
    <col min="16" max="16" width="40" customWidth="1"/>
  </cols>
  <sheetData>
    <row r="1" spans="1:17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16" customHeight="1" x14ac:dyDescent="0.2">
      <c r="A2" s="7" t="s">
        <v>159</v>
      </c>
      <c r="B2" s="7" t="s">
        <v>18</v>
      </c>
      <c r="C2" s="7" t="s">
        <v>19</v>
      </c>
      <c r="D2" s="7" t="s">
        <v>20</v>
      </c>
      <c r="E2" s="7"/>
      <c r="F2" s="7" t="s">
        <v>301</v>
      </c>
      <c r="G2" s="7" t="s">
        <v>302</v>
      </c>
      <c r="H2" s="7" t="s">
        <v>303</v>
      </c>
      <c r="I2" s="7">
        <v>0.4</v>
      </c>
      <c r="J2" s="7">
        <v>0.32</v>
      </c>
      <c r="K2" s="7">
        <v>0.48</v>
      </c>
      <c r="L2" s="7"/>
      <c r="M2" s="7" t="s">
        <v>24</v>
      </c>
      <c r="N2" s="7"/>
      <c r="O2" s="7" t="s">
        <v>25</v>
      </c>
      <c r="P2" s="7" t="s">
        <v>26</v>
      </c>
      <c r="Q2" s="7"/>
    </row>
    <row r="3" spans="1:17" ht="32" customHeight="1" x14ac:dyDescent="0.2">
      <c r="A3" s="7" t="s">
        <v>159</v>
      </c>
      <c r="B3" s="7" t="s">
        <v>18</v>
      </c>
      <c r="C3" s="7" t="s">
        <v>32</v>
      </c>
      <c r="D3" s="7" t="s">
        <v>287</v>
      </c>
      <c r="E3" s="7" t="s">
        <v>59</v>
      </c>
      <c r="F3" s="7" t="s">
        <v>35</v>
      </c>
      <c r="G3" s="8" t="s">
        <v>278</v>
      </c>
      <c r="H3" s="7" t="s">
        <v>37</v>
      </c>
      <c r="I3" s="7">
        <v>100</v>
      </c>
      <c r="J3" s="7">
        <v>80</v>
      </c>
      <c r="K3" s="7">
        <v>100</v>
      </c>
      <c r="L3" s="7"/>
      <c r="M3" s="7" t="s">
        <v>24</v>
      </c>
      <c r="N3" s="7"/>
      <c r="O3" s="7"/>
      <c r="P3" s="7" t="s">
        <v>26</v>
      </c>
      <c r="Q3" s="7"/>
    </row>
    <row r="4" spans="1:17" ht="32" customHeight="1" x14ac:dyDescent="0.2">
      <c r="A4" s="7" t="s">
        <v>159</v>
      </c>
      <c r="B4" s="7" t="s">
        <v>18</v>
      </c>
      <c r="C4" s="7" t="s">
        <v>38</v>
      </c>
      <c r="D4" s="7" t="s">
        <v>287</v>
      </c>
      <c r="E4" s="7" t="s">
        <v>59</v>
      </c>
      <c r="F4" s="7" t="s">
        <v>35</v>
      </c>
      <c r="G4" s="8" t="s">
        <v>285</v>
      </c>
      <c r="H4" s="7" t="s">
        <v>37</v>
      </c>
      <c r="I4" s="7">
        <v>100</v>
      </c>
      <c r="J4" s="7">
        <v>80</v>
      </c>
      <c r="K4" s="7">
        <v>100</v>
      </c>
      <c r="L4" s="7"/>
      <c r="M4" s="7" t="s">
        <v>24</v>
      </c>
      <c r="N4" s="7"/>
      <c r="O4" s="7"/>
      <c r="P4" s="7" t="s">
        <v>26</v>
      </c>
      <c r="Q4" s="7"/>
    </row>
    <row r="5" spans="1:17" ht="16" customHeight="1" x14ac:dyDescent="0.2">
      <c r="A5" s="7" t="s">
        <v>159</v>
      </c>
      <c r="B5" s="7" t="s">
        <v>40</v>
      </c>
      <c r="C5" s="7" t="s">
        <v>32</v>
      </c>
      <c r="D5" s="7" t="s">
        <v>304</v>
      </c>
      <c r="E5" s="7"/>
      <c r="F5" s="7" t="s">
        <v>42</v>
      </c>
      <c r="G5" s="8" t="s">
        <v>43</v>
      </c>
      <c r="H5" s="7" t="s">
        <v>44</v>
      </c>
      <c r="I5" s="7">
        <v>3000</v>
      </c>
      <c r="J5" s="7">
        <v>2400</v>
      </c>
      <c r="K5" s="7">
        <v>3600</v>
      </c>
      <c r="L5" s="7"/>
      <c r="M5" s="7" t="s">
        <v>24</v>
      </c>
      <c r="N5" s="7"/>
      <c r="O5" s="7" t="s">
        <v>45</v>
      </c>
      <c r="P5" s="7" t="s">
        <v>26</v>
      </c>
      <c r="Q5" s="7"/>
    </row>
    <row r="6" spans="1:17" ht="16" customHeight="1" x14ac:dyDescent="0.2">
      <c r="A6" s="7" t="s">
        <v>159</v>
      </c>
      <c r="B6" s="7" t="s">
        <v>40</v>
      </c>
      <c r="C6" s="7" t="s">
        <v>32</v>
      </c>
      <c r="D6" s="7" t="s">
        <v>304</v>
      </c>
      <c r="E6" s="7"/>
      <c r="F6" s="7" t="s">
        <v>46</v>
      </c>
      <c r="G6" s="8" t="s">
        <v>47</v>
      </c>
      <c r="H6" s="7" t="s">
        <v>48</v>
      </c>
      <c r="I6" s="7">
        <v>12</v>
      </c>
      <c r="J6" s="7">
        <v>9.6</v>
      </c>
      <c r="K6" s="7">
        <v>14.4</v>
      </c>
      <c r="L6" s="7"/>
      <c r="M6" s="7" t="s">
        <v>24</v>
      </c>
      <c r="N6" s="7"/>
      <c r="O6" s="7" t="s">
        <v>45</v>
      </c>
      <c r="P6" s="7" t="s">
        <v>26</v>
      </c>
      <c r="Q6" s="7"/>
    </row>
    <row r="7" spans="1:17" ht="16" customHeight="1" x14ac:dyDescent="0.2">
      <c r="A7" s="7" t="s">
        <v>159</v>
      </c>
      <c r="B7" s="7" t="s">
        <v>40</v>
      </c>
      <c r="C7" s="7" t="s">
        <v>32</v>
      </c>
      <c r="D7" s="7" t="s">
        <v>304</v>
      </c>
      <c r="E7" s="7"/>
      <c r="F7" s="7" t="s">
        <v>49</v>
      </c>
      <c r="G7" s="8" t="s">
        <v>50</v>
      </c>
      <c r="H7" s="7" t="s">
        <v>51</v>
      </c>
      <c r="I7" s="7">
        <v>15</v>
      </c>
      <c r="J7" s="7">
        <v>12</v>
      </c>
      <c r="K7" s="7">
        <v>18</v>
      </c>
      <c r="L7" s="7"/>
      <c r="M7" s="7" t="s">
        <v>24</v>
      </c>
      <c r="N7" s="7"/>
      <c r="O7" s="7" t="s">
        <v>45</v>
      </c>
      <c r="P7" s="7" t="s">
        <v>26</v>
      </c>
      <c r="Q7" s="7"/>
    </row>
    <row r="8" spans="1:17" ht="16" customHeight="1" x14ac:dyDescent="0.2">
      <c r="A8" s="7" t="s">
        <v>159</v>
      </c>
      <c r="B8" s="7" t="s">
        <v>40</v>
      </c>
      <c r="C8" s="7" t="s">
        <v>32</v>
      </c>
      <c r="D8" s="7" t="s">
        <v>304</v>
      </c>
      <c r="E8" s="7"/>
      <c r="F8" s="7" t="s">
        <v>52</v>
      </c>
      <c r="G8" s="8" t="s">
        <v>53</v>
      </c>
      <c r="H8" s="7" t="s">
        <v>54</v>
      </c>
      <c r="I8" s="7">
        <v>50000</v>
      </c>
      <c r="J8" s="7">
        <v>40000</v>
      </c>
      <c r="K8" s="7">
        <v>60000</v>
      </c>
      <c r="L8" s="7"/>
      <c r="M8" s="7" t="s">
        <v>24</v>
      </c>
      <c r="N8" s="7"/>
      <c r="O8" s="7" t="s">
        <v>45</v>
      </c>
      <c r="P8" s="7" t="s">
        <v>26</v>
      </c>
      <c r="Q8" s="7"/>
    </row>
    <row r="9" spans="1:17" ht="32" customHeight="1" x14ac:dyDescent="0.2">
      <c r="A9" s="7" t="s">
        <v>159</v>
      </c>
      <c r="B9" s="7" t="s">
        <v>40</v>
      </c>
      <c r="C9" s="7" t="s">
        <v>32</v>
      </c>
      <c r="D9" s="7" t="s">
        <v>304</v>
      </c>
      <c r="E9" s="7"/>
      <c r="F9" s="7" t="s">
        <v>55</v>
      </c>
      <c r="G9" s="8" t="s">
        <v>56</v>
      </c>
      <c r="H9" s="7" t="s">
        <v>37</v>
      </c>
      <c r="I9" s="7">
        <v>85</v>
      </c>
      <c r="J9" s="7">
        <v>68</v>
      </c>
      <c r="K9" s="7">
        <v>100</v>
      </c>
      <c r="L9" s="7"/>
      <c r="M9" s="7" t="s">
        <v>24</v>
      </c>
      <c r="N9" s="7"/>
      <c r="O9" s="7" t="s">
        <v>45</v>
      </c>
      <c r="P9" s="7" t="s">
        <v>26</v>
      </c>
      <c r="Q9" s="7"/>
    </row>
    <row r="10" spans="1:17" ht="16" customHeight="1" x14ac:dyDescent="0.2">
      <c r="A10" s="7" t="s">
        <v>159</v>
      </c>
      <c r="B10" s="7" t="s">
        <v>40</v>
      </c>
      <c r="C10" s="7" t="s">
        <v>32</v>
      </c>
      <c r="D10" s="7" t="s">
        <v>304</v>
      </c>
      <c r="E10" s="7"/>
      <c r="F10" s="7" t="s">
        <v>57</v>
      </c>
      <c r="G10" s="8" t="s">
        <v>58</v>
      </c>
      <c r="H10" s="7" t="s">
        <v>23</v>
      </c>
      <c r="I10" s="7" t="s">
        <v>59</v>
      </c>
      <c r="J10" s="7"/>
      <c r="K10" s="7"/>
      <c r="L10" s="7"/>
      <c r="M10" s="7" t="s">
        <v>60</v>
      </c>
      <c r="N10" s="7" t="s">
        <v>61</v>
      </c>
      <c r="O10" s="7"/>
      <c r="P10" s="7" t="s">
        <v>26</v>
      </c>
      <c r="Q10" s="7"/>
    </row>
    <row r="11" spans="1:17" ht="16" customHeight="1" x14ac:dyDescent="0.2">
      <c r="A11" s="7" t="s">
        <v>159</v>
      </c>
      <c r="B11" s="7" t="s">
        <v>40</v>
      </c>
      <c r="C11" s="7" t="s">
        <v>32</v>
      </c>
      <c r="D11" s="7" t="s">
        <v>305</v>
      </c>
      <c r="E11" s="7"/>
      <c r="F11" s="7" t="s">
        <v>42</v>
      </c>
      <c r="G11" s="8" t="s">
        <v>43</v>
      </c>
      <c r="H11" s="7" t="s">
        <v>44</v>
      </c>
      <c r="I11" s="7">
        <v>800</v>
      </c>
      <c r="J11" s="7">
        <v>640</v>
      </c>
      <c r="K11" s="7">
        <v>960</v>
      </c>
      <c r="L11" s="7"/>
      <c r="M11" s="7" t="s">
        <v>24</v>
      </c>
      <c r="N11" s="7"/>
      <c r="O11" s="7" t="s">
        <v>45</v>
      </c>
      <c r="P11" s="7" t="s">
        <v>26</v>
      </c>
      <c r="Q11" s="7"/>
    </row>
    <row r="12" spans="1:17" ht="16" customHeight="1" x14ac:dyDescent="0.2">
      <c r="A12" s="7" t="s">
        <v>159</v>
      </c>
      <c r="B12" s="7" t="s">
        <v>40</v>
      </c>
      <c r="C12" s="7" t="s">
        <v>32</v>
      </c>
      <c r="D12" s="7" t="s">
        <v>305</v>
      </c>
      <c r="E12" s="7"/>
      <c r="F12" s="7" t="s">
        <v>46</v>
      </c>
      <c r="G12" s="8" t="s">
        <v>47</v>
      </c>
      <c r="H12" s="7" t="s">
        <v>48</v>
      </c>
      <c r="I12" s="7">
        <v>5</v>
      </c>
      <c r="J12" s="7">
        <v>4</v>
      </c>
      <c r="K12" s="7">
        <v>6</v>
      </c>
      <c r="L12" s="7"/>
      <c r="M12" s="7" t="s">
        <v>24</v>
      </c>
      <c r="N12" s="7"/>
      <c r="O12" s="7" t="s">
        <v>45</v>
      </c>
      <c r="P12" s="7" t="s">
        <v>26</v>
      </c>
      <c r="Q12" s="7"/>
    </row>
    <row r="13" spans="1:17" ht="16" customHeight="1" x14ac:dyDescent="0.2">
      <c r="A13" s="7" t="s">
        <v>159</v>
      </c>
      <c r="B13" s="7" t="s">
        <v>40</v>
      </c>
      <c r="C13" s="7" t="s">
        <v>32</v>
      </c>
      <c r="D13" s="7" t="s">
        <v>305</v>
      </c>
      <c r="E13" s="7"/>
      <c r="F13" s="7" t="s">
        <v>49</v>
      </c>
      <c r="G13" s="8" t="s">
        <v>50</v>
      </c>
      <c r="H13" s="7" t="s">
        <v>51</v>
      </c>
      <c r="I13" s="7">
        <v>8</v>
      </c>
      <c r="J13" s="7">
        <v>6.4</v>
      </c>
      <c r="K13" s="7">
        <v>9.6</v>
      </c>
      <c r="L13" s="7"/>
      <c r="M13" s="7" t="s">
        <v>24</v>
      </c>
      <c r="N13" s="7"/>
      <c r="O13" s="7" t="s">
        <v>45</v>
      </c>
      <c r="P13" s="7" t="s">
        <v>26</v>
      </c>
      <c r="Q13" s="7"/>
    </row>
    <row r="14" spans="1:17" ht="16" customHeight="1" x14ac:dyDescent="0.2">
      <c r="A14" s="7" t="s">
        <v>159</v>
      </c>
      <c r="B14" s="7" t="s">
        <v>40</v>
      </c>
      <c r="C14" s="7" t="s">
        <v>32</v>
      </c>
      <c r="D14" s="7" t="s">
        <v>305</v>
      </c>
      <c r="E14" s="7"/>
      <c r="F14" s="7" t="s">
        <v>52</v>
      </c>
      <c r="G14" s="8" t="s">
        <v>53</v>
      </c>
      <c r="H14" s="7" t="s">
        <v>54</v>
      </c>
      <c r="I14" s="7">
        <v>50000</v>
      </c>
      <c r="J14" s="7">
        <v>40000</v>
      </c>
      <c r="K14" s="7">
        <v>60000</v>
      </c>
      <c r="L14" s="7"/>
      <c r="M14" s="7" t="s">
        <v>24</v>
      </c>
      <c r="N14" s="7"/>
      <c r="O14" s="7" t="s">
        <v>45</v>
      </c>
      <c r="P14" s="7" t="s">
        <v>26</v>
      </c>
      <c r="Q14" s="7"/>
    </row>
    <row r="15" spans="1:17" ht="32" customHeight="1" x14ac:dyDescent="0.2">
      <c r="A15" s="7" t="s">
        <v>159</v>
      </c>
      <c r="B15" s="7" t="s">
        <v>40</v>
      </c>
      <c r="C15" s="7" t="s">
        <v>32</v>
      </c>
      <c r="D15" s="7" t="s">
        <v>305</v>
      </c>
      <c r="E15" s="7"/>
      <c r="F15" s="7" t="s">
        <v>55</v>
      </c>
      <c r="G15" s="8" t="s">
        <v>56</v>
      </c>
      <c r="H15" s="7" t="s">
        <v>37</v>
      </c>
      <c r="I15" s="7">
        <v>98</v>
      </c>
      <c r="J15" s="7">
        <v>78.400000000000006</v>
      </c>
      <c r="K15" s="7">
        <v>100</v>
      </c>
      <c r="L15" s="7"/>
      <c r="M15" s="7" t="s">
        <v>24</v>
      </c>
      <c r="N15" s="7"/>
      <c r="O15" s="7" t="s">
        <v>45</v>
      </c>
      <c r="P15" s="7" t="s">
        <v>26</v>
      </c>
      <c r="Q15" s="7"/>
    </row>
    <row r="16" spans="1:17" ht="16" customHeight="1" x14ac:dyDescent="0.2">
      <c r="A16" s="7" t="s">
        <v>159</v>
      </c>
      <c r="B16" s="7" t="s">
        <v>40</v>
      </c>
      <c r="C16" s="7" t="s">
        <v>32</v>
      </c>
      <c r="D16" s="7" t="s">
        <v>305</v>
      </c>
      <c r="E16" s="7"/>
      <c r="F16" s="7" t="s">
        <v>57</v>
      </c>
      <c r="G16" s="8" t="s">
        <v>58</v>
      </c>
      <c r="H16" s="7" t="s">
        <v>23</v>
      </c>
      <c r="I16" s="7" t="s">
        <v>59</v>
      </c>
      <c r="J16" s="7"/>
      <c r="K16" s="7"/>
      <c r="L16" s="7"/>
      <c r="M16" s="7" t="s">
        <v>60</v>
      </c>
      <c r="N16" s="7" t="s">
        <v>61</v>
      </c>
      <c r="O16" s="7"/>
      <c r="P16" s="7" t="s">
        <v>26</v>
      </c>
      <c r="Q16" s="7"/>
    </row>
    <row r="17" spans="1:17" ht="16" customHeight="1" x14ac:dyDescent="0.2">
      <c r="A17" s="7" t="s">
        <v>159</v>
      </c>
      <c r="B17" s="7" t="s">
        <v>40</v>
      </c>
      <c r="C17" s="7" t="s">
        <v>32</v>
      </c>
      <c r="D17" s="7" t="s">
        <v>306</v>
      </c>
      <c r="E17" s="7"/>
      <c r="F17" s="7" t="s">
        <v>42</v>
      </c>
      <c r="G17" s="8" t="s">
        <v>43</v>
      </c>
      <c r="H17" s="7" t="s">
        <v>44</v>
      </c>
      <c r="I17" s="7">
        <v>1500</v>
      </c>
      <c r="J17" s="7">
        <v>1200</v>
      </c>
      <c r="K17" s="7">
        <v>1800</v>
      </c>
      <c r="L17" s="7">
        <v>2000</v>
      </c>
      <c r="M17" s="7" t="s">
        <v>24</v>
      </c>
      <c r="N17" s="7"/>
      <c r="O17" s="7" t="s">
        <v>45</v>
      </c>
      <c r="P17" s="7" t="s">
        <v>26</v>
      </c>
      <c r="Q17" s="7"/>
    </row>
    <row r="18" spans="1:17" ht="16" customHeight="1" x14ac:dyDescent="0.2">
      <c r="A18" s="7" t="s">
        <v>159</v>
      </c>
      <c r="B18" s="7" t="s">
        <v>40</v>
      </c>
      <c r="C18" s="7" t="s">
        <v>32</v>
      </c>
      <c r="D18" s="7" t="s">
        <v>306</v>
      </c>
      <c r="E18" s="7"/>
      <c r="F18" s="7" t="s">
        <v>46</v>
      </c>
      <c r="G18" s="8" t="s">
        <v>47</v>
      </c>
      <c r="H18" s="7" t="s">
        <v>48</v>
      </c>
      <c r="I18" s="7">
        <v>4</v>
      </c>
      <c r="J18" s="7">
        <v>3.2</v>
      </c>
      <c r="K18" s="7">
        <v>4.8</v>
      </c>
      <c r="L18" s="7">
        <v>4</v>
      </c>
      <c r="M18" s="7" t="s">
        <v>24</v>
      </c>
      <c r="N18" s="7"/>
      <c r="O18" s="7" t="s">
        <v>45</v>
      </c>
      <c r="P18" s="7" t="s">
        <v>26</v>
      </c>
      <c r="Q18" s="7"/>
    </row>
    <row r="19" spans="1:17" ht="16" customHeight="1" x14ac:dyDescent="0.2">
      <c r="A19" s="7" t="s">
        <v>159</v>
      </c>
      <c r="B19" s="7" t="s">
        <v>40</v>
      </c>
      <c r="C19" s="7" t="s">
        <v>32</v>
      </c>
      <c r="D19" s="7" t="s">
        <v>306</v>
      </c>
      <c r="E19" s="7"/>
      <c r="F19" s="7" t="s">
        <v>49</v>
      </c>
      <c r="G19" s="8" t="s">
        <v>50</v>
      </c>
      <c r="H19" s="7" t="s">
        <v>51</v>
      </c>
      <c r="I19" s="7">
        <v>2</v>
      </c>
      <c r="J19" s="7">
        <v>1.6</v>
      </c>
      <c r="K19" s="7">
        <v>2.4</v>
      </c>
      <c r="L19" s="7">
        <v>1.5</v>
      </c>
      <c r="M19" s="7" t="s">
        <v>24</v>
      </c>
      <c r="N19" s="7"/>
      <c r="O19" s="7" t="s">
        <v>45</v>
      </c>
      <c r="P19" s="7" t="s">
        <v>26</v>
      </c>
      <c r="Q19" s="7"/>
    </row>
    <row r="20" spans="1:17" ht="16" customHeight="1" x14ac:dyDescent="0.2">
      <c r="A20" s="7" t="s">
        <v>159</v>
      </c>
      <c r="B20" s="7" t="s">
        <v>40</v>
      </c>
      <c r="C20" s="7" t="s">
        <v>32</v>
      </c>
      <c r="D20" s="7" t="s">
        <v>306</v>
      </c>
      <c r="E20" s="7"/>
      <c r="F20" s="7" t="s">
        <v>52</v>
      </c>
      <c r="G20" s="8" t="s">
        <v>53</v>
      </c>
      <c r="H20" s="7" t="s">
        <v>54</v>
      </c>
      <c r="I20" s="7">
        <v>50000</v>
      </c>
      <c r="J20" s="7">
        <v>40000</v>
      </c>
      <c r="K20" s="7">
        <v>60000</v>
      </c>
      <c r="L20" s="7">
        <v>50000</v>
      </c>
      <c r="M20" s="7" t="s">
        <v>24</v>
      </c>
      <c r="N20" s="7"/>
      <c r="O20" s="7" t="s">
        <v>45</v>
      </c>
      <c r="P20" s="7" t="s">
        <v>26</v>
      </c>
      <c r="Q20" s="7"/>
    </row>
    <row r="21" spans="1:17" ht="32" customHeight="1" x14ac:dyDescent="0.2">
      <c r="A21" s="7" t="s">
        <v>159</v>
      </c>
      <c r="B21" s="7" t="s">
        <v>40</v>
      </c>
      <c r="C21" s="7" t="s">
        <v>32</v>
      </c>
      <c r="D21" s="7" t="s">
        <v>306</v>
      </c>
      <c r="E21" s="7"/>
      <c r="F21" s="7" t="s">
        <v>55</v>
      </c>
      <c r="G21" s="8" t="s">
        <v>56</v>
      </c>
      <c r="H21" s="7" t="s">
        <v>37</v>
      </c>
      <c r="I21" s="7">
        <v>98</v>
      </c>
      <c r="J21" s="7">
        <v>78.400000000000006</v>
      </c>
      <c r="K21" s="7">
        <v>100</v>
      </c>
      <c r="L21" s="7"/>
      <c r="M21" s="7" t="s">
        <v>24</v>
      </c>
      <c r="N21" s="7"/>
      <c r="O21" s="7" t="s">
        <v>45</v>
      </c>
      <c r="P21" s="7" t="s">
        <v>26</v>
      </c>
      <c r="Q21" s="7"/>
    </row>
    <row r="22" spans="1:17" ht="16" customHeight="1" x14ac:dyDescent="0.2">
      <c r="A22" s="7" t="s">
        <v>159</v>
      </c>
      <c r="B22" s="7" t="s">
        <v>40</v>
      </c>
      <c r="C22" s="7" t="s">
        <v>32</v>
      </c>
      <c r="D22" s="7" t="s">
        <v>306</v>
      </c>
      <c r="E22" s="7"/>
      <c r="F22" s="7" t="s">
        <v>57</v>
      </c>
      <c r="G22" s="8" t="s">
        <v>58</v>
      </c>
      <c r="H22" s="7" t="s">
        <v>23</v>
      </c>
      <c r="I22" s="7" t="s">
        <v>59</v>
      </c>
      <c r="J22" s="7"/>
      <c r="K22" s="7"/>
      <c r="L22" s="7"/>
      <c r="M22" s="7" t="s">
        <v>60</v>
      </c>
      <c r="N22" s="7" t="s">
        <v>61</v>
      </c>
      <c r="O22" s="7"/>
      <c r="P22" s="7" t="s">
        <v>26</v>
      </c>
      <c r="Q22" s="7"/>
    </row>
    <row r="23" spans="1:17" ht="16" customHeight="1" x14ac:dyDescent="0.2">
      <c r="A23" s="7" t="s">
        <v>159</v>
      </c>
      <c r="B23" s="7" t="s">
        <v>40</v>
      </c>
      <c r="C23" s="7" t="s">
        <v>38</v>
      </c>
      <c r="D23" s="7" t="s">
        <v>304</v>
      </c>
      <c r="E23" s="7"/>
      <c r="F23" s="7" t="s">
        <v>42</v>
      </c>
      <c r="G23" s="8" t="s">
        <v>43</v>
      </c>
      <c r="H23" s="7" t="s">
        <v>44</v>
      </c>
      <c r="I23" s="7">
        <v>3000</v>
      </c>
      <c r="J23" s="7">
        <v>2400</v>
      </c>
      <c r="K23" s="7">
        <v>3600</v>
      </c>
      <c r="L23" s="7"/>
      <c r="M23" s="7" t="s">
        <v>24</v>
      </c>
      <c r="N23" s="7"/>
      <c r="O23" s="7" t="s">
        <v>45</v>
      </c>
      <c r="P23" s="7" t="s">
        <v>26</v>
      </c>
      <c r="Q23" s="7"/>
    </row>
    <row r="24" spans="1:17" ht="16" customHeight="1" x14ac:dyDescent="0.2">
      <c r="A24" s="7" t="s">
        <v>159</v>
      </c>
      <c r="B24" s="7" t="s">
        <v>40</v>
      </c>
      <c r="C24" s="7" t="s">
        <v>38</v>
      </c>
      <c r="D24" s="7" t="s">
        <v>304</v>
      </c>
      <c r="E24" s="7"/>
      <c r="F24" s="7" t="s">
        <v>46</v>
      </c>
      <c r="G24" s="8" t="s">
        <v>47</v>
      </c>
      <c r="H24" s="7" t="s">
        <v>48</v>
      </c>
      <c r="I24" s="7">
        <v>12</v>
      </c>
      <c r="J24" s="7">
        <v>9.6</v>
      </c>
      <c r="K24" s="7">
        <v>14.4</v>
      </c>
      <c r="L24" s="7"/>
      <c r="M24" s="7" t="s">
        <v>24</v>
      </c>
      <c r="N24" s="7"/>
      <c r="O24" s="7" t="s">
        <v>45</v>
      </c>
      <c r="P24" s="7" t="s">
        <v>26</v>
      </c>
      <c r="Q24" s="7"/>
    </row>
    <row r="25" spans="1:17" ht="16" customHeight="1" x14ac:dyDescent="0.2">
      <c r="A25" s="7" t="s">
        <v>159</v>
      </c>
      <c r="B25" s="7" t="s">
        <v>40</v>
      </c>
      <c r="C25" s="7" t="s">
        <v>38</v>
      </c>
      <c r="D25" s="7" t="s">
        <v>304</v>
      </c>
      <c r="E25" s="7"/>
      <c r="F25" s="7" t="s">
        <v>49</v>
      </c>
      <c r="G25" s="8" t="s">
        <v>50</v>
      </c>
      <c r="H25" s="7" t="s">
        <v>51</v>
      </c>
      <c r="I25" s="7">
        <v>15</v>
      </c>
      <c r="J25" s="7">
        <v>12</v>
      </c>
      <c r="K25" s="7">
        <v>18</v>
      </c>
      <c r="L25" s="7"/>
      <c r="M25" s="7" t="s">
        <v>24</v>
      </c>
      <c r="N25" s="7"/>
      <c r="O25" s="7" t="s">
        <v>45</v>
      </c>
      <c r="P25" s="7" t="s">
        <v>26</v>
      </c>
      <c r="Q25" s="7"/>
    </row>
    <row r="26" spans="1:17" ht="16" customHeight="1" x14ac:dyDescent="0.2">
      <c r="A26" s="7" t="s">
        <v>159</v>
      </c>
      <c r="B26" s="7" t="s">
        <v>40</v>
      </c>
      <c r="C26" s="7" t="s">
        <v>38</v>
      </c>
      <c r="D26" s="7" t="s">
        <v>304</v>
      </c>
      <c r="E26" s="7"/>
      <c r="F26" s="7" t="s">
        <v>52</v>
      </c>
      <c r="G26" s="8" t="s">
        <v>53</v>
      </c>
      <c r="H26" s="7" t="s">
        <v>54</v>
      </c>
      <c r="I26" s="7">
        <v>50000</v>
      </c>
      <c r="J26" s="7">
        <v>40000</v>
      </c>
      <c r="K26" s="7">
        <v>60000</v>
      </c>
      <c r="L26" s="7"/>
      <c r="M26" s="7" t="s">
        <v>24</v>
      </c>
      <c r="N26" s="7"/>
      <c r="O26" s="7" t="s">
        <v>45</v>
      </c>
      <c r="P26" s="7" t="s">
        <v>26</v>
      </c>
      <c r="Q26" s="7"/>
    </row>
    <row r="27" spans="1:17" ht="32" customHeight="1" x14ac:dyDescent="0.2">
      <c r="A27" s="7" t="s">
        <v>159</v>
      </c>
      <c r="B27" s="7" t="s">
        <v>40</v>
      </c>
      <c r="C27" s="7" t="s">
        <v>38</v>
      </c>
      <c r="D27" s="7" t="s">
        <v>304</v>
      </c>
      <c r="E27" s="7"/>
      <c r="F27" s="7" t="s">
        <v>55</v>
      </c>
      <c r="G27" s="8" t="s">
        <v>56</v>
      </c>
      <c r="H27" s="7" t="s">
        <v>37</v>
      </c>
      <c r="I27" s="7">
        <v>85</v>
      </c>
      <c r="J27" s="7">
        <v>68</v>
      </c>
      <c r="K27" s="7">
        <v>100</v>
      </c>
      <c r="L27" s="7"/>
      <c r="M27" s="7" t="s">
        <v>24</v>
      </c>
      <c r="N27" s="7"/>
      <c r="O27" s="7" t="s">
        <v>45</v>
      </c>
      <c r="P27" s="7" t="s">
        <v>26</v>
      </c>
      <c r="Q27" s="7"/>
    </row>
    <row r="28" spans="1:17" ht="16" customHeight="1" x14ac:dyDescent="0.2">
      <c r="A28" s="7" t="s">
        <v>159</v>
      </c>
      <c r="B28" s="7" t="s">
        <v>40</v>
      </c>
      <c r="C28" s="7" t="s">
        <v>38</v>
      </c>
      <c r="D28" s="7" t="s">
        <v>304</v>
      </c>
      <c r="E28" s="7"/>
      <c r="F28" s="7" t="s">
        <v>57</v>
      </c>
      <c r="G28" s="8" t="s">
        <v>58</v>
      </c>
      <c r="H28" s="7" t="s">
        <v>23</v>
      </c>
      <c r="I28" s="7" t="s">
        <v>59</v>
      </c>
      <c r="J28" s="7"/>
      <c r="K28" s="7"/>
      <c r="L28" s="7"/>
      <c r="M28" s="7" t="s">
        <v>60</v>
      </c>
      <c r="N28" s="7" t="s">
        <v>61</v>
      </c>
      <c r="O28" s="7"/>
      <c r="P28" s="7" t="s">
        <v>26</v>
      </c>
      <c r="Q28" s="7"/>
    </row>
    <row r="29" spans="1:17" ht="16" customHeight="1" x14ac:dyDescent="0.2">
      <c r="A29" s="7" t="s">
        <v>159</v>
      </c>
      <c r="B29" s="7" t="s">
        <v>40</v>
      </c>
      <c r="C29" s="7" t="s">
        <v>38</v>
      </c>
      <c r="D29" s="7" t="s">
        <v>305</v>
      </c>
      <c r="E29" s="7"/>
      <c r="F29" s="7" t="s">
        <v>42</v>
      </c>
      <c r="G29" s="8" t="s">
        <v>43</v>
      </c>
      <c r="H29" s="7" t="s">
        <v>44</v>
      </c>
      <c r="I29" s="7">
        <v>800</v>
      </c>
      <c r="J29" s="7">
        <v>640</v>
      </c>
      <c r="K29" s="7">
        <v>960</v>
      </c>
      <c r="L29" s="7"/>
      <c r="M29" s="7" t="s">
        <v>24</v>
      </c>
      <c r="N29" s="7"/>
      <c r="O29" s="7" t="s">
        <v>45</v>
      </c>
      <c r="P29" s="7" t="s">
        <v>26</v>
      </c>
      <c r="Q29" s="7"/>
    </row>
    <row r="30" spans="1:17" ht="16" customHeight="1" x14ac:dyDescent="0.2">
      <c r="A30" s="7" t="s">
        <v>159</v>
      </c>
      <c r="B30" s="7" t="s">
        <v>40</v>
      </c>
      <c r="C30" s="7" t="s">
        <v>38</v>
      </c>
      <c r="D30" s="7" t="s">
        <v>305</v>
      </c>
      <c r="E30" s="7"/>
      <c r="F30" s="7" t="s">
        <v>46</v>
      </c>
      <c r="G30" s="8" t="s">
        <v>47</v>
      </c>
      <c r="H30" s="7" t="s">
        <v>48</v>
      </c>
      <c r="I30" s="7">
        <v>5</v>
      </c>
      <c r="J30" s="7">
        <v>4</v>
      </c>
      <c r="K30" s="7">
        <v>6</v>
      </c>
      <c r="L30" s="7"/>
      <c r="M30" s="7" t="s">
        <v>24</v>
      </c>
      <c r="N30" s="7"/>
      <c r="O30" s="7" t="s">
        <v>45</v>
      </c>
      <c r="P30" s="7" t="s">
        <v>26</v>
      </c>
      <c r="Q30" s="7"/>
    </row>
    <row r="31" spans="1:17" ht="16" customHeight="1" x14ac:dyDescent="0.2">
      <c r="A31" s="7" t="s">
        <v>159</v>
      </c>
      <c r="B31" s="7" t="s">
        <v>40</v>
      </c>
      <c r="C31" s="7" t="s">
        <v>38</v>
      </c>
      <c r="D31" s="7" t="s">
        <v>305</v>
      </c>
      <c r="E31" s="7"/>
      <c r="F31" s="7" t="s">
        <v>49</v>
      </c>
      <c r="G31" s="8" t="s">
        <v>50</v>
      </c>
      <c r="H31" s="7" t="s">
        <v>51</v>
      </c>
      <c r="I31" s="7">
        <v>8</v>
      </c>
      <c r="J31" s="7">
        <v>6.4</v>
      </c>
      <c r="K31" s="7">
        <v>9.6</v>
      </c>
      <c r="L31" s="7"/>
      <c r="M31" s="7" t="s">
        <v>24</v>
      </c>
      <c r="N31" s="7"/>
      <c r="O31" s="7" t="s">
        <v>45</v>
      </c>
      <c r="P31" s="7" t="s">
        <v>26</v>
      </c>
      <c r="Q31" s="7"/>
    </row>
    <row r="32" spans="1:17" ht="16" customHeight="1" x14ac:dyDescent="0.2">
      <c r="A32" s="7" t="s">
        <v>159</v>
      </c>
      <c r="B32" s="7" t="s">
        <v>40</v>
      </c>
      <c r="C32" s="7" t="s">
        <v>38</v>
      </c>
      <c r="D32" s="7" t="s">
        <v>305</v>
      </c>
      <c r="E32" s="7"/>
      <c r="F32" s="7" t="s">
        <v>52</v>
      </c>
      <c r="G32" s="8" t="s">
        <v>53</v>
      </c>
      <c r="H32" s="7" t="s">
        <v>54</v>
      </c>
      <c r="I32" s="7">
        <v>50000</v>
      </c>
      <c r="J32" s="7">
        <v>40000</v>
      </c>
      <c r="K32" s="7">
        <v>60000</v>
      </c>
      <c r="L32" s="7"/>
      <c r="M32" s="7" t="s">
        <v>24</v>
      </c>
      <c r="N32" s="7"/>
      <c r="O32" s="7" t="s">
        <v>45</v>
      </c>
      <c r="P32" s="7" t="s">
        <v>26</v>
      </c>
      <c r="Q32" s="7"/>
    </row>
    <row r="33" spans="1:17" ht="32" customHeight="1" x14ac:dyDescent="0.2">
      <c r="A33" s="7" t="s">
        <v>159</v>
      </c>
      <c r="B33" s="7" t="s">
        <v>40</v>
      </c>
      <c r="C33" s="7" t="s">
        <v>38</v>
      </c>
      <c r="D33" s="7" t="s">
        <v>305</v>
      </c>
      <c r="E33" s="7"/>
      <c r="F33" s="7" t="s">
        <v>55</v>
      </c>
      <c r="G33" s="8" t="s">
        <v>56</v>
      </c>
      <c r="H33" s="7" t="s">
        <v>37</v>
      </c>
      <c r="I33" s="7">
        <v>98</v>
      </c>
      <c r="J33" s="7">
        <v>78.400000000000006</v>
      </c>
      <c r="K33" s="7">
        <v>100</v>
      </c>
      <c r="L33" s="7"/>
      <c r="M33" s="7" t="s">
        <v>24</v>
      </c>
      <c r="N33" s="7"/>
      <c r="O33" s="7" t="s">
        <v>45</v>
      </c>
      <c r="P33" s="7" t="s">
        <v>26</v>
      </c>
      <c r="Q33" s="7"/>
    </row>
    <row r="34" spans="1:17" ht="16" customHeight="1" x14ac:dyDescent="0.2">
      <c r="A34" s="7" t="s">
        <v>159</v>
      </c>
      <c r="B34" s="7" t="s">
        <v>40</v>
      </c>
      <c r="C34" s="7" t="s">
        <v>38</v>
      </c>
      <c r="D34" s="7" t="s">
        <v>305</v>
      </c>
      <c r="E34" s="7"/>
      <c r="F34" s="7" t="s">
        <v>57</v>
      </c>
      <c r="G34" s="8" t="s">
        <v>58</v>
      </c>
      <c r="H34" s="7" t="s">
        <v>23</v>
      </c>
      <c r="I34" s="7" t="s">
        <v>59</v>
      </c>
      <c r="J34" s="7"/>
      <c r="K34" s="7"/>
      <c r="L34" s="7"/>
      <c r="M34" s="7" t="s">
        <v>60</v>
      </c>
      <c r="N34" s="7" t="s">
        <v>61</v>
      </c>
      <c r="O34" s="7"/>
      <c r="P34" s="7" t="s">
        <v>26</v>
      </c>
      <c r="Q34" s="7"/>
    </row>
    <row r="35" spans="1:17" ht="16" customHeight="1" x14ac:dyDescent="0.2">
      <c r="A35" s="7" t="s">
        <v>159</v>
      </c>
      <c r="B35" s="7" t="s">
        <v>40</v>
      </c>
      <c r="C35" s="7" t="s">
        <v>38</v>
      </c>
      <c r="D35" s="7" t="s">
        <v>306</v>
      </c>
      <c r="E35" s="7"/>
      <c r="F35" s="7" t="s">
        <v>42</v>
      </c>
      <c r="G35" s="8" t="s">
        <v>43</v>
      </c>
      <c r="H35" s="7" t="s">
        <v>44</v>
      </c>
      <c r="I35" s="7">
        <v>1500</v>
      </c>
      <c r="J35" s="7">
        <v>1200</v>
      </c>
      <c r="K35" s="7">
        <v>1800</v>
      </c>
      <c r="L35" s="7"/>
      <c r="M35" s="7" t="s">
        <v>24</v>
      </c>
      <c r="N35" s="7"/>
      <c r="O35" s="7" t="s">
        <v>45</v>
      </c>
      <c r="P35" s="7" t="s">
        <v>26</v>
      </c>
      <c r="Q35" s="7"/>
    </row>
    <row r="36" spans="1:17" ht="16" customHeight="1" x14ac:dyDescent="0.2">
      <c r="A36" s="7" t="s">
        <v>159</v>
      </c>
      <c r="B36" s="7" t="s">
        <v>40</v>
      </c>
      <c r="C36" s="7" t="s">
        <v>38</v>
      </c>
      <c r="D36" s="7" t="s">
        <v>306</v>
      </c>
      <c r="E36" s="7"/>
      <c r="F36" s="7" t="s">
        <v>46</v>
      </c>
      <c r="G36" s="8" t="s">
        <v>47</v>
      </c>
      <c r="H36" s="7" t="s">
        <v>48</v>
      </c>
      <c r="I36" s="7">
        <v>4</v>
      </c>
      <c r="J36" s="7">
        <v>3.2</v>
      </c>
      <c r="K36" s="7">
        <v>4.8</v>
      </c>
      <c r="L36" s="7"/>
      <c r="M36" s="7" t="s">
        <v>24</v>
      </c>
      <c r="N36" s="7"/>
      <c r="O36" s="7" t="s">
        <v>45</v>
      </c>
      <c r="P36" s="7" t="s">
        <v>26</v>
      </c>
      <c r="Q36" s="7"/>
    </row>
    <row r="37" spans="1:17" ht="16" customHeight="1" x14ac:dyDescent="0.2">
      <c r="A37" s="7" t="s">
        <v>159</v>
      </c>
      <c r="B37" s="7" t="s">
        <v>40</v>
      </c>
      <c r="C37" s="7" t="s">
        <v>38</v>
      </c>
      <c r="D37" s="7" t="s">
        <v>306</v>
      </c>
      <c r="E37" s="7"/>
      <c r="F37" s="7" t="s">
        <v>49</v>
      </c>
      <c r="G37" s="8" t="s">
        <v>50</v>
      </c>
      <c r="H37" s="7" t="s">
        <v>51</v>
      </c>
      <c r="I37" s="7">
        <v>2</v>
      </c>
      <c r="J37" s="7">
        <v>1.6</v>
      </c>
      <c r="K37" s="7">
        <v>2.4</v>
      </c>
      <c r="L37" s="7"/>
      <c r="M37" s="7" t="s">
        <v>24</v>
      </c>
      <c r="N37" s="7"/>
      <c r="O37" s="7" t="s">
        <v>45</v>
      </c>
      <c r="P37" s="7" t="s">
        <v>26</v>
      </c>
      <c r="Q37" s="7"/>
    </row>
    <row r="38" spans="1:17" ht="16" customHeight="1" x14ac:dyDescent="0.2">
      <c r="A38" s="7" t="s">
        <v>159</v>
      </c>
      <c r="B38" s="7" t="s">
        <v>40</v>
      </c>
      <c r="C38" s="7" t="s">
        <v>38</v>
      </c>
      <c r="D38" s="7" t="s">
        <v>306</v>
      </c>
      <c r="E38" s="7"/>
      <c r="F38" s="7" t="s">
        <v>52</v>
      </c>
      <c r="G38" s="8" t="s">
        <v>53</v>
      </c>
      <c r="H38" s="7" t="s">
        <v>54</v>
      </c>
      <c r="I38" s="7">
        <v>50000</v>
      </c>
      <c r="J38" s="7">
        <v>40000</v>
      </c>
      <c r="K38" s="7">
        <v>60000</v>
      </c>
      <c r="L38" s="7"/>
      <c r="M38" s="7" t="s">
        <v>24</v>
      </c>
      <c r="N38" s="7"/>
      <c r="O38" s="7" t="s">
        <v>45</v>
      </c>
      <c r="P38" s="7" t="s">
        <v>26</v>
      </c>
      <c r="Q38" s="7"/>
    </row>
    <row r="39" spans="1:17" ht="32" customHeight="1" x14ac:dyDescent="0.2">
      <c r="A39" s="7" t="s">
        <v>159</v>
      </c>
      <c r="B39" s="7" t="s">
        <v>40</v>
      </c>
      <c r="C39" s="7" t="s">
        <v>38</v>
      </c>
      <c r="D39" s="7" t="s">
        <v>306</v>
      </c>
      <c r="E39" s="7"/>
      <c r="F39" s="7" t="s">
        <v>55</v>
      </c>
      <c r="G39" s="8" t="s">
        <v>56</v>
      </c>
      <c r="H39" s="7" t="s">
        <v>37</v>
      </c>
      <c r="I39" s="7">
        <v>98</v>
      </c>
      <c r="J39" s="7">
        <v>78.400000000000006</v>
      </c>
      <c r="K39" s="7">
        <v>100</v>
      </c>
      <c r="L39" s="7"/>
      <c r="M39" s="7" t="s">
        <v>24</v>
      </c>
      <c r="N39" s="7"/>
      <c r="O39" s="7" t="s">
        <v>45</v>
      </c>
      <c r="P39" s="7" t="s">
        <v>26</v>
      </c>
      <c r="Q39" s="7"/>
    </row>
    <row r="40" spans="1:17" ht="16" customHeight="1" x14ac:dyDescent="0.2">
      <c r="A40" s="7" t="s">
        <v>159</v>
      </c>
      <c r="B40" s="7" t="s">
        <v>40</v>
      </c>
      <c r="C40" s="7" t="s">
        <v>38</v>
      </c>
      <c r="D40" s="7" t="s">
        <v>306</v>
      </c>
      <c r="E40" s="7"/>
      <c r="F40" s="7" t="s">
        <v>57</v>
      </c>
      <c r="G40" s="8" t="s">
        <v>58</v>
      </c>
      <c r="H40" s="7" t="s">
        <v>23</v>
      </c>
      <c r="I40" s="7" t="s">
        <v>59</v>
      </c>
      <c r="J40" s="7"/>
      <c r="K40" s="7"/>
      <c r="L40" s="7"/>
      <c r="M40" s="7" t="s">
        <v>60</v>
      </c>
      <c r="N40" s="7" t="s">
        <v>61</v>
      </c>
      <c r="O40" s="7"/>
      <c r="P40" s="7" t="s">
        <v>26</v>
      </c>
      <c r="Q40" s="7"/>
    </row>
    <row r="41" spans="1:17" ht="16" customHeight="1" x14ac:dyDescent="0.2">
      <c r="A41" s="7" t="s">
        <v>159</v>
      </c>
      <c r="B41" s="7" t="s">
        <v>63</v>
      </c>
      <c r="C41" s="7" t="s">
        <v>64</v>
      </c>
      <c r="D41" s="7" t="s">
        <v>20</v>
      </c>
      <c r="E41" s="7"/>
      <c r="F41" s="7" t="s">
        <v>65</v>
      </c>
      <c r="G41" s="8" t="s">
        <v>66</v>
      </c>
      <c r="H41" s="7" t="s">
        <v>67</v>
      </c>
      <c r="I41" s="7">
        <v>15</v>
      </c>
      <c r="J41" s="7">
        <v>12</v>
      </c>
      <c r="K41" s="7">
        <v>18</v>
      </c>
      <c r="L41" s="7"/>
      <c r="M41" s="7" t="s">
        <v>24</v>
      </c>
      <c r="N41" s="7"/>
      <c r="O41" s="7"/>
      <c r="P41" s="7" t="s">
        <v>26</v>
      </c>
      <c r="Q41" s="7"/>
    </row>
    <row r="42" spans="1:17" ht="16" customHeight="1" x14ac:dyDescent="0.2">
      <c r="A42" s="7" t="s">
        <v>159</v>
      </c>
      <c r="B42" s="7" t="s">
        <v>63</v>
      </c>
      <c r="C42" s="7" t="s">
        <v>64</v>
      </c>
      <c r="D42" s="7" t="s">
        <v>20</v>
      </c>
      <c r="E42" s="7"/>
      <c r="F42" s="7" t="s">
        <v>68</v>
      </c>
      <c r="G42" s="8" t="s">
        <v>69</v>
      </c>
      <c r="H42" s="7" t="s">
        <v>67</v>
      </c>
      <c r="I42" s="7">
        <v>10</v>
      </c>
      <c r="J42" s="7">
        <v>8</v>
      </c>
      <c r="K42" s="7">
        <v>12</v>
      </c>
      <c r="L42" s="7"/>
      <c r="M42" s="7" t="s">
        <v>24</v>
      </c>
      <c r="N42" s="7"/>
      <c r="O42" s="7"/>
      <c r="P42" s="7" t="s">
        <v>26</v>
      </c>
      <c r="Q42" s="7"/>
    </row>
    <row r="43" spans="1:17" ht="16" customHeight="1" x14ac:dyDescent="0.2">
      <c r="A43" s="7" t="s">
        <v>159</v>
      </c>
      <c r="B43" s="7" t="s">
        <v>63</v>
      </c>
      <c r="C43" s="7" t="s">
        <v>38</v>
      </c>
      <c r="D43" s="7" t="s">
        <v>70</v>
      </c>
      <c r="E43" s="7"/>
      <c r="F43" s="7" t="s">
        <v>71</v>
      </c>
      <c r="G43" s="8" t="s">
        <v>72</v>
      </c>
      <c r="H43" s="7" t="s">
        <v>37</v>
      </c>
      <c r="I43" s="7">
        <v>10</v>
      </c>
      <c r="J43" s="7">
        <v>8</v>
      </c>
      <c r="K43" s="7">
        <v>12</v>
      </c>
      <c r="L43" s="7"/>
      <c r="M43" s="7" t="s">
        <v>24</v>
      </c>
      <c r="N43" s="7"/>
      <c r="O43" s="7"/>
      <c r="P43" s="7" t="s">
        <v>26</v>
      </c>
      <c r="Q43" s="7"/>
    </row>
    <row r="44" spans="1:17" ht="16" customHeight="1" x14ac:dyDescent="0.2">
      <c r="A44" s="7" t="s">
        <v>159</v>
      </c>
      <c r="B44" s="7" t="s">
        <v>63</v>
      </c>
      <c r="C44" s="7" t="s">
        <v>73</v>
      </c>
      <c r="D44" s="7" t="s">
        <v>74</v>
      </c>
      <c r="E44" s="7" t="s">
        <v>75</v>
      </c>
      <c r="F44" s="7" t="s">
        <v>76</v>
      </c>
      <c r="G44" s="8" t="s">
        <v>77</v>
      </c>
      <c r="H44" s="7" t="s">
        <v>37</v>
      </c>
      <c r="I44" s="7">
        <v>0</v>
      </c>
      <c r="J44" s="7">
        <v>0</v>
      </c>
      <c r="K44" s="7">
        <v>0</v>
      </c>
      <c r="L44" s="7"/>
      <c r="M44" s="7" t="s">
        <v>78</v>
      </c>
      <c r="N44" s="7"/>
      <c r="O44" s="7"/>
      <c r="P44" s="7" t="s">
        <v>26</v>
      </c>
      <c r="Q44" s="7"/>
    </row>
    <row r="45" spans="1:17" ht="32" customHeight="1" x14ac:dyDescent="0.2">
      <c r="A45" s="7" t="s">
        <v>159</v>
      </c>
      <c r="B45" s="7" t="s">
        <v>63</v>
      </c>
      <c r="C45" s="7" t="s">
        <v>73</v>
      </c>
      <c r="D45" s="7" t="s">
        <v>74</v>
      </c>
      <c r="E45" s="7" t="s">
        <v>79</v>
      </c>
      <c r="F45" s="7" t="s">
        <v>76</v>
      </c>
      <c r="G45" s="8" t="s">
        <v>80</v>
      </c>
      <c r="H45" s="7" t="s">
        <v>37</v>
      </c>
      <c r="I45" s="7">
        <v>0</v>
      </c>
      <c r="J45" s="7">
        <v>0</v>
      </c>
      <c r="K45" s="7">
        <v>0</v>
      </c>
      <c r="L45" s="7"/>
      <c r="M45" s="7" t="s">
        <v>78</v>
      </c>
      <c r="N45" s="7"/>
      <c r="O45" s="7"/>
      <c r="P45" s="7" t="s">
        <v>26</v>
      </c>
      <c r="Q45" s="7"/>
    </row>
    <row r="46" spans="1:17" ht="32" customHeight="1" x14ac:dyDescent="0.2">
      <c r="A46" s="7" t="s">
        <v>159</v>
      </c>
      <c r="B46" s="7" t="s">
        <v>63</v>
      </c>
      <c r="C46" s="7" t="s">
        <v>73</v>
      </c>
      <c r="D46" s="7" t="s">
        <v>74</v>
      </c>
      <c r="E46" s="7" t="s">
        <v>81</v>
      </c>
      <c r="F46" s="7" t="s">
        <v>76</v>
      </c>
      <c r="G46" s="8" t="s">
        <v>82</v>
      </c>
      <c r="H46" s="7" t="s">
        <v>37</v>
      </c>
      <c r="I46" s="7">
        <v>80</v>
      </c>
      <c r="J46" s="7">
        <v>64</v>
      </c>
      <c r="K46" s="7">
        <v>96</v>
      </c>
      <c r="L46" s="7"/>
      <c r="M46" s="7" t="s">
        <v>24</v>
      </c>
      <c r="N46" s="7"/>
      <c r="O46" s="7"/>
      <c r="P46" s="7" t="s">
        <v>26</v>
      </c>
      <c r="Q46" s="7"/>
    </row>
    <row r="47" spans="1:17" ht="32" customHeight="1" x14ac:dyDescent="0.2">
      <c r="A47" s="7" t="s">
        <v>159</v>
      </c>
      <c r="B47" s="7" t="s">
        <v>63</v>
      </c>
      <c r="C47" s="7" t="s">
        <v>73</v>
      </c>
      <c r="D47" s="7" t="s">
        <v>74</v>
      </c>
      <c r="E47" s="7" t="s">
        <v>83</v>
      </c>
      <c r="F47" s="7" t="s">
        <v>76</v>
      </c>
      <c r="G47" s="8" t="s">
        <v>84</v>
      </c>
      <c r="H47" s="7" t="s">
        <v>37</v>
      </c>
      <c r="I47" s="7">
        <v>20</v>
      </c>
      <c r="J47" s="7">
        <v>16</v>
      </c>
      <c r="K47" s="7">
        <v>24</v>
      </c>
      <c r="L47" s="7"/>
      <c r="M47" s="7" t="s">
        <v>24</v>
      </c>
      <c r="N47" s="7"/>
      <c r="O47" s="7"/>
      <c r="P47" s="7" t="s">
        <v>26</v>
      </c>
      <c r="Q47" s="7"/>
    </row>
    <row r="48" spans="1:17" ht="32" customHeight="1" x14ac:dyDescent="0.2">
      <c r="A48" s="7" t="s">
        <v>159</v>
      </c>
      <c r="B48" s="7" t="s">
        <v>63</v>
      </c>
      <c r="C48" s="7" t="s">
        <v>73</v>
      </c>
      <c r="D48" s="7" t="s">
        <v>74</v>
      </c>
      <c r="E48" s="7" t="s">
        <v>85</v>
      </c>
      <c r="F48" s="7" t="s">
        <v>76</v>
      </c>
      <c r="G48" s="8" t="s">
        <v>86</v>
      </c>
      <c r="H48" s="7" t="s">
        <v>37</v>
      </c>
      <c r="I48" s="7">
        <v>0</v>
      </c>
      <c r="J48" s="7">
        <v>0</v>
      </c>
      <c r="K48" s="7">
        <v>0</v>
      </c>
      <c r="L48" s="7"/>
      <c r="M48" s="7" t="s">
        <v>78</v>
      </c>
      <c r="N48" s="7"/>
      <c r="O48" s="7"/>
      <c r="P48" s="7" t="s">
        <v>26</v>
      </c>
      <c r="Q48" s="7"/>
    </row>
    <row r="49" spans="1:17" ht="32" customHeight="1" x14ac:dyDescent="0.2">
      <c r="A49" s="7" t="s">
        <v>159</v>
      </c>
      <c r="B49" s="7" t="s">
        <v>87</v>
      </c>
      <c r="C49" s="7" t="s">
        <v>88</v>
      </c>
      <c r="D49" s="7" t="s">
        <v>20</v>
      </c>
      <c r="E49" s="7"/>
      <c r="F49" s="7" t="s">
        <v>87</v>
      </c>
      <c r="G49" s="8" t="s">
        <v>89</v>
      </c>
      <c r="H49" s="7" t="s">
        <v>90</v>
      </c>
      <c r="I49" s="7" t="s">
        <v>91</v>
      </c>
      <c r="J49" s="7"/>
      <c r="K49" s="7"/>
      <c r="L49" s="7"/>
      <c r="M49" s="7" t="s">
        <v>60</v>
      </c>
      <c r="N49" s="7"/>
      <c r="O49" s="7"/>
      <c r="P49" s="7" t="s">
        <v>26</v>
      </c>
      <c r="Q49" s="7"/>
    </row>
    <row r="50" spans="1:17" ht="32" customHeight="1" x14ac:dyDescent="0.2"/>
  </sheetData>
  <conditionalFormatting sqref="I2:I256">
    <cfRule type="expression" dxfId="5" priority="3">
      <formula>AND($F2&lt;&gt;"",$I2="")</formula>
    </cfRule>
  </conditionalFormatting>
  <conditionalFormatting sqref="I2:P256">
    <cfRule type="expression" dxfId="4" priority="1">
      <formula>$P2="placeholder"</formula>
    </cfRule>
  </conditionalFormatting>
  <conditionalFormatting sqref="J2:K256">
    <cfRule type="expression" dxfId="3" priority="2">
      <formula>AND(OR($M2="triangular",$M2="uniform"),OR($J2="",$K2=""))</formula>
    </cfRule>
  </conditionalFormatting>
  <dataValidations count="4">
    <dataValidation type="list" allowBlank="1" showErrorMessage="1" sqref="B2:B256" xr:uid="{00000000-0002-0000-0800-000000000000}">
      <formula1>"design,manufacturing,circularity,location"</formula1>
    </dataValidation>
    <dataValidation type="list" allowBlank="1" showErrorMessage="1" sqref="C2:C256" xr:uid="{00000000-0002-0000-0800-000001000000}">
      <formula1>"product size,production,repair,use,end-of-life,general"</formula1>
    </dataValidation>
    <dataValidation type="list" allowBlank="1" showErrorMessage="1" sqref="M2:M256" xr:uid="{00000000-0002-0000-0800-000002000000}">
      <formula1>"fixed,triangular,uniform,choice"</formula1>
    </dataValidation>
    <dataValidation type="list" allowBlank="1" showErrorMessage="1" sqref="P2:P256" xr:uid="{00000000-0002-0000-0800-000003000000}">
      <formula1>"placeholder,partner estimate,measured,literature"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6A5AF"/>
  </sheetPr>
  <dimension ref="A1:P56"/>
  <sheetViews>
    <sheetView tabSelected="1" zoomScale="110" zoomScaleNormal="110" workbookViewId="0">
      <pane xSplit="5" ySplit="1" topLeftCell="F2" activePane="bottomRight" state="frozen"/>
      <selection activeCell="G13" sqref="G13"/>
      <selection pane="topRight" activeCell="G13" sqref="G13"/>
      <selection pane="bottomLeft" activeCell="G13" sqref="G13"/>
      <selection pane="bottomRight" activeCell="I22" sqref="I22"/>
    </sheetView>
  </sheetViews>
  <sheetFormatPr baseColWidth="10" defaultColWidth="8.83203125" defaultRowHeight="15" x14ac:dyDescent="0.2"/>
  <cols>
    <col min="1" max="1" width="27.1640625" customWidth="1"/>
    <col min="2" max="2" width="13" customWidth="1"/>
    <col min="3" max="3" width="21" customWidth="1"/>
    <col min="4" max="4" width="17" customWidth="1"/>
    <col min="5" max="5" width="24" customWidth="1"/>
    <col min="6" max="6" width="60" customWidth="1"/>
    <col min="7" max="7" width="14" customWidth="1"/>
    <col min="8" max="8" width="9" customWidth="1"/>
    <col min="9" max="9" width="8" customWidth="1"/>
    <col min="10" max="11" width="13" customWidth="1"/>
    <col min="12" max="12" width="9" customWidth="1"/>
    <col min="13" max="13" width="40" customWidth="1"/>
    <col min="14" max="14" width="13" customWidth="1"/>
    <col min="15" max="15" width="40" customWidth="1"/>
    <col min="16" max="17" width="13" customWidth="1"/>
  </cols>
  <sheetData>
    <row r="1" spans="1:16" x14ac:dyDescent="0.2">
      <c r="A1" s="6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</row>
    <row r="2" spans="1:16" ht="16" customHeight="1" x14ac:dyDescent="0.2">
      <c r="A2" s="7" t="s">
        <v>149</v>
      </c>
      <c r="B2" s="7" t="s">
        <v>19</v>
      </c>
      <c r="C2" s="7" t="s">
        <v>20</v>
      </c>
      <c r="D2" s="7"/>
      <c r="E2" s="7" t="s">
        <v>21</v>
      </c>
      <c r="F2" s="7" t="s">
        <v>22</v>
      </c>
      <c r="G2" s="7" t="s">
        <v>23</v>
      </c>
      <c r="H2" s="7">
        <v>20</v>
      </c>
      <c r="I2" s="7">
        <v>16</v>
      </c>
      <c r="J2" s="7">
        <v>24</v>
      </c>
      <c r="K2" s="7"/>
      <c r="L2" s="7" t="s">
        <v>24</v>
      </c>
      <c r="M2" s="7"/>
      <c r="N2" s="7" t="s">
        <v>25</v>
      </c>
      <c r="O2" s="7" t="s">
        <v>26</v>
      </c>
      <c r="P2" s="7"/>
    </row>
    <row r="3" spans="1:16" ht="16" customHeight="1" x14ac:dyDescent="0.2">
      <c r="A3" s="7" t="s">
        <v>149</v>
      </c>
      <c r="B3" s="7" t="s">
        <v>19</v>
      </c>
      <c r="C3" s="7" t="s">
        <v>20</v>
      </c>
      <c r="D3" s="7"/>
      <c r="E3" s="7" t="s">
        <v>27</v>
      </c>
      <c r="F3" s="7" t="s">
        <v>28</v>
      </c>
      <c r="G3" s="7" t="s">
        <v>23</v>
      </c>
      <c r="H3" s="7">
        <v>3</v>
      </c>
      <c r="I3" s="7">
        <v>2.4</v>
      </c>
      <c r="J3" s="7">
        <v>3.6</v>
      </c>
      <c r="K3" s="7"/>
      <c r="L3" s="7" t="s">
        <v>24</v>
      </c>
      <c r="M3" s="7"/>
      <c r="N3" s="7" t="s">
        <v>25</v>
      </c>
      <c r="O3" s="7" t="s">
        <v>26</v>
      </c>
      <c r="P3" s="7"/>
    </row>
    <row r="4" spans="1:16" ht="16" customHeight="1" x14ac:dyDescent="0.2">
      <c r="A4" s="7" t="s">
        <v>149</v>
      </c>
      <c r="B4" s="7" t="s">
        <v>19</v>
      </c>
      <c r="C4" s="7" t="s">
        <v>20</v>
      </c>
      <c r="D4" s="7"/>
      <c r="E4" s="7" t="s">
        <v>29</v>
      </c>
      <c r="F4" s="7" t="s">
        <v>307</v>
      </c>
      <c r="G4" s="7" t="s">
        <v>31</v>
      </c>
      <c r="H4" s="7">
        <v>439</v>
      </c>
      <c r="I4" s="7">
        <v>439</v>
      </c>
      <c r="J4" s="7">
        <v>439</v>
      </c>
      <c r="K4" s="7"/>
      <c r="L4" s="7" t="s">
        <v>78</v>
      </c>
      <c r="M4" s="7"/>
      <c r="N4" s="7" t="s">
        <v>308</v>
      </c>
      <c r="O4" s="7" t="s">
        <v>26</v>
      </c>
      <c r="P4" s="7" t="s">
        <v>309</v>
      </c>
    </row>
    <row r="5" spans="1:16" ht="16" customHeight="1" x14ac:dyDescent="0.2">
      <c r="A5" s="7" t="s">
        <v>149</v>
      </c>
      <c r="B5" s="7" t="s">
        <v>32</v>
      </c>
      <c r="C5" s="7" t="s">
        <v>310</v>
      </c>
      <c r="D5" s="7"/>
      <c r="E5" s="7" t="s">
        <v>311</v>
      </c>
      <c r="F5" s="7" t="s">
        <v>312</v>
      </c>
      <c r="G5" s="7" t="s">
        <v>313</v>
      </c>
      <c r="H5" s="7">
        <v>2.2779043280182231E-3</v>
      </c>
      <c r="I5" s="7">
        <v>2.2779043280182231E-3</v>
      </c>
      <c r="J5" s="7">
        <v>2.2779043280182231E-3</v>
      </c>
      <c r="K5" s="7"/>
      <c r="L5" s="7" t="s">
        <v>78</v>
      </c>
      <c r="M5" s="7"/>
      <c r="N5" s="7" t="s">
        <v>314</v>
      </c>
      <c r="O5" s="7" t="s">
        <v>26</v>
      </c>
      <c r="P5" s="7" t="s">
        <v>315</v>
      </c>
    </row>
    <row r="6" spans="1:16" ht="16" customHeight="1" x14ac:dyDescent="0.2">
      <c r="A6" s="7" t="s">
        <v>149</v>
      </c>
      <c r="B6" s="7" t="s">
        <v>64</v>
      </c>
      <c r="C6" s="7" t="s">
        <v>20</v>
      </c>
      <c r="D6" s="7"/>
      <c r="E6" s="7" t="s">
        <v>316</v>
      </c>
      <c r="F6" s="7" t="s">
        <v>317</v>
      </c>
      <c r="G6" s="7" t="s">
        <v>67</v>
      </c>
      <c r="H6" s="7">
        <v>60</v>
      </c>
      <c r="I6" s="7">
        <v>48</v>
      </c>
      <c r="J6" s="7">
        <v>72</v>
      </c>
      <c r="K6" s="7"/>
      <c r="L6" s="7" t="s">
        <v>24</v>
      </c>
      <c r="M6" s="7"/>
      <c r="N6" s="7" t="s">
        <v>318</v>
      </c>
      <c r="O6" s="7" t="s">
        <v>26</v>
      </c>
      <c r="P6" s="7"/>
    </row>
    <row r="7" spans="1:16" ht="16" customHeight="1" x14ac:dyDescent="0.2">
      <c r="A7" s="7" t="s">
        <v>149</v>
      </c>
      <c r="B7" s="7" t="s">
        <v>73</v>
      </c>
      <c r="C7" s="7" t="s">
        <v>319</v>
      </c>
      <c r="D7" s="7" t="s">
        <v>310</v>
      </c>
      <c r="E7" s="7" t="s">
        <v>311</v>
      </c>
      <c r="F7" s="7" t="s">
        <v>320</v>
      </c>
      <c r="G7" s="7" t="s">
        <v>321</v>
      </c>
      <c r="H7" s="7">
        <v>0.6</v>
      </c>
      <c r="I7" s="7">
        <v>0.48</v>
      </c>
      <c r="J7" s="7">
        <v>0.72</v>
      </c>
      <c r="K7" s="7"/>
      <c r="L7" s="7" t="s">
        <v>24</v>
      </c>
      <c r="M7" s="7"/>
      <c r="N7" s="7" t="s">
        <v>322</v>
      </c>
      <c r="O7" s="7" t="s">
        <v>26</v>
      </c>
      <c r="P7" s="7"/>
    </row>
    <row r="8" spans="1:16" ht="16" customHeight="1" x14ac:dyDescent="0.2">
      <c r="A8" s="7" t="s">
        <v>149</v>
      </c>
      <c r="B8" s="7" t="s">
        <v>73</v>
      </c>
      <c r="C8" s="7" t="s">
        <v>323</v>
      </c>
      <c r="D8" s="7" t="s">
        <v>310</v>
      </c>
      <c r="E8" s="7" t="s">
        <v>311</v>
      </c>
      <c r="F8" s="7" t="s">
        <v>324</v>
      </c>
      <c r="G8" s="7" t="s">
        <v>321</v>
      </c>
      <c r="H8" s="7">
        <v>0.3</v>
      </c>
      <c r="I8" s="7">
        <v>0.24</v>
      </c>
      <c r="J8" s="7">
        <v>0.36</v>
      </c>
      <c r="K8" s="7"/>
      <c r="L8" s="7" t="s">
        <v>24</v>
      </c>
      <c r="M8" s="7"/>
      <c r="N8" s="7" t="s">
        <v>322</v>
      </c>
      <c r="O8" s="7" t="s">
        <v>26</v>
      </c>
      <c r="P8" s="7"/>
    </row>
    <row r="9" spans="1:16" ht="16" customHeight="1" x14ac:dyDescent="0.2">
      <c r="A9" s="7" t="s">
        <v>149</v>
      </c>
      <c r="B9" s="7" t="s">
        <v>73</v>
      </c>
      <c r="C9" s="7" t="s">
        <v>325</v>
      </c>
      <c r="D9" s="7" t="s">
        <v>310</v>
      </c>
      <c r="E9" s="7" t="s">
        <v>311</v>
      </c>
      <c r="F9" s="7" t="s">
        <v>326</v>
      </c>
      <c r="G9" s="7" t="s">
        <v>321</v>
      </c>
      <c r="H9" s="7">
        <v>0.1</v>
      </c>
      <c r="I9" s="7">
        <v>0.08</v>
      </c>
      <c r="J9" s="7">
        <v>0.12</v>
      </c>
      <c r="K9" s="7"/>
      <c r="L9" s="7" t="s">
        <v>24</v>
      </c>
      <c r="M9" s="7"/>
      <c r="N9" s="7" t="s">
        <v>322</v>
      </c>
      <c r="O9" s="7" t="s">
        <v>26</v>
      </c>
      <c r="P9" s="7"/>
    </row>
    <row r="10" spans="1:16" ht="16" customHeight="1" x14ac:dyDescent="0.2">
      <c r="A10" s="7" t="s">
        <v>149</v>
      </c>
      <c r="B10" s="7" t="s">
        <v>88</v>
      </c>
      <c r="C10" s="7" t="s">
        <v>20</v>
      </c>
      <c r="D10" s="7"/>
      <c r="E10" s="7" t="s">
        <v>87</v>
      </c>
      <c r="F10" s="7" t="s">
        <v>327</v>
      </c>
      <c r="G10" s="7" t="s">
        <v>90</v>
      </c>
      <c r="H10" s="7" t="s">
        <v>91</v>
      </c>
      <c r="I10" s="7"/>
      <c r="J10" s="7"/>
      <c r="K10" s="7"/>
      <c r="L10" s="7" t="s">
        <v>60</v>
      </c>
      <c r="M10" s="7"/>
      <c r="N10" s="7"/>
      <c r="O10" s="7" t="s">
        <v>26</v>
      </c>
      <c r="P10" s="7"/>
    </row>
    <row r="11" spans="1:16" ht="16" customHeight="1" x14ac:dyDescent="0.2">
      <c r="A11" s="7" t="s">
        <v>150</v>
      </c>
      <c r="B11" s="7" t="s">
        <v>19</v>
      </c>
      <c r="C11" s="7" t="s">
        <v>20</v>
      </c>
      <c r="D11" s="7"/>
      <c r="E11" s="7" t="s">
        <v>21</v>
      </c>
      <c r="F11" s="7" t="s">
        <v>22</v>
      </c>
      <c r="G11" s="7" t="s">
        <v>23</v>
      </c>
      <c r="H11" s="7">
        <v>12</v>
      </c>
      <c r="I11" s="7">
        <v>9.6</v>
      </c>
      <c r="J11" s="7">
        <v>14.4</v>
      </c>
      <c r="K11" s="7"/>
      <c r="L11" s="7" t="s">
        <v>24</v>
      </c>
      <c r="M11" s="7"/>
      <c r="N11" s="7" t="s">
        <v>25</v>
      </c>
      <c r="O11" s="7" t="s">
        <v>26</v>
      </c>
      <c r="P11" s="7"/>
    </row>
    <row r="12" spans="1:16" ht="16" customHeight="1" x14ac:dyDescent="0.2">
      <c r="A12" s="7" t="s">
        <v>150</v>
      </c>
      <c r="B12" s="7" t="s">
        <v>19</v>
      </c>
      <c r="C12" s="7" t="s">
        <v>20</v>
      </c>
      <c r="D12" s="7"/>
      <c r="E12" s="7" t="s">
        <v>328</v>
      </c>
      <c r="F12" s="7" t="s">
        <v>329</v>
      </c>
      <c r="G12" s="7" t="s">
        <v>23</v>
      </c>
      <c r="H12" s="7">
        <v>0.5</v>
      </c>
      <c r="I12" s="7">
        <v>0.4</v>
      </c>
      <c r="J12" s="7">
        <v>0.6</v>
      </c>
      <c r="K12" s="7"/>
      <c r="L12" s="7" t="s">
        <v>24</v>
      </c>
      <c r="M12" s="7"/>
      <c r="N12" s="7" t="s">
        <v>25</v>
      </c>
      <c r="O12" s="7" t="s">
        <v>26</v>
      </c>
      <c r="P12" s="7"/>
    </row>
    <row r="13" spans="1:16" ht="16" customHeight="1" x14ac:dyDescent="0.2">
      <c r="A13" s="7" t="s">
        <v>150</v>
      </c>
      <c r="B13" s="7" t="s">
        <v>19</v>
      </c>
      <c r="C13" s="7" t="s">
        <v>20</v>
      </c>
      <c r="D13" s="7"/>
      <c r="E13" s="7" t="s">
        <v>330</v>
      </c>
      <c r="F13" s="7" t="s">
        <v>331</v>
      </c>
      <c r="G13" s="7" t="s">
        <v>31</v>
      </c>
      <c r="H13" s="7">
        <v>2400</v>
      </c>
      <c r="I13" s="7">
        <v>1920</v>
      </c>
      <c r="J13" s="7">
        <v>2880</v>
      </c>
      <c r="K13" s="7"/>
      <c r="L13" s="7" t="s">
        <v>24</v>
      </c>
      <c r="M13" s="7"/>
      <c r="N13" s="7" t="s">
        <v>25</v>
      </c>
      <c r="O13" s="7" t="s">
        <v>26</v>
      </c>
      <c r="P13" s="7"/>
    </row>
    <row r="14" spans="1:16" ht="16" customHeight="1" x14ac:dyDescent="0.2">
      <c r="A14" s="7" t="s">
        <v>150</v>
      </c>
      <c r="B14" s="7" t="s">
        <v>32</v>
      </c>
      <c r="C14" s="7" t="s">
        <v>332</v>
      </c>
      <c r="D14" s="7"/>
      <c r="E14" s="7" t="s">
        <v>311</v>
      </c>
      <c r="F14" s="7" t="s">
        <v>333</v>
      </c>
      <c r="G14" s="7" t="s">
        <v>321</v>
      </c>
      <c r="H14" s="7">
        <v>0.94</v>
      </c>
      <c r="I14" s="7">
        <v>0.94</v>
      </c>
      <c r="J14" s="7">
        <v>0.94</v>
      </c>
      <c r="K14" s="7"/>
      <c r="L14" s="7" t="s">
        <v>78</v>
      </c>
      <c r="M14" s="7"/>
      <c r="N14" s="7" t="s">
        <v>314</v>
      </c>
      <c r="O14" s="7" t="s">
        <v>26</v>
      </c>
      <c r="P14" s="7"/>
    </row>
    <row r="15" spans="1:16" ht="16" customHeight="1" x14ac:dyDescent="0.2">
      <c r="A15" s="7" t="s">
        <v>150</v>
      </c>
      <c r="B15" s="7" t="s">
        <v>32</v>
      </c>
      <c r="C15" s="7" t="s">
        <v>334</v>
      </c>
      <c r="D15" s="7"/>
      <c r="E15" s="7" t="s">
        <v>311</v>
      </c>
      <c r="F15" s="7" t="s">
        <v>335</v>
      </c>
      <c r="G15" s="7" t="s">
        <v>321</v>
      </c>
      <c r="H15" s="7">
        <v>0.06</v>
      </c>
      <c r="I15" s="7">
        <v>0.06</v>
      </c>
      <c r="J15" s="7">
        <v>0.06</v>
      </c>
      <c r="K15" s="7"/>
      <c r="L15" s="7" t="s">
        <v>78</v>
      </c>
      <c r="M15" s="7"/>
      <c r="N15" s="7" t="s">
        <v>314</v>
      </c>
      <c r="O15" s="7" t="s">
        <v>26</v>
      </c>
      <c r="P15" s="7"/>
    </row>
    <row r="16" spans="1:16" ht="16" customHeight="1" x14ac:dyDescent="0.2">
      <c r="A16" s="7" t="s">
        <v>150</v>
      </c>
      <c r="B16" s="7" t="s">
        <v>32</v>
      </c>
      <c r="C16" s="7" t="s">
        <v>336</v>
      </c>
      <c r="D16" s="7"/>
      <c r="E16" s="7" t="s">
        <v>311</v>
      </c>
      <c r="F16" s="7" t="s">
        <v>337</v>
      </c>
      <c r="G16" s="7" t="s">
        <v>321</v>
      </c>
      <c r="H16" s="7">
        <v>4.4999999999999997E-3</v>
      </c>
      <c r="I16" s="7">
        <v>4.4999999999999997E-3</v>
      </c>
      <c r="J16" s="7">
        <v>4.4999999999999997E-3</v>
      </c>
      <c r="K16" s="7"/>
      <c r="L16" s="7" t="s">
        <v>78</v>
      </c>
      <c r="M16" s="7"/>
      <c r="N16" s="7" t="s">
        <v>314</v>
      </c>
      <c r="O16" s="7" t="s">
        <v>26</v>
      </c>
      <c r="P16" s="7" t="s">
        <v>338</v>
      </c>
    </row>
    <row r="17" spans="1:16" ht="16" customHeight="1" x14ac:dyDescent="0.2">
      <c r="A17" s="7" t="s">
        <v>150</v>
      </c>
      <c r="B17" s="7" t="s">
        <v>64</v>
      </c>
      <c r="C17" s="7" t="s">
        <v>20</v>
      </c>
      <c r="D17" s="7"/>
      <c r="E17" s="7" t="s">
        <v>316</v>
      </c>
      <c r="F17" s="7" t="s">
        <v>317</v>
      </c>
      <c r="G17" s="7" t="s">
        <v>67</v>
      </c>
      <c r="H17" s="7">
        <v>75</v>
      </c>
      <c r="I17" s="7">
        <v>60</v>
      </c>
      <c r="J17" s="7">
        <v>90</v>
      </c>
      <c r="K17" s="7"/>
      <c r="L17" s="7" t="s">
        <v>24</v>
      </c>
      <c r="M17" s="7"/>
      <c r="N17" s="7" t="s">
        <v>318</v>
      </c>
      <c r="O17" s="7" t="s">
        <v>26</v>
      </c>
      <c r="P17" s="7"/>
    </row>
    <row r="18" spans="1:16" ht="16" customHeight="1" x14ac:dyDescent="0.2">
      <c r="A18" s="7" t="s">
        <v>150</v>
      </c>
      <c r="B18" s="7" t="s">
        <v>73</v>
      </c>
      <c r="C18" s="7" t="s">
        <v>339</v>
      </c>
      <c r="D18" s="7" t="s">
        <v>332</v>
      </c>
      <c r="E18" s="7" t="s">
        <v>311</v>
      </c>
      <c r="F18" s="7" t="s">
        <v>340</v>
      </c>
      <c r="G18" s="7" t="s">
        <v>321</v>
      </c>
      <c r="H18" s="7">
        <v>0.84599999999999997</v>
      </c>
      <c r="I18" s="7">
        <v>0.67679999999999996</v>
      </c>
      <c r="J18" s="7">
        <v>1.0152000000000001</v>
      </c>
      <c r="K18" s="7"/>
      <c r="L18" s="7" t="s">
        <v>24</v>
      </c>
      <c r="M18" s="7"/>
      <c r="N18" s="7" t="s">
        <v>322</v>
      </c>
      <c r="O18" s="7" t="s">
        <v>26</v>
      </c>
      <c r="P18" s="7"/>
    </row>
    <row r="19" spans="1:16" ht="16" customHeight="1" x14ac:dyDescent="0.2">
      <c r="A19" s="7" t="s">
        <v>150</v>
      </c>
      <c r="B19" s="7" t="s">
        <v>73</v>
      </c>
      <c r="C19" s="7" t="s">
        <v>339</v>
      </c>
      <c r="D19" s="7" t="s">
        <v>334</v>
      </c>
      <c r="E19" s="7" t="s">
        <v>311</v>
      </c>
      <c r="F19" s="7" t="s">
        <v>341</v>
      </c>
      <c r="G19" s="7" t="s">
        <v>321</v>
      </c>
      <c r="H19" s="7">
        <v>5.3999999999999999E-2</v>
      </c>
      <c r="I19" s="7">
        <v>4.3200000000000002E-2</v>
      </c>
      <c r="J19" s="7">
        <v>6.4799999999999996E-2</v>
      </c>
      <c r="K19" s="7"/>
      <c r="L19" s="7" t="s">
        <v>24</v>
      </c>
      <c r="M19" s="7"/>
      <c r="N19" s="7" t="s">
        <v>322</v>
      </c>
      <c r="O19" s="7" t="s">
        <v>26</v>
      </c>
      <c r="P19" s="7"/>
    </row>
    <row r="20" spans="1:16" ht="16" customHeight="1" x14ac:dyDescent="0.2">
      <c r="A20" s="7" t="s">
        <v>150</v>
      </c>
      <c r="B20" s="7" t="s">
        <v>73</v>
      </c>
      <c r="C20" s="7" t="s">
        <v>342</v>
      </c>
      <c r="D20" s="7" t="s">
        <v>332</v>
      </c>
      <c r="E20" s="7" t="s">
        <v>311</v>
      </c>
      <c r="F20" s="7" t="s">
        <v>343</v>
      </c>
      <c r="G20" s="7" t="s">
        <v>321</v>
      </c>
      <c r="H20" s="7">
        <v>9.4E-2</v>
      </c>
      <c r="I20" s="7">
        <v>7.5200000000000003E-2</v>
      </c>
      <c r="J20" s="7">
        <v>0.1128</v>
      </c>
      <c r="K20" s="7"/>
      <c r="L20" s="7" t="s">
        <v>24</v>
      </c>
      <c r="M20" s="7"/>
      <c r="N20" s="7" t="s">
        <v>322</v>
      </c>
      <c r="O20" s="7" t="s">
        <v>26</v>
      </c>
      <c r="P20" s="7"/>
    </row>
    <row r="21" spans="1:16" ht="32" customHeight="1" x14ac:dyDescent="0.2">
      <c r="A21" s="7" t="s">
        <v>150</v>
      </c>
      <c r="B21" s="7" t="s">
        <v>73</v>
      </c>
      <c r="C21" s="7" t="s">
        <v>342</v>
      </c>
      <c r="D21" s="7" t="s">
        <v>334</v>
      </c>
      <c r="E21" s="7" t="s">
        <v>311</v>
      </c>
      <c r="F21" s="7" t="s">
        <v>344</v>
      </c>
      <c r="G21" s="7" t="s">
        <v>321</v>
      </c>
      <c r="H21" s="7">
        <v>6.0000000000000001E-3</v>
      </c>
      <c r="I21" s="7">
        <v>4.7999999999999996E-3</v>
      </c>
      <c r="J21" s="7">
        <v>7.1999999999999998E-3</v>
      </c>
      <c r="K21" s="7"/>
      <c r="L21" s="7" t="s">
        <v>24</v>
      </c>
      <c r="M21" s="7"/>
      <c r="N21" s="7" t="s">
        <v>322</v>
      </c>
      <c r="O21" s="7" t="s">
        <v>26</v>
      </c>
      <c r="P21" s="7"/>
    </row>
    <row r="22" spans="1:16" ht="32" customHeight="1" x14ac:dyDescent="0.2">
      <c r="A22" s="7" t="s">
        <v>150</v>
      </c>
      <c r="B22" s="7" t="s">
        <v>73</v>
      </c>
      <c r="C22" s="7" t="s">
        <v>319</v>
      </c>
      <c r="D22" s="7" t="s">
        <v>336</v>
      </c>
      <c r="E22" s="7" t="s">
        <v>311</v>
      </c>
      <c r="F22" s="7" t="s">
        <v>345</v>
      </c>
      <c r="G22" s="7" t="s">
        <v>321</v>
      </c>
      <c r="H22" s="7">
        <v>4.4999999999999997E-3</v>
      </c>
      <c r="I22" s="7">
        <v>3.5999999999999999E-3</v>
      </c>
      <c r="J22" s="7">
        <v>5.4000000000000003E-3</v>
      </c>
      <c r="K22" s="7"/>
      <c r="L22" s="7" t="s">
        <v>24</v>
      </c>
      <c r="M22" s="7"/>
      <c r="N22" s="7" t="s">
        <v>322</v>
      </c>
      <c r="O22" s="7" t="s">
        <v>26</v>
      </c>
      <c r="P22" s="7" t="s">
        <v>338</v>
      </c>
    </row>
    <row r="23" spans="1:16" ht="32" customHeight="1" x14ac:dyDescent="0.2">
      <c r="A23" s="7" t="s">
        <v>150</v>
      </c>
      <c r="B23" s="7" t="s">
        <v>88</v>
      </c>
      <c r="C23" s="7" t="s">
        <v>20</v>
      </c>
      <c r="D23" s="7"/>
      <c r="E23" s="7" t="s">
        <v>87</v>
      </c>
      <c r="F23" s="7" t="s">
        <v>327</v>
      </c>
      <c r="G23" s="7" t="s">
        <v>90</v>
      </c>
      <c r="H23" s="7" t="s">
        <v>91</v>
      </c>
      <c r="I23" s="7"/>
      <c r="J23" s="7"/>
      <c r="K23" s="7"/>
      <c r="L23" s="7" t="s">
        <v>60</v>
      </c>
      <c r="M23" s="7"/>
      <c r="N23" s="7"/>
      <c r="O23" s="7" t="s">
        <v>26</v>
      </c>
      <c r="P23" s="7"/>
    </row>
    <row r="24" spans="1:16" ht="16" customHeight="1" x14ac:dyDescent="0.2">
      <c r="A24" s="7" t="s">
        <v>346</v>
      </c>
      <c r="B24" s="7" t="s">
        <v>19</v>
      </c>
      <c r="C24" s="7" t="s">
        <v>20</v>
      </c>
      <c r="D24" s="7"/>
      <c r="E24" s="7" t="s">
        <v>292</v>
      </c>
      <c r="F24" s="7" t="s">
        <v>347</v>
      </c>
      <c r="G24" s="7" t="s">
        <v>294</v>
      </c>
      <c r="H24" s="7">
        <v>550</v>
      </c>
      <c r="I24" s="7">
        <v>440</v>
      </c>
      <c r="J24" s="7">
        <v>660</v>
      </c>
      <c r="K24" s="7"/>
      <c r="L24" s="7" t="s">
        <v>24</v>
      </c>
      <c r="M24" s="7"/>
      <c r="N24" s="7" t="s">
        <v>25</v>
      </c>
      <c r="O24" s="7" t="s">
        <v>26</v>
      </c>
      <c r="P24" s="7"/>
    </row>
    <row r="25" spans="1:16" ht="16" customHeight="1" x14ac:dyDescent="0.2">
      <c r="A25" s="7" t="s">
        <v>346</v>
      </c>
      <c r="B25" s="7" t="s">
        <v>19</v>
      </c>
      <c r="C25" s="7" t="s">
        <v>20</v>
      </c>
      <c r="D25" s="7"/>
      <c r="E25" s="7" t="s">
        <v>295</v>
      </c>
      <c r="F25" s="7" t="s">
        <v>348</v>
      </c>
      <c r="G25" s="7" t="s">
        <v>297</v>
      </c>
      <c r="H25" s="7">
        <v>6.0000000000000001E-3</v>
      </c>
      <c r="I25" s="7">
        <v>4.7999999999999996E-3</v>
      </c>
      <c r="J25" s="7">
        <v>7.1999999999999998E-3</v>
      </c>
      <c r="K25" s="7"/>
      <c r="L25" s="7" t="s">
        <v>24</v>
      </c>
      <c r="M25" s="7"/>
      <c r="N25" s="7" t="s">
        <v>26</v>
      </c>
      <c r="O25" s="7" t="s">
        <v>26</v>
      </c>
      <c r="P25" s="7" t="s">
        <v>349</v>
      </c>
    </row>
    <row r="26" spans="1:16" ht="32" customHeight="1" x14ac:dyDescent="0.2">
      <c r="A26" s="7" t="s">
        <v>346</v>
      </c>
      <c r="B26" s="7" t="s">
        <v>19</v>
      </c>
      <c r="C26" s="7" t="s">
        <v>20</v>
      </c>
      <c r="D26" s="7"/>
      <c r="E26" s="7" t="s">
        <v>350</v>
      </c>
      <c r="F26" s="7" t="s">
        <v>351</v>
      </c>
      <c r="G26" s="7" t="s">
        <v>23</v>
      </c>
      <c r="H26" s="7">
        <v>0.6</v>
      </c>
      <c r="I26" s="7">
        <v>0.48</v>
      </c>
      <c r="J26" s="7">
        <v>0.72</v>
      </c>
      <c r="K26" s="7"/>
      <c r="L26" s="7" t="s">
        <v>24</v>
      </c>
      <c r="M26" s="7"/>
      <c r="N26" s="7" t="s">
        <v>26</v>
      </c>
      <c r="O26" s="7" t="s">
        <v>26</v>
      </c>
      <c r="P26" s="7" t="s">
        <v>349</v>
      </c>
    </row>
    <row r="27" spans="1:16" ht="32" customHeight="1" x14ac:dyDescent="0.2">
      <c r="A27" s="7" t="s">
        <v>346</v>
      </c>
      <c r="B27" s="7" t="s">
        <v>32</v>
      </c>
      <c r="C27" s="7" t="s">
        <v>352</v>
      </c>
      <c r="D27" s="7"/>
      <c r="E27" s="7" t="s">
        <v>311</v>
      </c>
      <c r="F27" s="7" t="s">
        <v>353</v>
      </c>
      <c r="G27" s="7" t="s">
        <v>321</v>
      </c>
      <c r="H27" s="7">
        <v>0.6</v>
      </c>
      <c r="I27" s="7">
        <v>0.6</v>
      </c>
      <c r="J27" s="7">
        <v>0.6</v>
      </c>
      <c r="K27" s="7"/>
      <c r="L27" s="7" t="s">
        <v>78</v>
      </c>
      <c r="M27" s="7"/>
      <c r="N27" s="7" t="s">
        <v>314</v>
      </c>
      <c r="O27" s="7" t="s">
        <v>26</v>
      </c>
      <c r="P27" s="7" t="s">
        <v>349</v>
      </c>
    </row>
    <row r="28" spans="1:16" ht="32" customHeight="1" x14ac:dyDescent="0.2">
      <c r="A28" s="7" t="s">
        <v>346</v>
      </c>
      <c r="B28" s="7" t="s">
        <v>32</v>
      </c>
      <c r="C28" s="7" t="s">
        <v>298</v>
      </c>
      <c r="D28" s="7"/>
      <c r="E28" s="7" t="s">
        <v>311</v>
      </c>
      <c r="F28" s="7" t="s">
        <v>354</v>
      </c>
      <c r="G28" s="7" t="s">
        <v>321</v>
      </c>
      <c r="H28" s="7">
        <v>0.4</v>
      </c>
      <c r="I28" s="7">
        <v>0.4</v>
      </c>
      <c r="J28" s="7">
        <v>0.4</v>
      </c>
      <c r="K28" s="7"/>
      <c r="L28" s="7" t="s">
        <v>78</v>
      </c>
      <c r="M28" s="7"/>
      <c r="N28" s="7" t="s">
        <v>314</v>
      </c>
      <c r="O28" s="7" t="s">
        <v>26</v>
      </c>
      <c r="P28" s="7" t="s">
        <v>349</v>
      </c>
    </row>
    <row r="29" spans="1:16" ht="32" customHeight="1" x14ac:dyDescent="0.2">
      <c r="A29" s="7" t="s">
        <v>346</v>
      </c>
      <c r="B29" s="7" t="s">
        <v>64</v>
      </c>
      <c r="C29" s="7" t="s">
        <v>20</v>
      </c>
      <c r="D29" s="7"/>
      <c r="E29" s="7" t="s">
        <v>316</v>
      </c>
      <c r="F29" s="7" t="s">
        <v>317</v>
      </c>
      <c r="G29" s="7" t="s">
        <v>67</v>
      </c>
      <c r="H29" s="7">
        <v>50</v>
      </c>
      <c r="I29" s="7">
        <v>40</v>
      </c>
      <c r="J29" s="7">
        <v>60</v>
      </c>
      <c r="K29" s="7"/>
      <c r="L29" s="7" t="s">
        <v>24</v>
      </c>
      <c r="M29" s="7"/>
      <c r="N29" s="7" t="s">
        <v>318</v>
      </c>
      <c r="O29" s="7" t="s">
        <v>26</v>
      </c>
      <c r="P29" s="7"/>
    </row>
    <row r="30" spans="1:16" ht="32" customHeight="1" x14ac:dyDescent="0.2">
      <c r="A30" s="7" t="s">
        <v>346</v>
      </c>
      <c r="B30" s="7" t="s">
        <v>73</v>
      </c>
      <c r="C30" s="7" t="s">
        <v>355</v>
      </c>
      <c r="D30" s="7" t="s">
        <v>352</v>
      </c>
      <c r="E30" s="7" t="s">
        <v>311</v>
      </c>
      <c r="F30" s="7" t="s">
        <v>356</v>
      </c>
      <c r="G30" s="7" t="s">
        <v>321</v>
      </c>
      <c r="H30" s="7">
        <v>0.6</v>
      </c>
      <c r="I30" s="7">
        <v>0.48</v>
      </c>
      <c r="J30" s="7">
        <v>0.72</v>
      </c>
      <c r="K30" s="7"/>
      <c r="L30" s="7" t="s">
        <v>24</v>
      </c>
      <c r="M30" s="7"/>
      <c r="N30" s="7" t="s">
        <v>322</v>
      </c>
      <c r="O30" s="7" t="s">
        <v>26</v>
      </c>
      <c r="P30" s="7" t="s">
        <v>349</v>
      </c>
    </row>
    <row r="31" spans="1:16" ht="16" customHeight="1" x14ac:dyDescent="0.2">
      <c r="A31" s="7" t="s">
        <v>346</v>
      </c>
      <c r="B31" s="7" t="s">
        <v>73</v>
      </c>
      <c r="C31" s="7" t="s">
        <v>357</v>
      </c>
      <c r="D31" s="7" t="s">
        <v>298</v>
      </c>
      <c r="E31" s="7" t="s">
        <v>311</v>
      </c>
      <c r="F31" s="7" t="s">
        <v>358</v>
      </c>
      <c r="G31" s="7" t="s">
        <v>321</v>
      </c>
      <c r="H31" s="7">
        <v>0.4</v>
      </c>
      <c r="I31" s="7">
        <v>0.32</v>
      </c>
      <c r="J31" s="7">
        <v>0.48</v>
      </c>
      <c r="K31" s="7"/>
      <c r="L31" s="7" t="s">
        <v>24</v>
      </c>
      <c r="M31" s="7"/>
      <c r="N31" s="7" t="s">
        <v>322</v>
      </c>
      <c r="O31" s="7" t="s">
        <v>26</v>
      </c>
      <c r="P31" s="7" t="s">
        <v>349</v>
      </c>
    </row>
    <row r="32" spans="1:16" ht="16" customHeight="1" x14ac:dyDescent="0.2">
      <c r="A32" s="7" t="s">
        <v>346</v>
      </c>
      <c r="B32" s="7" t="s">
        <v>88</v>
      </c>
      <c r="C32" s="7" t="s">
        <v>20</v>
      </c>
      <c r="D32" s="7"/>
      <c r="E32" s="7" t="s">
        <v>87</v>
      </c>
      <c r="F32" s="7" t="s">
        <v>327</v>
      </c>
      <c r="G32" s="7" t="s">
        <v>90</v>
      </c>
      <c r="H32" s="7" t="s">
        <v>91</v>
      </c>
      <c r="I32" s="7"/>
      <c r="J32" s="7"/>
      <c r="K32" s="7"/>
      <c r="L32" s="7" t="s">
        <v>60</v>
      </c>
      <c r="M32" s="7"/>
      <c r="N32" s="7"/>
      <c r="O32" s="7" t="s">
        <v>26</v>
      </c>
      <c r="P32" s="7"/>
    </row>
    <row r="33" spans="1:16" ht="16" customHeight="1" x14ac:dyDescent="0.2">
      <c r="A33" s="7" t="s">
        <v>157</v>
      </c>
      <c r="B33" s="7" t="s">
        <v>19</v>
      </c>
      <c r="C33" s="7" t="s">
        <v>20</v>
      </c>
      <c r="D33" s="7"/>
      <c r="E33" s="7" t="s">
        <v>271</v>
      </c>
      <c r="F33" s="7" t="s">
        <v>272</v>
      </c>
      <c r="G33" s="7" t="s">
        <v>148</v>
      </c>
      <c r="H33" s="7">
        <v>3</v>
      </c>
      <c r="I33" s="7">
        <v>3</v>
      </c>
      <c r="J33" s="7">
        <v>3</v>
      </c>
      <c r="K33" s="7"/>
      <c r="L33" s="7" t="s">
        <v>78</v>
      </c>
      <c r="M33" s="7"/>
      <c r="N33" s="7" t="s">
        <v>25</v>
      </c>
      <c r="O33" s="7" t="s">
        <v>26</v>
      </c>
      <c r="P33" s="7" t="s">
        <v>273</v>
      </c>
    </row>
    <row r="34" spans="1:16" ht="16" customHeight="1" x14ac:dyDescent="0.2">
      <c r="A34" s="7" t="s">
        <v>157</v>
      </c>
      <c r="B34" s="7" t="s">
        <v>19</v>
      </c>
      <c r="C34" s="7" t="s">
        <v>20</v>
      </c>
      <c r="D34" s="7"/>
      <c r="E34" s="7" t="s">
        <v>274</v>
      </c>
      <c r="F34" s="7" t="s">
        <v>275</v>
      </c>
      <c r="G34" s="7" t="s">
        <v>23</v>
      </c>
      <c r="H34" s="7">
        <v>10</v>
      </c>
      <c r="I34" s="7">
        <v>8</v>
      </c>
      <c r="J34" s="7">
        <v>12</v>
      </c>
      <c r="K34" s="7"/>
      <c r="L34" s="7" t="s">
        <v>24</v>
      </c>
      <c r="M34" s="7"/>
      <c r="N34" s="7" t="s">
        <v>25</v>
      </c>
      <c r="O34" s="7" t="s">
        <v>26</v>
      </c>
      <c r="P34" s="7"/>
    </row>
    <row r="35" spans="1:16" ht="32" customHeight="1" x14ac:dyDescent="0.2">
      <c r="A35" s="7" t="s">
        <v>157</v>
      </c>
      <c r="B35" s="7" t="s">
        <v>19</v>
      </c>
      <c r="C35" s="7" t="s">
        <v>20</v>
      </c>
      <c r="D35" s="7"/>
      <c r="E35" s="7" t="s">
        <v>29</v>
      </c>
      <c r="F35" s="7" t="s">
        <v>359</v>
      </c>
      <c r="G35" s="7" t="s">
        <v>31</v>
      </c>
      <c r="H35" s="7">
        <v>1700</v>
      </c>
      <c r="I35" s="7">
        <v>1360</v>
      </c>
      <c r="J35" s="7">
        <v>2040</v>
      </c>
      <c r="K35" s="7"/>
      <c r="L35" s="7" t="s">
        <v>24</v>
      </c>
      <c r="M35" s="7"/>
      <c r="N35" s="7" t="s">
        <v>25</v>
      </c>
      <c r="O35" s="7" t="s">
        <v>26</v>
      </c>
      <c r="P35" s="7"/>
    </row>
    <row r="36" spans="1:16" ht="32" customHeight="1" x14ac:dyDescent="0.2">
      <c r="A36" s="7" t="s">
        <v>157</v>
      </c>
      <c r="B36" s="7" t="s">
        <v>32</v>
      </c>
      <c r="C36" s="7" t="s">
        <v>360</v>
      </c>
      <c r="D36" s="7"/>
      <c r="E36" s="7" t="s">
        <v>311</v>
      </c>
      <c r="F36" s="7" t="s">
        <v>361</v>
      </c>
      <c r="G36" s="7" t="s">
        <v>321</v>
      </c>
      <c r="H36" s="7">
        <v>1</v>
      </c>
      <c r="I36" s="7">
        <v>1</v>
      </c>
      <c r="J36" s="7">
        <v>1</v>
      </c>
      <c r="K36" s="7"/>
      <c r="L36" s="7" t="s">
        <v>78</v>
      </c>
      <c r="M36" s="7"/>
      <c r="N36" s="7" t="s">
        <v>314</v>
      </c>
      <c r="O36" s="7" t="s">
        <v>26</v>
      </c>
      <c r="P36" s="7"/>
    </row>
    <row r="37" spans="1:16" ht="16" customHeight="1" x14ac:dyDescent="0.2">
      <c r="A37" s="7" t="s">
        <v>157</v>
      </c>
      <c r="B37" s="7" t="s">
        <v>64</v>
      </c>
      <c r="C37" s="7" t="s">
        <v>20</v>
      </c>
      <c r="D37" s="7"/>
      <c r="E37" s="7" t="s">
        <v>316</v>
      </c>
      <c r="F37" s="7" t="s">
        <v>317</v>
      </c>
      <c r="G37" s="7" t="s">
        <v>67</v>
      </c>
      <c r="H37" s="7">
        <v>50</v>
      </c>
      <c r="I37" s="7">
        <v>40</v>
      </c>
      <c r="J37" s="7">
        <v>60</v>
      </c>
      <c r="K37" s="7"/>
      <c r="L37" s="7" t="s">
        <v>24</v>
      </c>
      <c r="M37" s="7"/>
      <c r="N37" s="7" t="s">
        <v>318</v>
      </c>
      <c r="O37" s="7" t="s">
        <v>26</v>
      </c>
      <c r="P37" s="7"/>
    </row>
    <row r="38" spans="1:16" ht="16" customHeight="1" x14ac:dyDescent="0.2">
      <c r="A38" s="7" t="s">
        <v>157</v>
      </c>
      <c r="B38" s="7" t="s">
        <v>73</v>
      </c>
      <c r="C38" s="7" t="s">
        <v>355</v>
      </c>
      <c r="D38" s="7" t="s">
        <v>360</v>
      </c>
      <c r="E38" s="7" t="s">
        <v>311</v>
      </c>
      <c r="F38" s="7" t="s">
        <v>362</v>
      </c>
      <c r="G38" s="7" t="s">
        <v>321</v>
      </c>
      <c r="H38" s="7">
        <v>0.5</v>
      </c>
      <c r="I38" s="7">
        <v>0.4</v>
      </c>
      <c r="J38" s="7">
        <v>0.6</v>
      </c>
      <c r="K38" s="7"/>
      <c r="L38" s="7" t="s">
        <v>24</v>
      </c>
      <c r="M38" s="7"/>
      <c r="N38" s="7" t="s">
        <v>322</v>
      </c>
      <c r="O38" s="7" t="s">
        <v>26</v>
      </c>
      <c r="P38" s="7" t="s">
        <v>363</v>
      </c>
    </row>
    <row r="39" spans="1:16" ht="32" customHeight="1" x14ac:dyDescent="0.2">
      <c r="A39" s="7" t="s">
        <v>157</v>
      </c>
      <c r="B39" s="7" t="s">
        <v>88</v>
      </c>
      <c r="C39" s="7" t="s">
        <v>20</v>
      </c>
      <c r="D39" s="7"/>
      <c r="E39" s="7" t="s">
        <v>87</v>
      </c>
      <c r="F39" s="7" t="s">
        <v>327</v>
      </c>
      <c r="G39" s="7" t="s">
        <v>90</v>
      </c>
      <c r="H39" s="7" t="s">
        <v>91</v>
      </c>
      <c r="I39" s="7"/>
      <c r="J39" s="7"/>
      <c r="K39" s="7"/>
      <c r="L39" s="7" t="s">
        <v>60</v>
      </c>
      <c r="M39" s="7"/>
      <c r="N39" s="7"/>
      <c r="O39" s="7" t="s">
        <v>26</v>
      </c>
      <c r="P39" s="7"/>
    </row>
    <row r="40" spans="1:16" ht="32" customHeight="1" x14ac:dyDescent="0.2">
      <c r="A40" s="7" t="s">
        <v>158</v>
      </c>
      <c r="B40" s="7" t="s">
        <v>19</v>
      </c>
      <c r="C40" s="7" t="s">
        <v>20</v>
      </c>
      <c r="D40" s="7"/>
      <c r="E40" s="7" t="s">
        <v>271</v>
      </c>
      <c r="F40" s="7" t="s">
        <v>272</v>
      </c>
      <c r="G40" s="7" t="s">
        <v>148</v>
      </c>
      <c r="H40" s="7">
        <v>3</v>
      </c>
      <c r="I40" s="7">
        <v>3</v>
      </c>
      <c r="J40" s="7">
        <v>3</v>
      </c>
      <c r="K40" s="7"/>
      <c r="L40" s="7" t="s">
        <v>78</v>
      </c>
      <c r="M40" s="7"/>
      <c r="N40" s="7" t="s">
        <v>25</v>
      </c>
      <c r="O40" s="7" t="s">
        <v>26</v>
      </c>
      <c r="P40" s="7" t="s">
        <v>273</v>
      </c>
    </row>
    <row r="41" spans="1:16" ht="32" customHeight="1" x14ac:dyDescent="0.2">
      <c r="A41" s="7" t="s">
        <v>158</v>
      </c>
      <c r="B41" s="7" t="s">
        <v>19</v>
      </c>
      <c r="C41" s="7" t="s">
        <v>20</v>
      </c>
      <c r="D41" s="7"/>
      <c r="E41" s="7" t="s">
        <v>364</v>
      </c>
      <c r="F41" s="7" t="s">
        <v>365</v>
      </c>
      <c r="G41" s="7" t="s">
        <v>148</v>
      </c>
      <c r="H41" s="7">
        <v>0.115</v>
      </c>
      <c r="I41" s="7">
        <v>9.1999999999999998E-2</v>
      </c>
      <c r="J41" s="7">
        <v>0.13800000000000001</v>
      </c>
      <c r="K41" s="7"/>
      <c r="L41" s="7" t="s">
        <v>24</v>
      </c>
      <c r="M41" s="7"/>
      <c r="N41" s="7" t="s">
        <v>25</v>
      </c>
      <c r="O41" s="7" t="s">
        <v>26</v>
      </c>
      <c r="P41" s="7"/>
    </row>
    <row r="42" spans="1:16" ht="16" customHeight="1" x14ac:dyDescent="0.2">
      <c r="A42" s="7" t="s">
        <v>158</v>
      </c>
      <c r="B42" s="7" t="s">
        <v>19</v>
      </c>
      <c r="C42" s="7" t="s">
        <v>20</v>
      </c>
      <c r="D42" s="7"/>
      <c r="E42" s="7" t="s">
        <v>29</v>
      </c>
      <c r="F42" s="7" t="s">
        <v>366</v>
      </c>
      <c r="G42" s="7" t="s">
        <v>31</v>
      </c>
      <c r="H42" s="7">
        <v>1900</v>
      </c>
      <c r="I42" s="7">
        <v>1520</v>
      </c>
      <c r="J42" s="7">
        <v>2280</v>
      </c>
      <c r="K42" s="7"/>
      <c r="L42" s="7" t="s">
        <v>24</v>
      </c>
      <c r="M42" s="7"/>
      <c r="N42" s="7" t="s">
        <v>25</v>
      </c>
      <c r="O42" s="7" t="s">
        <v>26</v>
      </c>
      <c r="P42" s="7"/>
    </row>
    <row r="43" spans="1:16" ht="16" customHeight="1" x14ac:dyDescent="0.2">
      <c r="A43" s="7" t="s">
        <v>158</v>
      </c>
      <c r="B43" s="7" t="s">
        <v>32</v>
      </c>
      <c r="C43" s="7" t="s">
        <v>367</v>
      </c>
      <c r="D43" s="7"/>
      <c r="E43" s="7" t="s">
        <v>311</v>
      </c>
      <c r="F43" s="7" t="s">
        <v>368</v>
      </c>
      <c r="G43" s="7" t="s">
        <v>321</v>
      </c>
      <c r="H43" s="7">
        <v>0.84</v>
      </c>
      <c r="I43" s="7">
        <v>0.84</v>
      </c>
      <c r="J43" s="7">
        <v>0.84</v>
      </c>
      <c r="K43" s="7"/>
      <c r="L43" s="7" t="s">
        <v>78</v>
      </c>
      <c r="M43" s="7"/>
      <c r="N43" s="7" t="s">
        <v>314</v>
      </c>
      <c r="O43" s="7" t="s">
        <v>26</v>
      </c>
      <c r="P43" s="7"/>
    </row>
    <row r="44" spans="1:16" ht="32" customHeight="1" x14ac:dyDescent="0.2">
      <c r="A44" s="7" t="s">
        <v>158</v>
      </c>
      <c r="B44" s="7" t="s">
        <v>32</v>
      </c>
      <c r="C44" s="7" t="s">
        <v>369</v>
      </c>
      <c r="D44" s="7"/>
      <c r="E44" s="7" t="s">
        <v>311</v>
      </c>
      <c r="F44" s="7" t="s">
        <v>370</v>
      </c>
      <c r="G44" s="7" t="s">
        <v>321</v>
      </c>
      <c r="H44" s="7">
        <v>0.16</v>
      </c>
      <c r="I44" s="7">
        <v>0.16</v>
      </c>
      <c r="J44" s="7">
        <v>0.16</v>
      </c>
      <c r="K44" s="7"/>
      <c r="L44" s="7" t="s">
        <v>78</v>
      </c>
      <c r="M44" s="7"/>
      <c r="N44" s="7" t="s">
        <v>314</v>
      </c>
      <c r="O44" s="7" t="s">
        <v>26</v>
      </c>
      <c r="P44" s="7"/>
    </row>
    <row r="45" spans="1:16" ht="32" customHeight="1" x14ac:dyDescent="0.2">
      <c r="A45" s="7" t="s">
        <v>158</v>
      </c>
      <c r="B45" s="7" t="s">
        <v>64</v>
      </c>
      <c r="C45" s="7" t="s">
        <v>20</v>
      </c>
      <c r="D45" s="7"/>
      <c r="E45" s="7" t="s">
        <v>316</v>
      </c>
      <c r="F45" s="7" t="s">
        <v>317</v>
      </c>
      <c r="G45" s="7" t="s">
        <v>67</v>
      </c>
      <c r="H45" s="7">
        <v>75</v>
      </c>
      <c r="I45" s="7">
        <v>60</v>
      </c>
      <c r="J45" s="7">
        <v>90</v>
      </c>
      <c r="K45" s="7"/>
      <c r="L45" s="7" t="s">
        <v>24</v>
      </c>
      <c r="M45" s="7"/>
      <c r="N45" s="7" t="s">
        <v>318</v>
      </c>
      <c r="O45" s="7" t="s">
        <v>26</v>
      </c>
      <c r="P45" s="7"/>
    </row>
    <row r="46" spans="1:16" ht="32" customHeight="1" x14ac:dyDescent="0.2">
      <c r="A46" s="7" t="s">
        <v>158</v>
      </c>
      <c r="B46" s="7" t="s">
        <v>73</v>
      </c>
      <c r="C46" s="7" t="s">
        <v>371</v>
      </c>
      <c r="D46" s="7" t="s">
        <v>367</v>
      </c>
      <c r="E46" s="7" t="s">
        <v>311</v>
      </c>
      <c r="F46" s="7" t="s">
        <v>372</v>
      </c>
      <c r="G46" s="7" t="s">
        <v>321</v>
      </c>
      <c r="H46" s="7">
        <v>0.42</v>
      </c>
      <c r="I46" s="7">
        <v>0.33600000000000002</v>
      </c>
      <c r="J46" s="7">
        <v>0.504</v>
      </c>
      <c r="K46" s="7"/>
      <c r="L46" s="7" t="s">
        <v>24</v>
      </c>
      <c r="M46" s="7"/>
      <c r="N46" s="7" t="s">
        <v>322</v>
      </c>
      <c r="O46" s="7" t="s">
        <v>26</v>
      </c>
      <c r="P46" s="7"/>
    </row>
    <row r="47" spans="1:16" ht="16" customHeight="1" x14ac:dyDescent="0.2">
      <c r="A47" s="7" t="s">
        <v>158</v>
      </c>
      <c r="B47" s="7" t="s">
        <v>73</v>
      </c>
      <c r="C47" s="7" t="s">
        <v>355</v>
      </c>
      <c r="D47" s="7" t="s">
        <v>367</v>
      </c>
      <c r="E47" s="7" t="s">
        <v>311</v>
      </c>
      <c r="F47" s="7" t="s">
        <v>373</v>
      </c>
      <c r="G47" s="7" t="s">
        <v>321</v>
      </c>
      <c r="H47" s="7">
        <v>0.42</v>
      </c>
      <c r="I47" s="7">
        <v>0.33600000000000002</v>
      </c>
      <c r="J47" s="7">
        <v>0.504</v>
      </c>
      <c r="K47" s="7"/>
      <c r="L47" s="7" t="s">
        <v>24</v>
      </c>
      <c r="M47" s="7"/>
      <c r="N47" s="7" t="s">
        <v>322</v>
      </c>
      <c r="O47" s="7" t="s">
        <v>26</v>
      </c>
      <c r="P47" s="7"/>
    </row>
    <row r="48" spans="1:16" x14ac:dyDescent="0.2">
      <c r="A48" s="7" t="s">
        <v>158</v>
      </c>
      <c r="B48" s="7" t="s">
        <v>73</v>
      </c>
      <c r="C48" s="7" t="s">
        <v>355</v>
      </c>
      <c r="D48" s="7" t="s">
        <v>369</v>
      </c>
      <c r="E48" s="7" t="s">
        <v>311</v>
      </c>
      <c r="F48" s="7" t="s">
        <v>374</v>
      </c>
      <c r="G48" s="7" t="s">
        <v>321</v>
      </c>
      <c r="H48" s="7">
        <v>0.16</v>
      </c>
      <c r="I48" s="7">
        <v>0.128</v>
      </c>
      <c r="J48" s="7">
        <v>0.192</v>
      </c>
      <c r="K48" s="7"/>
      <c r="L48" s="7" t="s">
        <v>24</v>
      </c>
      <c r="M48" s="7"/>
      <c r="N48" s="7" t="s">
        <v>322</v>
      </c>
      <c r="O48" s="7" t="s">
        <v>26</v>
      </c>
      <c r="P48" s="7"/>
    </row>
    <row r="49" spans="1:16" x14ac:dyDescent="0.2">
      <c r="A49" s="7" t="s">
        <v>158</v>
      </c>
      <c r="B49" s="7" t="s">
        <v>88</v>
      </c>
      <c r="C49" s="7" t="s">
        <v>20</v>
      </c>
      <c r="D49" s="7"/>
      <c r="E49" s="7" t="s">
        <v>87</v>
      </c>
      <c r="F49" s="7" t="s">
        <v>327</v>
      </c>
      <c r="G49" s="7" t="s">
        <v>90</v>
      </c>
      <c r="H49" s="7" t="s">
        <v>91</v>
      </c>
      <c r="I49" s="7"/>
      <c r="J49" s="7"/>
      <c r="K49" s="7"/>
      <c r="L49" s="7" t="s">
        <v>60</v>
      </c>
      <c r="M49" s="7"/>
      <c r="N49" s="7"/>
      <c r="O49" s="7" t="s">
        <v>26</v>
      </c>
      <c r="P49" s="7"/>
    </row>
    <row r="50" spans="1:16" x14ac:dyDescent="0.2">
      <c r="A50" s="7" t="s">
        <v>164</v>
      </c>
      <c r="B50" s="7" t="s">
        <v>19</v>
      </c>
      <c r="C50" s="7" t="s">
        <v>20</v>
      </c>
      <c r="D50" s="7"/>
      <c r="E50" s="7" t="s">
        <v>301</v>
      </c>
      <c r="F50" s="7" t="s">
        <v>375</v>
      </c>
      <c r="G50" s="7" t="s">
        <v>303</v>
      </c>
      <c r="H50" s="7">
        <v>0.3</v>
      </c>
      <c r="I50" s="7">
        <v>0.24</v>
      </c>
      <c r="J50" s="7">
        <v>0.36</v>
      </c>
      <c r="K50" s="7"/>
      <c r="L50" s="7" t="s">
        <v>24</v>
      </c>
      <c r="M50" s="7"/>
      <c r="N50" s="7" t="s">
        <v>25</v>
      </c>
      <c r="O50" s="7" t="s">
        <v>26</v>
      </c>
      <c r="P50" s="7"/>
    </row>
    <row r="51" spans="1:16" x14ac:dyDescent="0.2">
      <c r="A51" s="7" t="s">
        <v>164</v>
      </c>
      <c r="B51" s="7" t="s">
        <v>32</v>
      </c>
      <c r="C51" s="7" t="s">
        <v>376</v>
      </c>
      <c r="D51" s="7"/>
      <c r="E51" s="7" t="s">
        <v>311</v>
      </c>
      <c r="F51" s="7" t="s">
        <v>377</v>
      </c>
      <c r="G51" s="7" t="s">
        <v>321</v>
      </c>
      <c r="H51" s="7">
        <v>1</v>
      </c>
      <c r="I51" s="7">
        <v>1</v>
      </c>
      <c r="J51" s="7">
        <v>1</v>
      </c>
      <c r="K51" s="7"/>
      <c r="L51" s="7" t="s">
        <v>78</v>
      </c>
      <c r="M51" s="7"/>
      <c r="N51" s="7" t="s">
        <v>314</v>
      </c>
      <c r="O51" s="7" t="s">
        <v>26</v>
      </c>
      <c r="P51" s="7"/>
    </row>
    <row r="52" spans="1:16" x14ac:dyDescent="0.2">
      <c r="A52" s="7" t="s">
        <v>164</v>
      </c>
      <c r="B52" s="7" t="s">
        <v>32</v>
      </c>
      <c r="C52" s="7" t="s">
        <v>378</v>
      </c>
      <c r="D52" s="7"/>
      <c r="E52" s="7" t="s">
        <v>311</v>
      </c>
      <c r="F52" s="7" t="s">
        <v>379</v>
      </c>
      <c r="G52" s="7" t="s">
        <v>321</v>
      </c>
      <c r="H52" s="7">
        <v>1</v>
      </c>
      <c r="I52" s="7">
        <v>1</v>
      </c>
      <c r="J52" s="7">
        <v>1</v>
      </c>
      <c r="K52" s="7"/>
      <c r="L52" s="7" t="s">
        <v>78</v>
      </c>
      <c r="M52" s="7"/>
      <c r="N52" s="7" t="s">
        <v>314</v>
      </c>
      <c r="O52" s="7" t="s">
        <v>26</v>
      </c>
      <c r="P52" s="7"/>
    </row>
    <row r="53" spans="1:16" x14ac:dyDescent="0.2">
      <c r="A53" s="7" t="s">
        <v>164</v>
      </c>
      <c r="B53" s="7" t="s">
        <v>64</v>
      </c>
      <c r="C53" s="7" t="s">
        <v>20</v>
      </c>
      <c r="D53" s="7"/>
      <c r="E53" s="7" t="s">
        <v>316</v>
      </c>
      <c r="F53" s="7" t="s">
        <v>317</v>
      </c>
      <c r="G53" s="7" t="s">
        <v>67</v>
      </c>
      <c r="H53" s="7">
        <v>20</v>
      </c>
      <c r="I53" s="7">
        <v>16</v>
      </c>
      <c r="J53" s="7">
        <v>24</v>
      </c>
      <c r="K53" s="7"/>
      <c r="L53" s="7" t="s">
        <v>24</v>
      </c>
      <c r="M53" s="7"/>
      <c r="N53" s="7" t="s">
        <v>318</v>
      </c>
      <c r="O53" s="7" t="s">
        <v>26</v>
      </c>
      <c r="P53" s="7"/>
    </row>
    <row r="54" spans="1:16" x14ac:dyDescent="0.2">
      <c r="A54" s="7" t="s">
        <v>164</v>
      </c>
      <c r="B54" s="7" t="s">
        <v>73</v>
      </c>
      <c r="C54" s="7" t="s">
        <v>380</v>
      </c>
      <c r="D54" s="7" t="s">
        <v>376</v>
      </c>
      <c r="E54" s="7" t="s">
        <v>311</v>
      </c>
      <c r="F54" s="7" t="s">
        <v>381</v>
      </c>
      <c r="G54" s="7" t="s">
        <v>321</v>
      </c>
      <c r="H54" s="7">
        <v>0.7</v>
      </c>
      <c r="I54" s="7">
        <v>0.56000000000000005</v>
      </c>
      <c r="J54" s="7">
        <v>0.84</v>
      </c>
      <c r="K54" s="7"/>
      <c r="L54" s="7" t="s">
        <v>24</v>
      </c>
      <c r="M54" s="7"/>
      <c r="N54" s="7" t="s">
        <v>322</v>
      </c>
      <c r="O54" s="7" t="s">
        <v>26</v>
      </c>
      <c r="P54" s="7"/>
    </row>
    <row r="55" spans="1:16" x14ac:dyDescent="0.2">
      <c r="A55" s="7" t="s">
        <v>164</v>
      </c>
      <c r="B55" s="7" t="s">
        <v>73</v>
      </c>
      <c r="C55" s="7" t="s">
        <v>357</v>
      </c>
      <c r="D55" s="7" t="s">
        <v>376</v>
      </c>
      <c r="E55" s="7" t="s">
        <v>311</v>
      </c>
      <c r="F55" s="7" t="s">
        <v>382</v>
      </c>
      <c r="G55" s="7" t="s">
        <v>321</v>
      </c>
      <c r="H55" s="7">
        <v>0.3</v>
      </c>
      <c r="I55" s="7">
        <v>0.24</v>
      </c>
      <c r="J55" s="7">
        <v>0.36</v>
      </c>
      <c r="K55" s="7"/>
      <c r="L55" s="7" t="s">
        <v>24</v>
      </c>
      <c r="M55" s="7"/>
      <c r="N55" s="7" t="s">
        <v>322</v>
      </c>
      <c r="O55" s="7" t="s">
        <v>26</v>
      </c>
      <c r="P55" s="7"/>
    </row>
    <row r="56" spans="1:16" x14ac:dyDescent="0.2">
      <c r="A56" s="7" t="s">
        <v>164</v>
      </c>
      <c r="B56" s="7" t="s">
        <v>88</v>
      </c>
      <c r="C56" s="7" t="s">
        <v>20</v>
      </c>
      <c r="D56" s="7"/>
      <c r="E56" s="7" t="s">
        <v>87</v>
      </c>
      <c r="F56" s="7" t="s">
        <v>327</v>
      </c>
      <c r="G56" s="7" t="s">
        <v>90</v>
      </c>
      <c r="H56" s="7" t="s">
        <v>91</v>
      </c>
      <c r="I56" s="7"/>
      <c r="J56" s="7"/>
      <c r="K56" s="7"/>
      <c r="L56" s="7" t="s">
        <v>60</v>
      </c>
      <c r="M56" s="7"/>
      <c r="N56" s="7"/>
      <c r="O56" s="7" t="s">
        <v>26</v>
      </c>
      <c r="P56" s="7"/>
    </row>
  </sheetData>
  <conditionalFormatting sqref="H2:H247">
    <cfRule type="expression" dxfId="2" priority="1">
      <formula>AND($E2&lt;&gt;"",$H2="")</formula>
    </cfRule>
  </conditionalFormatting>
  <conditionalFormatting sqref="H2:O247">
    <cfRule type="expression" dxfId="1" priority="2">
      <formula>$O2="placeholder"</formula>
    </cfRule>
  </conditionalFormatting>
  <conditionalFormatting sqref="I2:J247">
    <cfRule type="expression" dxfId="0" priority="3">
      <formula>AND(OR($L2="triangular",$L2="uniform"),OR($I2="",$J2=""))</formula>
    </cfRule>
  </conditionalFormatting>
  <dataValidations count="3">
    <dataValidation type="list" allowBlank="1" sqref="B2:B247" xr:uid="{00000000-0002-0000-0900-000000000000}">
      <formula1>"product size,production,repair,use,end-of-life,general"</formula1>
    </dataValidation>
    <dataValidation type="list" allowBlank="1" sqref="L2:L247" xr:uid="{00000000-0002-0000-0900-000001000000}">
      <formula1>"fixed,triangular,uniform,choice"</formula1>
    </dataValidation>
    <dataValidation type="list" allowBlank="1" sqref="O2:O247" xr:uid="{00000000-0002-0000-0900-000002000000}">
      <formula1>"placeholder,partner estimate,measured,literature"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FC5E8"/>
  </sheetPr>
  <dimension ref="A1:I56"/>
  <sheetViews>
    <sheetView workbookViewId="0">
      <pane ySplit="1" topLeftCell="A25" activePane="bottomLeft" state="frozen"/>
      <selection pane="bottomLeft" activeCell="A53" sqref="A53"/>
    </sheetView>
  </sheetViews>
  <sheetFormatPr baseColWidth="10" defaultColWidth="8.83203125" defaultRowHeight="15" x14ac:dyDescent="0.2"/>
  <cols>
    <col min="1" max="1" width="45" customWidth="1"/>
    <col min="2" max="2" width="8" customWidth="1"/>
    <col min="3" max="3" width="17" customWidth="1"/>
    <col min="4" max="4" width="45" customWidth="1"/>
    <col min="5" max="5" width="32" customWidth="1"/>
    <col min="6" max="6" width="45" customWidth="1"/>
    <col min="7" max="7" width="25" customWidth="1"/>
    <col min="8" max="8" width="45" customWidth="1"/>
    <col min="9" max="9" width="14" customWidth="1"/>
  </cols>
  <sheetData>
    <row r="1" spans="1:9" x14ac:dyDescent="0.2">
      <c r="A1" s="11" t="s">
        <v>390</v>
      </c>
      <c r="B1" s="11" t="s">
        <v>7</v>
      </c>
      <c r="C1" s="11" t="s">
        <v>435</v>
      </c>
      <c r="D1" s="11" t="s">
        <v>436</v>
      </c>
      <c r="E1" s="11" t="s">
        <v>437</v>
      </c>
      <c r="F1" s="11" t="s">
        <v>438</v>
      </c>
      <c r="G1" s="11" t="s">
        <v>439</v>
      </c>
      <c r="H1" s="11" t="s">
        <v>16</v>
      </c>
      <c r="I1" s="11" t="s">
        <v>440</v>
      </c>
    </row>
    <row r="2" spans="1:9" x14ac:dyDescent="0.2">
      <c r="A2" s="12" t="s">
        <v>441</v>
      </c>
      <c r="B2" s="12"/>
      <c r="C2" s="12"/>
      <c r="D2" s="12"/>
      <c r="E2" s="12"/>
      <c r="F2" s="12"/>
      <c r="G2" s="12"/>
      <c r="H2" s="12"/>
      <c r="I2" s="12"/>
    </row>
    <row r="3" spans="1:9" x14ac:dyDescent="0.2">
      <c r="A3" s="12" t="s">
        <v>442</v>
      </c>
      <c r="B3" s="12" t="s">
        <v>44</v>
      </c>
      <c r="C3" s="12" t="s">
        <v>59</v>
      </c>
      <c r="D3" s="12" t="s">
        <v>443</v>
      </c>
      <c r="E3" s="12" t="s">
        <v>444</v>
      </c>
      <c r="F3" s="12" t="s">
        <v>445</v>
      </c>
      <c r="G3" s="12"/>
      <c r="H3" s="12"/>
      <c r="I3" s="12"/>
    </row>
    <row r="4" spans="1:9" x14ac:dyDescent="0.2">
      <c r="A4" s="12" t="s">
        <v>446</v>
      </c>
      <c r="B4" s="12" t="s">
        <v>44</v>
      </c>
      <c r="C4" s="12" t="s">
        <v>59</v>
      </c>
      <c r="D4" s="12" t="s">
        <v>447</v>
      </c>
      <c r="E4" s="12" t="s">
        <v>444</v>
      </c>
      <c r="F4" s="12" t="s">
        <v>448</v>
      </c>
      <c r="G4" s="12"/>
      <c r="H4" s="12"/>
      <c r="I4" s="12"/>
    </row>
    <row r="5" spans="1:9" x14ac:dyDescent="0.2">
      <c r="A5" s="12" t="s">
        <v>287</v>
      </c>
      <c r="B5" s="12" t="s">
        <v>44</v>
      </c>
      <c r="C5" s="12" t="s">
        <v>59</v>
      </c>
      <c r="D5" s="12" t="s">
        <v>449</v>
      </c>
      <c r="E5" s="12" t="s">
        <v>450</v>
      </c>
      <c r="F5" s="12" t="s">
        <v>451</v>
      </c>
      <c r="G5" s="12"/>
      <c r="H5" s="12"/>
      <c r="I5" s="12"/>
    </row>
    <row r="6" spans="1:9" x14ac:dyDescent="0.2">
      <c r="A6" s="12" t="s">
        <v>33</v>
      </c>
      <c r="B6" s="12" t="s">
        <v>44</v>
      </c>
      <c r="C6" s="12" t="s">
        <v>59</v>
      </c>
      <c r="D6" s="12" t="s">
        <v>452</v>
      </c>
      <c r="E6" s="12" t="s">
        <v>453</v>
      </c>
      <c r="F6" s="12" t="s">
        <v>454</v>
      </c>
      <c r="G6" s="12"/>
      <c r="H6" s="12"/>
      <c r="I6" s="12"/>
    </row>
    <row r="7" spans="1:9" x14ac:dyDescent="0.2">
      <c r="A7" s="12" t="s">
        <v>455</v>
      </c>
      <c r="B7" s="12" t="s">
        <v>44</v>
      </c>
      <c r="C7" s="12" t="s">
        <v>59</v>
      </c>
      <c r="D7" s="12" t="s">
        <v>456</v>
      </c>
      <c r="E7" s="12" t="s">
        <v>453</v>
      </c>
      <c r="F7" s="12" t="s">
        <v>457</v>
      </c>
      <c r="G7" s="12"/>
      <c r="H7" s="12"/>
      <c r="I7" s="12"/>
    </row>
    <row r="8" spans="1:9" x14ac:dyDescent="0.2">
      <c r="A8" s="12" t="s">
        <v>277</v>
      </c>
      <c r="B8" s="12" t="s">
        <v>44</v>
      </c>
      <c r="C8" s="12" t="s">
        <v>59</v>
      </c>
      <c r="D8" s="12"/>
      <c r="E8" s="12" t="s">
        <v>458</v>
      </c>
      <c r="F8" s="12"/>
      <c r="G8" s="12" t="s">
        <v>459</v>
      </c>
      <c r="H8" s="12"/>
      <c r="I8" s="12"/>
    </row>
    <row r="9" spans="1:9" x14ac:dyDescent="0.2">
      <c r="A9" s="12" t="s">
        <v>460</v>
      </c>
      <c r="B9" s="12" t="s">
        <v>44</v>
      </c>
      <c r="C9" s="12" t="s">
        <v>280</v>
      </c>
      <c r="D9" s="12" t="s">
        <v>449</v>
      </c>
      <c r="E9" s="12" t="s">
        <v>450</v>
      </c>
      <c r="F9" s="12" t="s">
        <v>461</v>
      </c>
      <c r="G9" s="12"/>
      <c r="H9" s="12"/>
      <c r="I9" s="12"/>
    </row>
    <row r="10" spans="1:9" x14ac:dyDescent="0.2">
      <c r="A10" s="12" t="s">
        <v>462</v>
      </c>
      <c r="B10" s="12" t="s">
        <v>44</v>
      </c>
      <c r="C10" s="12" t="s">
        <v>280</v>
      </c>
      <c r="D10" s="12" t="s">
        <v>463</v>
      </c>
      <c r="E10" s="12" t="s">
        <v>464</v>
      </c>
      <c r="F10" s="12" t="s">
        <v>465</v>
      </c>
      <c r="G10" s="12"/>
      <c r="H10" s="12"/>
      <c r="I10" s="12"/>
    </row>
    <row r="11" spans="1:9" x14ac:dyDescent="0.2">
      <c r="A11" s="12" t="s">
        <v>279</v>
      </c>
      <c r="B11" s="12" t="s">
        <v>44</v>
      </c>
      <c r="C11" s="12" t="s">
        <v>280</v>
      </c>
      <c r="D11" s="12" t="s">
        <v>466</v>
      </c>
      <c r="E11" s="12" t="s">
        <v>464</v>
      </c>
      <c r="F11" s="12" t="s">
        <v>467</v>
      </c>
      <c r="G11" s="12"/>
      <c r="H11" s="12"/>
      <c r="I11" s="12"/>
    </row>
    <row r="12" spans="1:9" x14ac:dyDescent="0.2">
      <c r="A12" s="12" t="s">
        <v>468</v>
      </c>
      <c r="B12" s="12" t="s">
        <v>44</v>
      </c>
      <c r="C12" s="12" t="s">
        <v>280</v>
      </c>
      <c r="D12" s="12"/>
      <c r="E12" s="12" t="s">
        <v>458</v>
      </c>
      <c r="F12" s="12"/>
      <c r="G12" s="12" t="s">
        <v>469</v>
      </c>
      <c r="H12" s="12" t="s">
        <v>470</v>
      </c>
      <c r="I12" s="12"/>
    </row>
    <row r="13" spans="1:9" x14ac:dyDescent="0.2">
      <c r="A13" s="12" t="s">
        <v>442</v>
      </c>
      <c r="B13" s="12" t="s">
        <v>44</v>
      </c>
      <c r="C13" s="12" t="s">
        <v>34</v>
      </c>
      <c r="D13" s="12"/>
      <c r="E13" s="12" t="s">
        <v>458</v>
      </c>
      <c r="F13" s="12"/>
      <c r="G13" s="12" t="s">
        <v>469</v>
      </c>
      <c r="H13" s="12" t="s">
        <v>470</v>
      </c>
      <c r="I13" s="12"/>
    </row>
    <row r="14" spans="1:9" x14ac:dyDescent="0.2">
      <c r="A14" s="12" t="s">
        <v>446</v>
      </c>
      <c r="B14" s="12" t="s">
        <v>44</v>
      </c>
      <c r="C14" s="12" t="s">
        <v>34</v>
      </c>
      <c r="D14" s="12" t="s">
        <v>471</v>
      </c>
      <c r="E14" s="12" t="s">
        <v>472</v>
      </c>
      <c r="F14" s="12" t="s">
        <v>473</v>
      </c>
      <c r="G14" s="12"/>
      <c r="H14" s="12"/>
      <c r="I14" s="12"/>
    </row>
    <row r="15" spans="1:9" x14ac:dyDescent="0.2">
      <c r="A15" s="12" t="s">
        <v>33</v>
      </c>
      <c r="B15" s="12" t="s">
        <v>44</v>
      </c>
      <c r="C15" s="12" t="s">
        <v>34</v>
      </c>
      <c r="D15" s="12" t="s">
        <v>474</v>
      </c>
      <c r="E15" s="12" t="s">
        <v>458</v>
      </c>
      <c r="F15" s="12" t="s">
        <v>475</v>
      </c>
      <c r="G15" s="12"/>
      <c r="H15" s="12"/>
      <c r="I15" s="12"/>
    </row>
    <row r="16" spans="1:9" x14ac:dyDescent="0.2">
      <c r="A16" s="12" t="s">
        <v>455</v>
      </c>
      <c r="B16" s="12" t="s">
        <v>44</v>
      </c>
      <c r="C16" s="12" t="s">
        <v>34</v>
      </c>
      <c r="D16" s="12" t="s">
        <v>474</v>
      </c>
      <c r="E16" s="12" t="s">
        <v>458</v>
      </c>
      <c r="F16" s="12" t="s">
        <v>475</v>
      </c>
      <c r="G16" s="12"/>
      <c r="H16" s="12"/>
      <c r="I16" s="12"/>
    </row>
    <row r="17" spans="1:9" x14ac:dyDescent="0.2">
      <c r="A17" s="12" t="s">
        <v>282</v>
      </c>
      <c r="B17" s="12" t="s">
        <v>44</v>
      </c>
      <c r="C17" s="12" t="s">
        <v>283</v>
      </c>
      <c r="D17" s="12"/>
      <c r="E17" s="12"/>
      <c r="F17" s="12"/>
      <c r="G17" s="12" t="s">
        <v>469</v>
      </c>
      <c r="H17" s="12" t="s">
        <v>470</v>
      </c>
      <c r="I17" s="12"/>
    </row>
    <row r="18" spans="1:9" x14ac:dyDescent="0.2">
      <c r="A18" s="12" t="s">
        <v>476</v>
      </c>
      <c r="B18" s="12"/>
      <c r="C18" s="12"/>
      <c r="D18" s="12"/>
      <c r="E18" s="12"/>
      <c r="F18" s="12"/>
      <c r="G18" s="12"/>
      <c r="H18" s="12"/>
      <c r="I18" s="12"/>
    </row>
    <row r="19" spans="1:9" x14ac:dyDescent="0.2">
      <c r="A19" s="12" t="s">
        <v>310</v>
      </c>
      <c r="B19" s="12" t="s">
        <v>477</v>
      </c>
      <c r="C19" s="12"/>
      <c r="D19" s="12" t="s">
        <v>478</v>
      </c>
      <c r="E19" s="12" t="s">
        <v>479</v>
      </c>
      <c r="F19" s="12" t="s">
        <v>480</v>
      </c>
      <c r="G19" s="12"/>
      <c r="H19" s="12"/>
      <c r="I19" s="12"/>
    </row>
    <row r="20" spans="1:9" x14ac:dyDescent="0.2">
      <c r="A20" s="12" t="s">
        <v>332</v>
      </c>
      <c r="B20" s="12" t="s">
        <v>44</v>
      </c>
      <c r="C20" s="12"/>
      <c r="D20" s="12" t="s">
        <v>481</v>
      </c>
      <c r="E20" s="12" t="s">
        <v>472</v>
      </c>
      <c r="F20" s="12" t="s">
        <v>482</v>
      </c>
      <c r="G20" s="12"/>
      <c r="H20" s="12"/>
      <c r="I20" s="12"/>
    </row>
    <row r="21" spans="1:9" x14ac:dyDescent="0.2">
      <c r="A21" s="12" t="s">
        <v>334</v>
      </c>
      <c r="B21" s="12" t="s">
        <v>44</v>
      </c>
      <c r="C21" s="12"/>
      <c r="D21" s="12" t="s">
        <v>483</v>
      </c>
      <c r="E21" s="12" t="s">
        <v>453</v>
      </c>
      <c r="F21" s="12" t="s">
        <v>484</v>
      </c>
      <c r="G21" s="12"/>
      <c r="H21" s="12"/>
      <c r="I21" s="12"/>
    </row>
    <row r="22" spans="1:9" x14ac:dyDescent="0.2">
      <c r="A22" s="12" t="s">
        <v>336</v>
      </c>
      <c r="B22" s="12" t="s">
        <v>44</v>
      </c>
      <c r="C22" s="12"/>
      <c r="D22" s="12" t="s">
        <v>485</v>
      </c>
      <c r="E22" s="12" t="s">
        <v>458</v>
      </c>
      <c r="F22" s="12" t="s">
        <v>486</v>
      </c>
      <c r="G22" s="12"/>
      <c r="H22" s="12"/>
      <c r="I22" s="12"/>
    </row>
    <row r="23" spans="1:9" x14ac:dyDescent="0.2">
      <c r="A23" s="12" t="s">
        <v>352</v>
      </c>
      <c r="B23" s="12" t="s">
        <v>44</v>
      </c>
      <c r="C23" s="12"/>
      <c r="D23" s="12" t="s">
        <v>487</v>
      </c>
      <c r="E23" s="12" t="s">
        <v>453</v>
      </c>
      <c r="F23" s="12" t="s">
        <v>352</v>
      </c>
      <c r="G23" s="12"/>
      <c r="H23" s="12" t="s">
        <v>488</v>
      </c>
      <c r="I23" s="12"/>
    </row>
    <row r="24" spans="1:9" x14ac:dyDescent="0.2">
      <c r="A24" s="12" t="s">
        <v>360</v>
      </c>
      <c r="B24" s="12" t="s">
        <v>44</v>
      </c>
      <c r="C24" s="12"/>
      <c r="D24" s="12" t="s">
        <v>489</v>
      </c>
      <c r="E24" s="12" t="s">
        <v>472</v>
      </c>
      <c r="F24" s="12" t="s">
        <v>360</v>
      </c>
      <c r="G24" s="12"/>
      <c r="H24" s="12"/>
      <c r="I24" s="12"/>
    </row>
    <row r="25" spans="1:9" x14ac:dyDescent="0.2">
      <c r="A25" s="12" t="s">
        <v>367</v>
      </c>
      <c r="B25" s="12" t="s">
        <v>44</v>
      </c>
      <c r="C25" s="12"/>
      <c r="D25" s="12" t="s">
        <v>490</v>
      </c>
      <c r="E25" s="12" t="s">
        <v>472</v>
      </c>
      <c r="F25" s="12" t="s">
        <v>367</v>
      </c>
      <c r="G25" s="12"/>
      <c r="H25" s="12"/>
      <c r="I25" s="12"/>
    </row>
    <row r="26" spans="1:9" x14ac:dyDescent="0.2">
      <c r="A26" s="12" t="s">
        <v>369</v>
      </c>
      <c r="B26" s="12" t="s">
        <v>44</v>
      </c>
      <c r="C26" s="12"/>
      <c r="D26" s="12" t="s">
        <v>491</v>
      </c>
      <c r="E26" s="12" t="s">
        <v>453</v>
      </c>
      <c r="F26" s="12" t="s">
        <v>369</v>
      </c>
      <c r="G26" s="12"/>
      <c r="H26" s="12"/>
      <c r="I26" s="12"/>
    </row>
    <row r="27" spans="1:9" x14ac:dyDescent="0.2">
      <c r="A27" s="12" t="s">
        <v>376</v>
      </c>
      <c r="B27" s="12" t="s">
        <v>44</v>
      </c>
      <c r="C27" s="12"/>
      <c r="D27" s="12" t="s">
        <v>492</v>
      </c>
      <c r="E27" s="12" t="s">
        <v>453</v>
      </c>
      <c r="F27" s="12" t="s">
        <v>493</v>
      </c>
      <c r="G27" s="12"/>
      <c r="H27" s="12"/>
      <c r="I27" s="12"/>
    </row>
    <row r="28" spans="1:9" x14ac:dyDescent="0.2">
      <c r="A28" s="12" t="s">
        <v>378</v>
      </c>
      <c r="B28" s="12" t="s">
        <v>44</v>
      </c>
      <c r="C28" s="12"/>
      <c r="D28" s="12" t="s">
        <v>494</v>
      </c>
      <c r="E28" s="12" t="s">
        <v>453</v>
      </c>
      <c r="F28" s="12" t="s">
        <v>495</v>
      </c>
      <c r="G28" s="12"/>
      <c r="H28" s="12"/>
      <c r="I28" s="12"/>
    </row>
    <row r="29" spans="1:9" x14ac:dyDescent="0.2">
      <c r="A29" s="12" t="s">
        <v>496</v>
      </c>
      <c r="B29" s="12"/>
      <c r="C29" s="12"/>
      <c r="D29" s="12"/>
      <c r="E29" s="12"/>
      <c r="F29" s="12"/>
      <c r="G29" s="12"/>
      <c r="H29" s="12"/>
      <c r="I29" s="12"/>
    </row>
    <row r="30" spans="1:9" x14ac:dyDescent="0.2">
      <c r="A30" s="12" t="s">
        <v>497</v>
      </c>
      <c r="B30" s="12" t="s">
        <v>44</v>
      </c>
      <c r="C30" s="12" t="s">
        <v>59</v>
      </c>
      <c r="D30" s="12" t="s">
        <v>498</v>
      </c>
      <c r="E30" s="12" t="s">
        <v>453</v>
      </c>
      <c r="F30" s="12" t="s">
        <v>499</v>
      </c>
      <c r="G30" s="12"/>
      <c r="H30" s="12"/>
      <c r="I30" s="12"/>
    </row>
    <row r="31" spans="1:9" x14ac:dyDescent="0.2">
      <c r="A31" s="12" t="s">
        <v>500</v>
      </c>
      <c r="B31" s="12" t="s">
        <v>44</v>
      </c>
      <c r="C31" s="12" t="s">
        <v>59</v>
      </c>
      <c r="D31" s="12" t="s">
        <v>501</v>
      </c>
      <c r="E31" s="12" t="s">
        <v>453</v>
      </c>
      <c r="F31" s="12" t="s">
        <v>502</v>
      </c>
      <c r="G31" s="12"/>
      <c r="H31" s="12" t="s">
        <v>503</v>
      </c>
      <c r="I31" s="12"/>
    </row>
    <row r="32" spans="1:9" x14ac:dyDescent="0.2">
      <c r="A32" s="12" t="s">
        <v>298</v>
      </c>
      <c r="B32" s="12" t="s">
        <v>44</v>
      </c>
      <c r="C32" s="12" t="s">
        <v>59</v>
      </c>
      <c r="D32" s="12" t="s">
        <v>504</v>
      </c>
      <c r="E32" s="12" t="s">
        <v>458</v>
      </c>
      <c r="F32" s="12" t="s">
        <v>505</v>
      </c>
      <c r="G32" s="12"/>
      <c r="H32" s="12" t="s">
        <v>506</v>
      </c>
      <c r="I32" s="12"/>
    </row>
    <row r="33" spans="1:9" x14ac:dyDescent="0.2">
      <c r="A33" s="12" t="s">
        <v>507</v>
      </c>
      <c r="B33" s="12" t="s">
        <v>44</v>
      </c>
      <c r="C33" s="12" t="s">
        <v>59</v>
      </c>
      <c r="D33" s="12" t="s">
        <v>508</v>
      </c>
      <c r="E33" s="12" t="s">
        <v>464</v>
      </c>
      <c r="F33" s="12" t="s">
        <v>509</v>
      </c>
      <c r="G33" s="12"/>
      <c r="H33" s="12"/>
      <c r="I33" s="12"/>
    </row>
    <row r="34" spans="1:9" x14ac:dyDescent="0.2">
      <c r="A34" s="12" t="s">
        <v>510</v>
      </c>
      <c r="B34" s="12" t="s">
        <v>44</v>
      </c>
      <c r="C34" s="12" t="s">
        <v>59</v>
      </c>
      <c r="D34" s="12" t="s">
        <v>511</v>
      </c>
      <c r="E34" s="12" t="s">
        <v>458</v>
      </c>
      <c r="F34" s="12" t="s">
        <v>512</v>
      </c>
      <c r="G34" s="12"/>
      <c r="H34" s="12"/>
      <c r="I34" s="12"/>
    </row>
    <row r="35" spans="1:9" x14ac:dyDescent="0.2">
      <c r="A35" s="12" t="s">
        <v>513</v>
      </c>
      <c r="B35" s="12"/>
      <c r="C35" s="12"/>
      <c r="D35" s="12"/>
      <c r="E35" s="12"/>
      <c r="F35" s="12"/>
      <c r="G35" s="12"/>
      <c r="H35" s="12"/>
      <c r="I35" s="12"/>
    </row>
    <row r="36" spans="1:9" x14ac:dyDescent="0.2">
      <c r="A36" s="12" t="s">
        <v>514</v>
      </c>
      <c r="B36" s="12" t="s">
        <v>515</v>
      </c>
      <c r="C36" s="12"/>
      <c r="D36" s="12" t="s">
        <v>516</v>
      </c>
      <c r="E36" s="12" t="s">
        <v>458</v>
      </c>
      <c r="F36" s="12" t="s">
        <v>517</v>
      </c>
      <c r="G36" s="12"/>
      <c r="H36" s="12"/>
      <c r="I36" s="12"/>
    </row>
    <row r="37" spans="1:9" x14ac:dyDescent="0.2">
      <c r="A37" s="12" t="s">
        <v>518</v>
      </c>
      <c r="B37" s="12"/>
      <c r="C37" s="12"/>
      <c r="D37" s="12"/>
      <c r="E37" s="12"/>
      <c r="F37" s="12"/>
      <c r="G37" s="12"/>
      <c r="H37" s="12"/>
      <c r="I37" s="12"/>
    </row>
    <row r="38" spans="1:9" x14ac:dyDescent="0.2">
      <c r="A38" s="12" t="s">
        <v>519</v>
      </c>
      <c r="B38" s="12" t="s">
        <v>520</v>
      </c>
      <c r="C38" s="12"/>
      <c r="D38" s="12" t="s">
        <v>521</v>
      </c>
      <c r="E38" s="12" t="s">
        <v>522</v>
      </c>
      <c r="F38" s="12" t="s">
        <v>523</v>
      </c>
      <c r="G38" s="12"/>
      <c r="H38" s="12"/>
      <c r="I38" s="12"/>
    </row>
    <row r="39" spans="1:9" x14ac:dyDescent="0.2">
      <c r="A39" s="12" t="s">
        <v>524</v>
      </c>
      <c r="B39" s="12" t="s">
        <v>44</v>
      </c>
      <c r="C39" s="12" t="s">
        <v>59</v>
      </c>
      <c r="D39" s="12" t="s">
        <v>525</v>
      </c>
      <c r="E39" s="12" t="s">
        <v>458</v>
      </c>
      <c r="F39" s="12" t="s">
        <v>526</v>
      </c>
      <c r="G39" s="12"/>
      <c r="H39" s="12"/>
      <c r="I39" s="12"/>
    </row>
    <row r="40" spans="1:9" x14ac:dyDescent="0.2">
      <c r="A40" s="12" t="s">
        <v>524</v>
      </c>
      <c r="B40" s="12" t="s">
        <v>44</v>
      </c>
      <c r="C40" s="12" t="s">
        <v>34</v>
      </c>
      <c r="D40" s="12"/>
      <c r="E40" s="12" t="s">
        <v>458</v>
      </c>
      <c r="F40" s="12"/>
      <c r="G40" s="12" t="s">
        <v>469</v>
      </c>
      <c r="H40" s="12" t="s">
        <v>470</v>
      </c>
      <c r="I40" s="12"/>
    </row>
    <row r="41" spans="1:9" x14ac:dyDescent="0.2">
      <c r="A41" s="12" t="s">
        <v>527</v>
      </c>
      <c r="B41" s="12" t="s">
        <v>44</v>
      </c>
      <c r="C41" s="12"/>
      <c r="D41" s="12" t="s">
        <v>528</v>
      </c>
      <c r="E41" s="12" t="s">
        <v>472</v>
      </c>
      <c r="F41" s="12" t="s">
        <v>529</v>
      </c>
      <c r="G41" s="12"/>
      <c r="H41" s="12"/>
      <c r="I41" s="12" t="s">
        <v>530</v>
      </c>
    </row>
    <row r="42" spans="1:9" x14ac:dyDescent="0.2">
      <c r="A42" s="12" t="s">
        <v>323</v>
      </c>
      <c r="B42" s="12" t="s">
        <v>44</v>
      </c>
      <c r="C42" s="12"/>
      <c r="D42" s="12" t="s">
        <v>531</v>
      </c>
      <c r="E42" s="12" t="s">
        <v>472</v>
      </c>
      <c r="F42" s="12" t="s">
        <v>532</v>
      </c>
      <c r="G42" s="12"/>
      <c r="H42" s="12"/>
      <c r="I42" s="12" t="s">
        <v>533</v>
      </c>
    </row>
    <row r="43" spans="1:9" x14ac:dyDescent="0.2">
      <c r="A43" s="12" t="s">
        <v>319</v>
      </c>
      <c r="B43" s="12" t="s">
        <v>44</v>
      </c>
      <c r="C43" s="12"/>
      <c r="D43" s="12" t="s">
        <v>534</v>
      </c>
      <c r="E43" s="12" t="s">
        <v>453</v>
      </c>
      <c r="F43" s="12" t="s">
        <v>529</v>
      </c>
      <c r="G43" s="12"/>
      <c r="H43" s="12"/>
      <c r="I43" s="12" t="s">
        <v>535</v>
      </c>
    </row>
    <row r="44" spans="1:9" x14ac:dyDescent="0.2">
      <c r="A44" s="12" t="s">
        <v>325</v>
      </c>
      <c r="B44" s="12" t="s">
        <v>44</v>
      </c>
      <c r="C44" s="12"/>
      <c r="D44" s="12" t="s">
        <v>536</v>
      </c>
      <c r="E44" s="12" t="s">
        <v>472</v>
      </c>
      <c r="F44" s="12" t="s">
        <v>529</v>
      </c>
      <c r="G44" s="12"/>
      <c r="H44" s="12"/>
      <c r="I44" s="12" t="s">
        <v>537</v>
      </c>
    </row>
    <row r="45" spans="1:9" x14ac:dyDescent="0.2">
      <c r="A45" s="12" t="s">
        <v>538</v>
      </c>
      <c r="B45" s="12"/>
      <c r="C45" s="12"/>
      <c r="D45" s="12"/>
      <c r="E45" s="12"/>
      <c r="F45" s="12"/>
      <c r="G45" s="12"/>
      <c r="H45" s="12"/>
      <c r="I45" s="12"/>
    </row>
    <row r="46" spans="1:9" x14ac:dyDescent="0.2">
      <c r="A46" s="12" t="s">
        <v>539</v>
      </c>
      <c r="B46" s="12" t="s">
        <v>44</v>
      </c>
      <c r="C46" s="12"/>
      <c r="D46" s="12" t="s">
        <v>540</v>
      </c>
      <c r="E46" s="12" t="s">
        <v>453</v>
      </c>
      <c r="F46" s="12" t="s">
        <v>541</v>
      </c>
      <c r="G46" s="12"/>
      <c r="H46" s="12"/>
      <c r="I46" s="12"/>
    </row>
    <row r="47" spans="1:9" x14ac:dyDescent="0.2">
      <c r="A47" s="12" t="s">
        <v>542</v>
      </c>
      <c r="B47" s="12" t="s">
        <v>44</v>
      </c>
      <c r="C47" s="12"/>
      <c r="D47" s="12" t="s">
        <v>543</v>
      </c>
      <c r="E47" s="12" t="s">
        <v>458</v>
      </c>
      <c r="F47" s="12" t="s">
        <v>544</v>
      </c>
      <c r="G47" s="12"/>
      <c r="H47" s="12"/>
      <c r="I47" s="12"/>
    </row>
    <row r="48" spans="1:9" x14ac:dyDescent="0.2">
      <c r="A48" s="12" t="s">
        <v>545</v>
      </c>
      <c r="B48" s="12" t="s">
        <v>239</v>
      </c>
      <c r="C48" s="12"/>
      <c r="D48" s="12" t="s">
        <v>546</v>
      </c>
      <c r="E48" s="12" t="s">
        <v>458</v>
      </c>
      <c r="F48" s="12" t="s">
        <v>547</v>
      </c>
      <c r="G48" s="12"/>
      <c r="H48" s="12"/>
      <c r="I48" s="12"/>
    </row>
    <row r="49" spans="1:9" x14ac:dyDescent="0.2">
      <c r="A49" s="12" t="s">
        <v>548</v>
      </c>
      <c r="B49" s="12" t="s">
        <v>520</v>
      </c>
      <c r="C49" s="12"/>
      <c r="D49" s="12" t="s">
        <v>521</v>
      </c>
      <c r="E49" s="12" t="s">
        <v>522</v>
      </c>
      <c r="F49" s="12" t="s">
        <v>523</v>
      </c>
      <c r="G49" s="12"/>
      <c r="H49" s="12"/>
      <c r="I49" s="12"/>
    </row>
    <row r="50" spans="1:9" x14ac:dyDescent="0.2">
      <c r="A50" s="12" t="s">
        <v>549</v>
      </c>
      <c r="B50" s="12"/>
      <c r="C50" s="12"/>
      <c r="D50" s="12"/>
      <c r="E50" s="12"/>
      <c r="F50" s="12"/>
      <c r="G50" s="12"/>
      <c r="H50" s="12"/>
      <c r="I50" s="12"/>
    </row>
    <row r="51" spans="1:9" x14ac:dyDescent="0.2">
      <c r="A51" s="12" t="s">
        <v>355</v>
      </c>
      <c r="B51" s="12" t="s">
        <v>44</v>
      </c>
      <c r="C51" s="12"/>
      <c r="D51" s="12" t="s">
        <v>550</v>
      </c>
      <c r="E51" s="12" t="s">
        <v>479</v>
      </c>
      <c r="F51" s="12" t="s">
        <v>551</v>
      </c>
      <c r="G51" s="12"/>
      <c r="H51" s="12" t="s">
        <v>552</v>
      </c>
      <c r="I51" s="12" t="s">
        <v>537</v>
      </c>
    </row>
    <row r="52" spans="1:9" x14ac:dyDescent="0.2">
      <c r="A52" s="12" t="s">
        <v>342</v>
      </c>
      <c r="B52" s="12" t="s">
        <v>44</v>
      </c>
      <c r="C52" s="12"/>
      <c r="D52" s="12" t="s">
        <v>553</v>
      </c>
      <c r="E52" s="12" t="s">
        <v>464</v>
      </c>
      <c r="F52" s="12" t="s">
        <v>554</v>
      </c>
      <c r="G52" s="12"/>
      <c r="H52" s="12" t="s">
        <v>555</v>
      </c>
      <c r="I52" s="12" t="s">
        <v>537</v>
      </c>
    </row>
    <row r="53" spans="1:9" x14ac:dyDescent="0.2">
      <c r="A53" s="12" t="s">
        <v>339</v>
      </c>
      <c r="B53" s="12" t="s">
        <v>44</v>
      </c>
      <c r="C53" s="12"/>
      <c r="D53" s="12" t="s">
        <v>556</v>
      </c>
      <c r="E53" s="12" t="s">
        <v>464</v>
      </c>
      <c r="F53" s="12" t="s">
        <v>557</v>
      </c>
      <c r="G53" s="12"/>
      <c r="H53" s="12" t="s">
        <v>558</v>
      </c>
      <c r="I53" s="12" t="s">
        <v>533</v>
      </c>
    </row>
    <row r="54" spans="1:9" x14ac:dyDescent="0.2">
      <c r="A54" s="12" t="s">
        <v>371</v>
      </c>
      <c r="B54" s="12" t="s">
        <v>44</v>
      </c>
      <c r="C54" s="12"/>
      <c r="D54" s="12" t="s">
        <v>559</v>
      </c>
      <c r="E54" s="12" t="s">
        <v>479</v>
      </c>
      <c r="F54" s="12" t="s">
        <v>560</v>
      </c>
      <c r="G54" s="12"/>
      <c r="H54" s="12" t="s">
        <v>561</v>
      </c>
      <c r="I54" s="12" t="s">
        <v>533</v>
      </c>
    </row>
    <row r="55" spans="1:9" x14ac:dyDescent="0.2">
      <c r="A55" s="12" t="s">
        <v>380</v>
      </c>
      <c r="B55" s="12" t="s">
        <v>44</v>
      </c>
      <c r="C55" s="12"/>
      <c r="D55" s="12" t="s">
        <v>562</v>
      </c>
      <c r="E55" s="12" t="s">
        <v>479</v>
      </c>
      <c r="F55" s="12" t="s">
        <v>563</v>
      </c>
      <c r="G55" s="12"/>
      <c r="H55" s="12" t="s">
        <v>564</v>
      </c>
      <c r="I55" s="12" t="s">
        <v>535</v>
      </c>
    </row>
    <row r="56" spans="1:9" x14ac:dyDescent="0.2">
      <c r="A56" s="12" t="s">
        <v>357</v>
      </c>
      <c r="B56" s="12" t="s">
        <v>44</v>
      </c>
      <c r="C56" s="12"/>
      <c r="D56" s="12" t="s">
        <v>565</v>
      </c>
      <c r="E56" s="12" t="s">
        <v>479</v>
      </c>
      <c r="F56" s="12" t="s">
        <v>563</v>
      </c>
      <c r="G56" s="12"/>
      <c r="H56" s="12" t="s">
        <v>564</v>
      </c>
      <c r="I56" s="12" t="s">
        <v>537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3C47D"/>
  </sheetPr>
  <dimension ref="A1:L1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3" customWidth="1"/>
    <col min="2" max="2" width="20" customWidth="1"/>
    <col min="3" max="3" width="23" customWidth="1"/>
    <col min="4" max="4" width="21" customWidth="1"/>
    <col min="5" max="5" width="14" customWidth="1"/>
    <col min="6" max="6" width="27" customWidth="1"/>
    <col min="7" max="8" width="45" customWidth="1"/>
    <col min="9" max="9" width="15" customWidth="1"/>
    <col min="10" max="10" width="19" customWidth="1"/>
    <col min="11" max="11" width="11" customWidth="1"/>
    <col min="12" max="12" width="23" customWidth="1"/>
    <col min="13" max="13" width="15" customWidth="1"/>
    <col min="14" max="14" width="45" customWidth="1"/>
    <col min="15" max="15" width="24" customWidth="1"/>
    <col min="16" max="16" width="45" customWidth="1"/>
  </cols>
  <sheetData>
    <row r="1" spans="1:12" x14ac:dyDescent="0.2">
      <c r="A1" s="9" t="s">
        <v>383</v>
      </c>
      <c r="B1" s="9" t="s">
        <v>384</v>
      </c>
      <c r="C1" s="9" t="s">
        <v>385</v>
      </c>
      <c r="D1" s="9" t="s">
        <v>386</v>
      </c>
      <c r="E1" s="9" t="s">
        <v>387</v>
      </c>
      <c r="F1" s="9" t="s">
        <v>388</v>
      </c>
      <c r="G1" s="9" t="s">
        <v>389</v>
      </c>
      <c r="H1" s="9" t="s">
        <v>390</v>
      </c>
      <c r="I1" s="9" t="s">
        <v>391</v>
      </c>
      <c r="J1" s="9" t="s">
        <v>392</v>
      </c>
      <c r="K1" s="9" t="s">
        <v>393</v>
      </c>
      <c r="L1" s="9" t="s">
        <v>16</v>
      </c>
    </row>
    <row r="2" spans="1:12" x14ac:dyDescent="0.2">
      <c r="A2" s="10" t="s">
        <v>394</v>
      </c>
      <c r="B2" s="10" t="s">
        <v>395</v>
      </c>
      <c r="C2" s="10" t="s">
        <v>149</v>
      </c>
      <c r="D2" s="10" t="s">
        <v>149</v>
      </c>
      <c r="E2" s="10" t="s">
        <v>396</v>
      </c>
      <c r="F2" s="10" t="s">
        <v>147</v>
      </c>
      <c r="G2" s="10" t="s">
        <v>148</v>
      </c>
      <c r="H2" s="10" t="s">
        <v>397</v>
      </c>
      <c r="I2" s="10" t="s">
        <v>44</v>
      </c>
      <c r="J2" s="10" t="s">
        <v>398</v>
      </c>
      <c r="K2" s="10">
        <v>0.36583300000000002</v>
      </c>
      <c r="L2" s="10" t="s">
        <v>399</v>
      </c>
    </row>
    <row r="3" spans="1:12" x14ac:dyDescent="0.2">
      <c r="A3" s="10" t="s">
        <v>394</v>
      </c>
      <c r="B3" s="10" t="s">
        <v>400</v>
      </c>
      <c r="C3" s="10" t="s">
        <v>150</v>
      </c>
      <c r="D3" s="10" t="s">
        <v>150</v>
      </c>
      <c r="E3" s="10" t="s">
        <v>396</v>
      </c>
      <c r="F3" s="10" t="s">
        <v>147</v>
      </c>
      <c r="G3" s="10" t="s">
        <v>148</v>
      </c>
      <c r="H3" s="10" t="s">
        <v>401</v>
      </c>
      <c r="I3" s="10" t="s">
        <v>44</v>
      </c>
      <c r="J3" s="10" t="s">
        <v>402</v>
      </c>
      <c r="K3" s="10">
        <v>8.3333300000000001</v>
      </c>
      <c r="L3" s="10" t="s">
        <v>403</v>
      </c>
    </row>
    <row r="4" spans="1:12" x14ac:dyDescent="0.2">
      <c r="A4" s="10" t="s">
        <v>394</v>
      </c>
      <c r="B4" s="10" t="s">
        <v>395</v>
      </c>
      <c r="C4" s="10" t="s">
        <v>346</v>
      </c>
      <c r="D4" s="10" t="s">
        <v>346</v>
      </c>
      <c r="E4" s="10" t="s">
        <v>396</v>
      </c>
      <c r="F4" s="10" t="s">
        <v>147</v>
      </c>
      <c r="G4" s="10" t="s">
        <v>148</v>
      </c>
      <c r="H4" s="10" t="s">
        <v>404</v>
      </c>
      <c r="I4" s="10" t="s">
        <v>44</v>
      </c>
      <c r="J4" s="10" t="s">
        <v>405</v>
      </c>
      <c r="K4" s="10">
        <v>5.5</v>
      </c>
      <c r="L4" s="10" t="s">
        <v>406</v>
      </c>
    </row>
    <row r="5" spans="1:12" x14ac:dyDescent="0.2">
      <c r="A5" s="10" t="s">
        <v>407</v>
      </c>
      <c r="B5" s="10" t="s">
        <v>395</v>
      </c>
      <c r="C5" s="10" t="s">
        <v>157</v>
      </c>
      <c r="D5" s="10" t="s">
        <v>157</v>
      </c>
      <c r="E5" s="10" t="s">
        <v>408</v>
      </c>
      <c r="F5" s="10" t="s">
        <v>156</v>
      </c>
      <c r="G5" s="10" t="s">
        <v>148</v>
      </c>
      <c r="H5" s="10" t="s">
        <v>409</v>
      </c>
      <c r="I5" s="10" t="s">
        <v>44</v>
      </c>
      <c r="J5" s="10" t="s">
        <v>410</v>
      </c>
      <c r="K5" s="10">
        <v>1530</v>
      </c>
      <c r="L5" s="10" t="s">
        <v>411</v>
      </c>
    </row>
    <row r="6" spans="1:12" x14ac:dyDescent="0.2">
      <c r="A6" s="10" t="s">
        <v>407</v>
      </c>
      <c r="B6" s="10" t="s">
        <v>400</v>
      </c>
      <c r="C6" s="10" t="s">
        <v>158</v>
      </c>
      <c r="D6" s="10" t="s">
        <v>158</v>
      </c>
      <c r="E6" s="10" t="s">
        <v>408</v>
      </c>
      <c r="F6" s="10" t="s">
        <v>156</v>
      </c>
      <c r="G6" s="10" t="s">
        <v>148</v>
      </c>
      <c r="H6" s="10" t="s">
        <v>412</v>
      </c>
      <c r="I6" s="10" t="s">
        <v>44</v>
      </c>
      <c r="J6" s="10" t="s">
        <v>413</v>
      </c>
      <c r="K6" s="10">
        <v>655.5</v>
      </c>
      <c r="L6" s="10" t="s">
        <v>414</v>
      </c>
    </row>
    <row r="7" spans="1:12" x14ac:dyDescent="0.2">
      <c r="A7" s="10" t="s">
        <v>415</v>
      </c>
      <c r="B7" s="10" t="s">
        <v>400</v>
      </c>
      <c r="C7" s="10" t="s">
        <v>164</v>
      </c>
      <c r="D7" s="10" t="s">
        <v>164</v>
      </c>
      <c r="E7" s="10" t="s">
        <v>416</v>
      </c>
      <c r="F7" s="10" t="s">
        <v>162</v>
      </c>
      <c r="G7" s="10" t="s">
        <v>163</v>
      </c>
      <c r="H7" s="10" t="s">
        <v>417</v>
      </c>
      <c r="I7" s="10" t="s">
        <v>44</v>
      </c>
      <c r="J7" s="10" t="s">
        <v>418</v>
      </c>
      <c r="K7" s="10">
        <v>0.3</v>
      </c>
      <c r="L7" s="10" t="s">
        <v>419</v>
      </c>
    </row>
    <row r="8" spans="1:12" x14ac:dyDescent="0.2">
      <c r="A8" s="10" t="s">
        <v>394</v>
      </c>
      <c r="B8" s="10" t="s">
        <v>420</v>
      </c>
      <c r="C8" s="10" t="s">
        <v>17</v>
      </c>
      <c r="D8" s="10" t="s">
        <v>421</v>
      </c>
      <c r="E8" s="10" t="s">
        <v>396</v>
      </c>
      <c r="F8" s="10" t="s">
        <v>147</v>
      </c>
      <c r="G8" s="10" t="s">
        <v>148</v>
      </c>
      <c r="H8" s="10" t="s">
        <v>422</v>
      </c>
      <c r="I8" s="10" t="s">
        <v>44</v>
      </c>
      <c r="J8" s="10" t="s">
        <v>423</v>
      </c>
      <c r="K8" s="10">
        <v>0.4</v>
      </c>
      <c r="L8" s="10" t="s">
        <v>424</v>
      </c>
    </row>
    <row r="9" spans="1:12" x14ac:dyDescent="0.2">
      <c r="A9" s="10" t="s">
        <v>394</v>
      </c>
      <c r="B9" s="10" t="s">
        <v>420</v>
      </c>
      <c r="C9" s="10" t="s">
        <v>151</v>
      </c>
      <c r="D9" s="10" t="s">
        <v>425</v>
      </c>
      <c r="E9" s="10" t="s">
        <v>396</v>
      </c>
      <c r="F9" s="10" t="s">
        <v>147</v>
      </c>
      <c r="G9" s="10" t="s">
        <v>148</v>
      </c>
      <c r="H9" s="10" t="s">
        <v>426</v>
      </c>
      <c r="I9" s="10" t="s">
        <v>44</v>
      </c>
      <c r="J9" s="10" t="s">
        <v>427</v>
      </c>
      <c r="K9" s="10">
        <v>3.3</v>
      </c>
      <c r="L9" s="10" t="s">
        <v>428</v>
      </c>
    </row>
    <row r="10" spans="1:12" x14ac:dyDescent="0.2">
      <c r="A10" s="10" t="s">
        <v>407</v>
      </c>
      <c r="B10" s="10" t="s">
        <v>420</v>
      </c>
      <c r="C10" s="10" t="s">
        <v>153</v>
      </c>
      <c r="D10" s="10" t="s">
        <v>429</v>
      </c>
      <c r="E10" s="10" t="s">
        <v>408</v>
      </c>
      <c r="F10" s="10" t="s">
        <v>156</v>
      </c>
      <c r="G10" s="10" t="s">
        <v>148</v>
      </c>
      <c r="H10" s="10" t="s">
        <v>430</v>
      </c>
      <c r="I10" s="10" t="s">
        <v>44</v>
      </c>
      <c r="J10" s="10" t="s">
        <v>410</v>
      </c>
      <c r="K10" s="10">
        <v>315</v>
      </c>
      <c r="L10" s="10" t="s">
        <v>431</v>
      </c>
    </row>
    <row r="11" spans="1:12" x14ac:dyDescent="0.2">
      <c r="A11" s="10" t="s">
        <v>415</v>
      </c>
      <c r="B11" s="10" t="s">
        <v>420</v>
      </c>
      <c r="C11" s="10" t="s">
        <v>159</v>
      </c>
      <c r="D11" s="10" t="s">
        <v>432</v>
      </c>
      <c r="E11" s="10" t="s">
        <v>416</v>
      </c>
      <c r="F11" s="10" t="s">
        <v>162</v>
      </c>
      <c r="G11" s="10" t="s">
        <v>163</v>
      </c>
      <c r="H11" s="10" t="s">
        <v>433</v>
      </c>
      <c r="I11" s="10" t="s">
        <v>44</v>
      </c>
      <c r="J11" s="10" t="s">
        <v>418</v>
      </c>
      <c r="K11" s="10">
        <v>0.4</v>
      </c>
      <c r="L11" s="10" t="s">
        <v>434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FC5E8"/>
  </sheetPr>
  <dimension ref="A1:J2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45" customWidth="1"/>
    <col min="2" max="2" width="8" customWidth="1"/>
    <col min="3" max="3" width="45" customWidth="1"/>
    <col min="4" max="4" width="28" customWidth="1"/>
    <col min="5" max="5" width="45" customWidth="1"/>
    <col min="6" max="6" width="28" customWidth="1"/>
    <col min="7" max="7" width="45" customWidth="1"/>
    <col min="8" max="8" width="19" customWidth="1"/>
    <col min="9" max="10" width="45" customWidth="1"/>
  </cols>
  <sheetData>
    <row r="1" spans="1:10" x14ac:dyDescent="0.2">
      <c r="A1" s="11" t="s">
        <v>566</v>
      </c>
      <c r="B1" s="11" t="s">
        <v>7</v>
      </c>
      <c r="C1" s="11" t="s">
        <v>436</v>
      </c>
      <c r="D1" s="11" t="s">
        <v>437</v>
      </c>
      <c r="E1" s="11" t="s">
        <v>438</v>
      </c>
      <c r="F1" s="11" t="s">
        <v>567</v>
      </c>
      <c r="G1" s="11" t="s">
        <v>568</v>
      </c>
      <c r="H1" s="11" t="s">
        <v>569</v>
      </c>
      <c r="I1" s="11" t="s">
        <v>570</v>
      </c>
      <c r="J1" s="11" t="s">
        <v>16</v>
      </c>
    </row>
    <row r="2" spans="1:10" x14ac:dyDescent="0.2">
      <c r="A2" s="12" t="s">
        <v>442</v>
      </c>
      <c r="B2" s="12" t="s">
        <v>571</v>
      </c>
      <c r="C2" s="12" t="s">
        <v>443</v>
      </c>
      <c r="D2" s="12" t="s">
        <v>444</v>
      </c>
      <c r="E2" s="12" t="s">
        <v>445</v>
      </c>
      <c r="F2" s="12" t="s">
        <v>572</v>
      </c>
      <c r="G2" s="12" t="s">
        <v>573</v>
      </c>
      <c r="H2" s="12">
        <v>1</v>
      </c>
      <c r="I2" s="12" t="s">
        <v>574</v>
      </c>
      <c r="J2" s="12"/>
    </row>
    <row r="3" spans="1:10" x14ac:dyDescent="0.2">
      <c r="A3" s="12" t="s">
        <v>446</v>
      </c>
      <c r="B3" s="12" t="s">
        <v>571</v>
      </c>
      <c r="C3" s="12" t="s">
        <v>447</v>
      </c>
      <c r="D3" s="12" t="s">
        <v>444</v>
      </c>
      <c r="E3" s="12" t="s">
        <v>448</v>
      </c>
      <c r="F3" s="12" t="s">
        <v>572</v>
      </c>
      <c r="G3" s="12" t="s">
        <v>573</v>
      </c>
      <c r="H3" s="12">
        <v>1</v>
      </c>
      <c r="I3" s="12" t="s">
        <v>574</v>
      </c>
      <c r="J3" s="12"/>
    </row>
    <row r="4" spans="1:10" x14ac:dyDescent="0.2">
      <c r="A4" s="12" t="s">
        <v>287</v>
      </c>
      <c r="B4" s="12" t="s">
        <v>571</v>
      </c>
      <c r="C4" s="12" t="s">
        <v>449</v>
      </c>
      <c r="D4" s="12" t="s">
        <v>450</v>
      </c>
      <c r="E4" s="12" t="s">
        <v>451</v>
      </c>
      <c r="F4" s="12" t="s">
        <v>572</v>
      </c>
      <c r="G4" s="12" t="s">
        <v>573</v>
      </c>
      <c r="H4" s="12">
        <v>1</v>
      </c>
      <c r="I4" s="12" t="s">
        <v>574</v>
      </c>
      <c r="J4" s="12"/>
    </row>
    <row r="5" spans="1:10" x14ac:dyDescent="0.2">
      <c r="A5" s="12" t="s">
        <v>462</v>
      </c>
      <c r="B5" s="12" t="s">
        <v>571</v>
      </c>
      <c r="C5" s="12" t="s">
        <v>463</v>
      </c>
      <c r="D5" s="12" t="s">
        <v>464</v>
      </c>
      <c r="E5" s="12" t="s">
        <v>465</v>
      </c>
      <c r="F5" s="12" t="s">
        <v>572</v>
      </c>
      <c r="G5" s="12" t="s">
        <v>573</v>
      </c>
      <c r="H5" s="12">
        <v>80</v>
      </c>
      <c r="I5" s="12" t="s">
        <v>575</v>
      </c>
      <c r="J5" s="12"/>
    </row>
    <row r="6" spans="1:10" x14ac:dyDescent="0.2">
      <c r="A6" s="12" t="s">
        <v>279</v>
      </c>
      <c r="B6" s="12" t="s">
        <v>571</v>
      </c>
      <c r="C6" s="12" t="s">
        <v>466</v>
      </c>
      <c r="D6" s="12" t="s">
        <v>464</v>
      </c>
      <c r="E6" s="12" t="s">
        <v>467</v>
      </c>
      <c r="F6" s="12" t="s">
        <v>572</v>
      </c>
      <c r="G6" s="12" t="s">
        <v>573</v>
      </c>
      <c r="H6" s="12">
        <v>80</v>
      </c>
      <c r="I6" s="12" t="s">
        <v>575</v>
      </c>
      <c r="J6" s="12"/>
    </row>
    <row r="7" spans="1:10" x14ac:dyDescent="0.2">
      <c r="A7" s="12" t="s">
        <v>33</v>
      </c>
      <c r="B7" s="12" t="s">
        <v>571</v>
      </c>
      <c r="C7" s="12" t="s">
        <v>452</v>
      </c>
      <c r="D7" s="12" t="s">
        <v>453</v>
      </c>
      <c r="E7" s="12" t="s">
        <v>454</v>
      </c>
      <c r="F7" s="12" t="s">
        <v>572</v>
      </c>
      <c r="G7" s="12" t="s">
        <v>573</v>
      </c>
      <c r="H7" s="12">
        <v>100</v>
      </c>
      <c r="I7" s="12" t="s">
        <v>576</v>
      </c>
      <c r="J7" s="12" t="s">
        <v>577</v>
      </c>
    </row>
    <row r="8" spans="1:10" x14ac:dyDescent="0.2">
      <c r="A8" s="12" t="s">
        <v>455</v>
      </c>
      <c r="B8" s="12" t="s">
        <v>571</v>
      </c>
      <c r="C8" s="12" t="s">
        <v>456</v>
      </c>
      <c r="D8" s="12" t="s">
        <v>453</v>
      </c>
      <c r="E8" s="12" t="s">
        <v>457</v>
      </c>
      <c r="F8" s="12" t="s">
        <v>572</v>
      </c>
      <c r="G8" s="12" t="s">
        <v>573</v>
      </c>
      <c r="H8" s="12">
        <v>65</v>
      </c>
      <c r="I8" s="12" t="s">
        <v>578</v>
      </c>
      <c r="J8" s="12"/>
    </row>
    <row r="9" spans="1:10" x14ac:dyDescent="0.2">
      <c r="A9" s="12" t="s">
        <v>468</v>
      </c>
      <c r="B9" s="12" t="s">
        <v>571</v>
      </c>
      <c r="C9" s="12" t="s">
        <v>579</v>
      </c>
      <c r="D9" s="12" t="s">
        <v>453</v>
      </c>
      <c r="E9" s="12" t="s">
        <v>580</v>
      </c>
      <c r="F9" s="12" t="s">
        <v>572</v>
      </c>
      <c r="G9" s="12" t="s">
        <v>573</v>
      </c>
      <c r="H9" s="12"/>
      <c r="I9" s="12"/>
      <c r="J9" s="12"/>
    </row>
    <row r="10" spans="1:10" x14ac:dyDescent="0.2">
      <c r="A10" s="12" t="s">
        <v>282</v>
      </c>
      <c r="B10" s="12" t="s">
        <v>571</v>
      </c>
      <c r="C10" s="12"/>
      <c r="D10" s="12"/>
      <c r="E10" s="12"/>
      <c r="F10" s="12">
        <v>0.33600000000000002</v>
      </c>
      <c r="G10" s="12" t="s">
        <v>581</v>
      </c>
      <c r="H10" s="12"/>
      <c r="I10" s="12"/>
      <c r="J10" s="12"/>
    </row>
    <row r="11" spans="1:10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</row>
    <row r="12" spans="1:10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</row>
    <row r="13" spans="1:10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</row>
    <row r="14" spans="1:10" x14ac:dyDescent="0.2">
      <c r="A14" s="12" t="s">
        <v>582</v>
      </c>
      <c r="B14" s="12"/>
      <c r="C14" s="12"/>
      <c r="D14" s="12"/>
      <c r="E14" s="12"/>
      <c r="F14" s="12"/>
      <c r="G14" s="12"/>
      <c r="H14" s="12"/>
      <c r="I14" s="12"/>
      <c r="J14" s="12"/>
    </row>
    <row r="15" spans="1:10" x14ac:dyDescent="0.2">
      <c r="A15" s="12" t="s">
        <v>583</v>
      </c>
      <c r="B15" s="12"/>
      <c r="C15" s="12"/>
      <c r="D15" s="12"/>
      <c r="E15" s="12"/>
      <c r="F15" s="12"/>
      <c r="G15" s="12"/>
      <c r="H15" s="12"/>
      <c r="I15" s="12"/>
      <c r="J15" s="12"/>
    </row>
    <row r="16" spans="1:10" x14ac:dyDescent="0.2">
      <c r="A16" s="12" t="s">
        <v>584</v>
      </c>
      <c r="B16" s="12"/>
      <c r="C16" s="12"/>
      <c r="D16" s="12"/>
      <c r="E16" s="12"/>
      <c r="F16" s="12"/>
      <c r="G16" s="12"/>
      <c r="H16" s="12"/>
      <c r="I16" s="12"/>
      <c r="J16" s="12"/>
    </row>
    <row r="17" spans="1:10" x14ac:dyDescent="0.2">
      <c r="A17" s="12" t="s">
        <v>585</v>
      </c>
      <c r="B17" s="12"/>
      <c r="C17" s="12"/>
      <c r="D17" s="12"/>
      <c r="E17" s="12"/>
      <c r="F17" s="12"/>
      <c r="G17" s="12"/>
      <c r="H17" s="12"/>
      <c r="I17" s="12"/>
      <c r="J17" s="12"/>
    </row>
    <row r="18" spans="1:10" x14ac:dyDescent="0.2">
      <c r="A18" s="12" t="s">
        <v>298</v>
      </c>
      <c r="B18" s="12" t="s">
        <v>571</v>
      </c>
      <c r="C18" s="12"/>
      <c r="D18" s="12"/>
      <c r="E18" s="12"/>
      <c r="F18" s="12">
        <v>0</v>
      </c>
      <c r="G18" s="12" t="s">
        <v>586</v>
      </c>
      <c r="H18" s="12" t="s">
        <v>587</v>
      </c>
      <c r="I18" s="12" t="s">
        <v>587</v>
      </c>
      <c r="J18" s="12"/>
    </row>
    <row r="19" spans="1:10" x14ac:dyDescent="0.2">
      <c r="A19" s="12" t="s">
        <v>500</v>
      </c>
      <c r="B19" s="12" t="s">
        <v>571</v>
      </c>
      <c r="C19" s="12"/>
      <c r="D19" s="12"/>
      <c r="E19" s="12"/>
      <c r="F19" s="12">
        <v>0</v>
      </c>
      <c r="G19" s="12" t="s">
        <v>586</v>
      </c>
      <c r="H19" s="12" t="s">
        <v>587</v>
      </c>
      <c r="I19" s="12" t="s">
        <v>587</v>
      </c>
      <c r="J19" s="12"/>
    </row>
    <row r="20" spans="1:10" x14ac:dyDescent="0.2">
      <c r="A20" s="12" t="s">
        <v>588</v>
      </c>
      <c r="B20" s="12" t="s">
        <v>571</v>
      </c>
      <c r="C20" s="12"/>
      <c r="D20" s="12"/>
      <c r="E20" s="12"/>
      <c r="F20" s="12">
        <v>0</v>
      </c>
      <c r="G20" s="12" t="s">
        <v>586</v>
      </c>
      <c r="H20" s="12" t="s">
        <v>587</v>
      </c>
      <c r="I20" s="12" t="s">
        <v>587</v>
      </c>
      <c r="J20" s="12"/>
    </row>
    <row r="21" spans="1:10" x14ac:dyDescent="0.2">
      <c r="A21" s="12" t="s">
        <v>507</v>
      </c>
      <c r="B21" s="12" t="s">
        <v>571</v>
      </c>
      <c r="C21" s="12"/>
      <c r="D21" s="12"/>
      <c r="E21" s="12"/>
      <c r="F21" s="12">
        <v>0</v>
      </c>
      <c r="G21" s="12" t="s">
        <v>586</v>
      </c>
      <c r="H21" s="12" t="s">
        <v>587</v>
      </c>
      <c r="I21" s="12" t="s">
        <v>587</v>
      </c>
      <c r="J21" s="12"/>
    </row>
    <row r="22" spans="1:10" x14ac:dyDescent="0.2">
      <c r="A22" s="12" t="s">
        <v>510</v>
      </c>
      <c r="B22" s="12" t="s">
        <v>571</v>
      </c>
      <c r="C22" s="12"/>
      <c r="D22" s="12"/>
      <c r="E22" s="12"/>
      <c r="F22" s="12">
        <v>0</v>
      </c>
      <c r="G22" s="12" t="s">
        <v>586</v>
      </c>
      <c r="H22" s="12" t="s">
        <v>587</v>
      </c>
      <c r="I22" s="12" t="s">
        <v>587</v>
      </c>
      <c r="J22" s="12"/>
    </row>
    <row r="23" spans="1:10" x14ac:dyDescent="0.2">
      <c r="A23" s="12" t="s">
        <v>277</v>
      </c>
      <c r="B23" s="12" t="s">
        <v>571</v>
      </c>
      <c r="C23" s="12"/>
      <c r="D23" s="12"/>
      <c r="E23" s="12"/>
      <c r="F23" s="12">
        <v>0.26516849999999997</v>
      </c>
      <c r="G23" s="12" t="s">
        <v>589</v>
      </c>
      <c r="H23" s="12">
        <v>1</v>
      </c>
      <c r="I23" s="12" t="s">
        <v>590</v>
      </c>
      <c r="J23" s="12"/>
    </row>
    <row r="24" spans="1:10" x14ac:dyDescent="0.2">
      <c r="A24" s="12" t="s">
        <v>310</v>
      </c>
      <c r="B24" s="12" t="s">
        <v>591</v>
      </c>
      <c r="C24" s="12" t="s">
        <v>478</v>
      </c>
      <c r="D24" s="12" t="s">
        <v>479</v>
      </c>
      <c r="E24" s="12" t="s">
        <v>480</v>
      </c>
      <c r="F24" s="12" t="s">
        <v>572</v>
      </c>
      <c r="G24" s="12" t="s">
        <v>573</v>
      </c>
      <c r="H24" s="12">
        <v>65</v>
      </c>
      <c r="I24" s="12" t="s">
        <v>592</v>
      </c>
      <c r="J24" s="12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FC5E8"/>
  </sheetPr>
  <dimension ref="A1:I2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2" width="45" customWidth="1"/>
    <col min="3" max="3" width="19" customWidth="1"/>
    <col min="4" max="4" width="15" customWidth="1"/>
    <col min="5" max="5" width="32" customWidth="1"/>
    <col min="6" max="6" width="45" customWidth="1"/>
    <col min="7" max="7" width="27" customWidth="1"/>
    <col min="8" max="8" width="34" customWidth="1"/>
    <col min="9" max="9" width="40" customWidth="1"/>
  </cols>
  <sheetData>
    <row r="1" spans="1:9" x14ac:dyDescent="0.2">
      <c r="A1" s="11" t="s">
        <v>566</v>
      </c>
      <c r="B1" s="11" t="s">
        <v>7</v>
      </c>
      <c r="C1" s="11" t="s">
        <v>593</v>
      </c>
      <c r="D1" s="11" t="s">
        <v>594</v>
      </c>
      <c r="E1" s="11" t="s">
        <v>595</v>
      </c>
      <c r="F1" s="11" t="s">
        <v>596</v>
      </c>
      <c r="G1" s="11" t="s">
        <v>597</v>
      </c>
      <c r="H1" s="11" t="s">
        <v>598</v>
      </c>
      <c r="I1" s="11" t="s">
        <v>599</v>
      </c>
    </row>
    <row r="2" spans="1:9" x14ac:dyDescent="0.2">
      <c r="A2" s="12" t="s">
        <v>277</v>
      </c>
      <c r="B2" s="12" t="s">
        <v>571</v>
      </c>
      <c r="C2" s="12">
        <v>0.8</v>
      </c>
      <c r="D2" s="12">
        <v>0.9</v>
      </c>
      <c r="E2" s="12">
        <v>22.5</v>
      </c>
      <c r="F2" s="12" t="s">
        <v>600</v>
      </c>
      <c r="G2" s="12">
        <v>0.6</v>
      </c>
      <c r="H2" s="12">
        <v>0.25</v>
      </c>
      <c r="I2" s="12"/>
    </row>
    <row r="3" spans="1:9" x14ac:dyDescent="0.2">
      <c r="A3" s="12" t="s">
        <v>442</v>
      </c>
      <c r="B3" s="12" t="s">
        <v>571</v>
      </c>
      <c r="C3" s="12">
        <v>0.8</v>
      </c>
      <c r="D3" s="12">
        <v>0.9</v>
      </c>
      <c r="E3" s="12">
        <v>16</v>
      </c>
      <c r="F3" s="12" t="s">
        <v>601</v>
      </c>
      <c r="G3" s="12">
        <v>0.6</v>
      </c>
      <c r="H3" s="12">
        <v>0.25</v>
      </c>
      <c r="I3" s="12"/>
    </row>
    <row r="4" spans="1:9" x14ac:dyDescent="0.2">
      <c r="A4" s="12" t="s">
        <v>446</v>
      </c>
      <c r="B4" s="12" t="s">
        <v>571</v>
      </c>
      <c r="C4" s="12">
        <v>0.8</v>
      </c>
      <c r="D4" s="12">
        <v>0.9</v>
      </c>
      <c r="E4" s="12">
        <v>16</v>
      </c>
      <c r="F4" s="12" t="s">
        <v>602</v>
      </c>
      <c r="G4" s="12">
        <v>0.6</v>
      </c>
      <c r="H4" s="12">
        <v>0.25</v>
      </c>
      <c r="I4" s="12"/>
    </row>
    <row r="5" spans="1:9" x14ac:dyDescent="0.2">
      <c r="A5" s="12" t="s">
        <v>33</v>
      </c>
      <c r="B5" s="12" t="s">
        <v>571</v>
      </c>
      <c r="C5" s="12">
        <v>0.8</v>
      </c>
      <c r="D5" s="12">
        <v>0.9</v>
      </c>
      <c r="E5" s="12">
        <v>18.5</v>
      </c>
      <c r="F5" s="12" t="s">
        <v>603</v>
      </c>
      <c r="G5" s="12">
        <v>0.6</v>
      </c>
      <c r="H5" s="12">
        <v>0.25</v>
      </c>
      <c r="I5" s="12"/>
    </row>
    <row r="6" spans="1:9" x14ac:dyDescent="0.2">
      <c r="A6" s="12" t="s">
        <v>455</v>
      </c>
      <c r="B6" s="12" t="s">
        <v>571</v>
      </c>
      <c r="C6" s="12">
        <v>0.8</v>
      </c>
      <c r="D6" s="12">
        <v>0.9</v>
      </c>
      <c r="E6" s="12">
        <v>19.5</v>
      </c>
      <c r="F6" s="12" t="s">
        <v>604</v>
      </c>
      <c r="G6" s="12">
        <v>0.6</v>
      </c>
      <c r="H6" s="12">
        <v>0.25</v>
      </c>
      <c r="I6" s="12"/>
    </row>
    <row r="7" spans="1:9" x14ac:dyDescent="0.2">
      <c r="A7" s="12" t="s">
        <v>287</v>
      </c>
      <c r="B7" s="12" t="s">
        <v>571</v>
      </c>
      <c r="C7" s="12">
        <v>0.8</v>
      </c>
      <c r="D7" s="12">
        <v>0.9</v>
      </c>
      <c r="E7" s="12">
        <v>17.5</v>
      </c>
      <c r="F7" s="12" t="s">
        <v>605</v>
      </c>
      <c r="G7" s="12">
        <v>0.6</v>
      </c>
      <c r="H7" s="12">
        <v>0.25</v>
      </c>
      <c r="I7" s="12"/>
    </row>
    <row r="8" spans="1:9" x14ac:dyDescent="0.2">
      <c r="A8" s="12" t="s">
        <v>460</v>
      </c>
      <c r="B8" s="12" t="s">
        <v>571</v>
      </c>
      <c r="C8" s="12">
        <v>0.8</v>
      </c>
      <c r="D8" s="12">
        <v>0.9</v>
      </c>
      <c r="E8" s="12">
        <v>17</v>
      </c>
      <c r="F8" s="12" t="s">
        <v>605</v>
      </c>
      <c r="G8" s="12">
        <v>0.6</v>
      </c>
      <c r="H8" s="12">
        <v>0.25</v>
      </c>
      <c r="I8" s="12"/>
    </row>
    <row r="9" spans="1:9" x14ac:dyDescent="0.2">
      <c r="A9" s="12" t="s">
        <v>462</v>
      </c>
      <c r="B9" s="12" t="s">
        <v>571</v>
      </c>
      <c r="C9" s="12">
        <v>0.8</v>
      </c>
      <c r="D9" s="12">
        <v>0.9</v>
      </c>
      <c r="E9" s="12">
        <v>19</v>
      </c>
      <c r="F9" s="12" t="s">
        <v>606</v>
      </c>
      <c r="G9" s="12">
        <v>0.6</v>
      </c>
      <c r="H9" s="12">
        <v>0.25</v>
      </c>
      <c r="I9" s="12"/>
    </row>
    <row r="10" spans="1:9" x14ac:dyDescent="0.2">
      <c r="A10" s="12" t="s">
        <v>279</v>
      </c>
      <c r="B10" s="12" t="s">
        <v>571</v>
      </c>
      <c r="C10" s="12">
        <v>0.8</v>
      </c>
      <c r="D10" s="12">
        <v>0.9</v>
      </c>
      <c r="E10" s="12">
        <v>19</v>
      </c>
      <c r="F10" s="12" t="s">
        <v>606</v>
      </c>
      <c r="G10" s="12">
        <v>0.6</v>
      </c>
      <c r="H10" s="12">
        <v>0.25</v>
      </c>
      <c r="I10" s="12"/>
    </row>
    <row r="11" spans="1:9" x14ac:dyDescent="0.2">
      <c r="A11" s="12" t="s">
        <v>468</v>
      </c>
      <c r="B11" s="12" t="s">
        <v>571</v>
      </c>
      <c r="C11" s="12">
        <v>0.8</v>
      </c>
      <c r="D11" s="12">
        <v>0.9</v>
      </c>
      <c r="E11" s="12">
        <v>11</v>
      </c>
      <c r="F11" s="12" t="s">
        <v>607</v>
      </c>
      <c r="G11" s="12">
        <v>0.6</v>
      </c>
      <c r="H11" s="12">
        <v>0.25</v>
      </c>
      <c r="I11" s="12"/>
    </row>
    <row r="12" spans="1:9" x14ac:dyDescent="0.2">
      <c r="A12" s="12" t="s">
        <v>282</v>
      </c>
      <c r="B12" s="12" t="s">
        <v>571</v>
      </c>
      <c r="C12" s="12">
        <v>0.8</v>
      </c>
      <c r="D12" s="12">
        <v>0.9</v>
      </c>
      <c r="E12" s="12">
        <v>10</v>
      </c>
      <c r="F12" s="12" t="s">
        <v>608</v>
      </c>
      <c r="G12" s="12">
        <v>0.6</v>
      </c>
      <c r="H12" s="12">
        <v>0.25</v>
      </c>
      <c r="I12" s="12"/>
    </row>
    <row r="13" spans="1:9" x14ac:dyDescent="0.2">
      <c r="A13" s="12" t="s">
        <v>609</v>
      </c>
      <c r="B13" s="12" t="s">
        <v>571</v>
      </c>
      <c r="C13" s="12">
        <v>0.8</v>
      </c>
      <c r="D13" s="12">
        <v>0.9</v>
      </c>
      <c r="E13" s="12">
        <v>16.350000000000001</v>
      </c>
      <c r="F13" s="12" t="s">
        <v>610</v>
      </c>
      <c r="G13" s="12">
        <v>0.6</v>
      </c>
      <c r="H13" s="12">
        <v>0.25</v>
      </c>
      <c r="I13" s="12"/>
    </row>
    <row r="14" spans="1:9" x14ac:dyDescent="0.2">
      <c r="A14" s="12" t="s">
        <v>310</v>
      </c>
      <c r="B14" s="12" t="s">
        <v>571</v>
      </c>
      <c r="C14" s="12">
        <v>0.8</v>
      </c>
      <c r="D14" s="12">
        <v>0.9</v>
      </c>
      <c r="E14" s="12">
        <v>17.7</v>
      </c>
      <c r="F14" s="12" t="s">
        <v>611</v>
      </c>
      <c r="G14" s="12">
        <v>0.6</v>
      </c>
      <c r="H14" s="12">
        <v>0.25</v>
      </c>
      <c r="I14" s="12" t="s">
        <v>542</v>
      </c>
    </row>
    <row r="15" spans="1:9" x14ac:dyDescent="0.2">
      <c r="A15" s="12" t="s">
        <v>332</v>
      </c>
      <c r="B15" s="12" t="s">
        <v>571</v>
      </c>
      <c r="C15" s="12">
        <v>0.8</v>
      </c>
      <c r="D15" s="12">
        <v>0.9</v>
      </c>
      <c r="E15" s="12"/>
      <c r="F15" s="12"/>
      <c r="G15" s="12">
        <v>0.6</v>
      </c>
      <c r="H15" s="12">
        <v>0.25</v>
      </c>
      <c r="I15" s="12"/>
    </row>
    <row r="16" spans="1:9" x14ac:dyDescent="0.2">
      <c r="A16" s="12" t="s">
        <v>334</v>
      </c>
      <c r="B16" s="12" t="s">
        <v>571</v>
      </c>
      <c r="C16" s="12">
        <v>0.8</v>
      </c>
      <c r="D16" s="12">
        <v>0.9</v>
      </c>
      <c r="E16" s="12"/>
      <c r="F16" s="12"/>
      <c r="G16" s="12">
        <v>0.6</v>
      </c>
      <c r="H16" s="12">
        <v>0.25</v>
      </c>
      <c r="I16" s="12"/>
    </row>
    <row r="17" spans="1:9" x14ac:dyDescent="0.2">
      <c r="A17" s="12" t="s">
        <v>336</v>
      </c>
      <c r="B17" s="12" t="s">
        <v>571</v>
      </c>
      <c r="C17" s="12">
        <v>0.8</v>
      </c>
      <c r="D17" s="12">
        <v>0.9</v>
      </c>
      <c r="E17" s="12">
        <v>14.2</v>
      </c>
      <c r="F17" s="12" t="s">
        <v>612</v>
      </c>
      <c r="G17" s="12">
        <v>0.6</v>
      </c>
      <c r="H17" s="12">
        <v>0.25</v>
      </c>
      <c r="I17" s="12"/>
    </row>
    <row r="18" spans="1:9" x14ac:dyDescent="0.2">
      <c r="A18" s="12" t="s">
        <v>360</v>
      </c>
      <c r="B18" s="12" t="s">
        <v>571</v>
      </c>
      <c r="C18" s="12">
        <v>0.8</v>
      </c>
      <c r="D18" s="12">
        <v>0.9</v>
      </c>
      <c r="E18" s="12"/>
      <c r="F18" s="12"/>
      <c r="G18" s="12">
        <v>0.6</v>
      </c>
      <c r="H18" s="12">
        <v>0.25</v>
      </c>
      <c r="I18" s="12"/>
    </row>
    <row r="19" spans="1:9" x14ac:dyDescent="0.2">
      <c r="A19" s="12" t="s">
        <v>367</v>
      </c>
      <c r="B19" s="12" t="s">
        <v>571</v>
      </c>
      <c r="C19" s="12">
        <v>0.8</v>
      </c>
      <c r="D19" s="12">
        <v>0.9</v>
      </c>
      <c r="E19" s="12"/>
      <c r="F19" s="12"/>
      <c r="G19" s="12">
        <v>0.6</v>
      </c>
      <c r="H19" s="12">
        <v>0.25</v>
      </c>
      <c r="I19" s="12"/>
    </row>
    <row r="20" spans="1:9" x14ac:dyDescent="0.2">
      <c r="A20" s="12" t="s">
        <v>369</v>
      </c>
      <c r="B20" s="12" t="s">
        <v>571</v>
      </c>
      <c r="C20" s="12">
        <v>0.8</v>
      </c>
      <c r="D20" s="12">
        <v>0.9</v>
      </c>
      <c r="E20" s="12"/>
      <c r="F20" s="12"/>
      <c r="G20" s="12">
        <v>0.6</v>
      </c>
      <c r="H20" s="12">
        <v>0.25</v>
      </c>
      <c r="I20" s="12"/>
    </row>
    <row r="21" spans="1:9" x14ac:dyDescent="0.2">
      <c r="A21" s="12" t="s">
        <v>376</v>
      </c>
      <c r="B21" s="12" t="s">
        <v>571</v>
      </c>
      <c r="C21" s="12">
        <v>0.8</v>
      </c>
      <c r="D21" s="12">
        <v>0.9</v>
      </c>
      <c r="E21" s="12">
        <v>23</v>
      </c>
      <c r="F21" s="12" t="s">
        <v>613</v>
      </c>
      <c r="G21" s="12">
        <v>0.6</v>
      </c>
      <c r="H21" s="12">
        <v>0.25</v>
      </c>
      <c r="I21" s="12"/>
    </row>
    <row r="22" spans="1:9" x14ac:dyDescent="0.2">
      <c r="A22" s="12" t="s">
        <v>352</v>
      </c>
      <c r="B22" s="12" t="s">
        <v>571</v>
      </c>
      <c r="C22" s="12">
        <v>0.8</v>
      </c>
      <c r="D22" s="12">
        <v>0.9</v>
      </c>
      <c r="E22" s="12"/>
      <c r="F22" s="12"/>
      <c r="G22" s="12">
        <v>0.6</v>
      </c>
      <c r="H22" s="12">
        <v>0.25</v>
      </c>
      <c r="I22" s="12"/>
    </row>
    <row r="23" spans="1:9" x14ac:dyDescent="0.2">
      <c r="A23" s="12" t="s">
        <v>298</v>
      </c>
      <c r="B23" s="12" t="s">
        <v>571</v>
      </c>
      <c r="C23" s="12">
        <v>0.8</v>
      </c>
      <c r="D23" s="12">
        <v>0.9</v>
      </c>
      <c r="E23" s="12"/>
      <c r="F23" s="12"/>
      <c r="G23" s="12">
        <v>0.6</v>
      </c>
      <c r="H23" s="12">
        <v>0.25</v>
      </c>
      <c r="I23" s="12"/>
    </row>
    <row r="24" spans="1:9" x14ac:dyDescent="0.2">
      <c r="A24" s="12"/>
      <c r="B24" s="12"/>
      <c r="C24" s="12"/>
      <c r="D24" s="12"/>
      <c r="E24" s="12"/>
      <c r="F24" s="12"/>
      <c r="G24" s="12"/>
      <c r="H24" s="12"/>
      <c r="I24" s="12"/>
    </row>
    <row r="25" spans="1:9" x14ac:dyDescent="0.2">
      <c r="A25" s="12"/>
      <c r="B25" s="12"/>
      <c r="C25" s="12"/>
      <c r="D25" s="12"/>
      <c r="E25" s="12"/>
      <c r="F25" s="12"/>
      <c r="G25" s="12"/>
      <c r="H25" s="12"/>
      <c r="I25" s="12"/>
    </row>
    <row r="26" spans="1:9" x14ac:dyDescent="0.2">
      <c r="A26" s="12" t="s">
        <v>614</v>
      </c>
      <c r="B26" s="12" t="s">
        <v>615</v>
      </c>
      <c r="C26" s="12"/>
      <c r="D26" s="12"/>
      <c r="E26" s="12"/>
      <c r="F26" s="12"/>
      <c r="G26" s="12"/>
      <c r="H26" s="12"/>
      <c r="I26" s="12"/>
    </row>
    <row r="27" spans="1:9" x14ac:dyDescent="0.2">
      <c r="A27" s="12" t="s">
        <v>616</v>
      </c>
      <c r="B27" s="12"/>
      <c r="C27" s="12"/>
      <c r="D27" s="12"/>
      <c r="E27" s="12"/>
      <c r="F27" s="12"/>
      <c r="G27" s="12"/>
      <c r="H27" s="12"/>
      <c r="I27" s="12"/>
    </row>
    <row r="28" spans="1:9" x14ac:dyDescent="0.2">
      <c r="A28" s="12" t="s">
        <v>617</v>
      </c>
      <c r="B28" s="12"/>
      <c r="C28" s="12"/>
      <c r="D28" s="12"/>
      <c r="E28" s="12"/>
      <c r="F28" s="12"/>
      <c r="G28" s="12"/>
      <c r="H28" s="12"/>
      <c r="I28" s="12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FC5E8"/>
  </sheetPr>
  <dimension ref="A1:F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7" customWidth="1"/>
    <col min="2" max="3" width="20" customWidth="1"/>
    <col min="4" max="4" width="38" customWidth="1"/>
    <col min="5" max="5" width="37" customWidth="1"/>
    <col min="6" max="6" width="44" customWidth="1"/>
  </cols>
  <sheetData>
    <row r="1" spans="1:6" x14ac:dyDescent="0.2">
      <c r="A1" s="11" t="s">
        <v>618</v>
      </c>
      <c r="B1" s="11" t="s">
        <v>619</v>
      </c>
      <c r="C1" s="11" t="s">
        <v>620</v>
      </c>
      <c r="D1" s="11" t="s">
        <v>621</v>
      </c>
      <c r="E1" s="11" t="s">
        <v>622</v>
      </c>
      <c r="F1" s="11" t="s">
        <v>623</v>
      </c>
    </row>
    <row r="2" spans="1:6" x14ac:dyDescent="0.2">
      <c r="A2" s="12" t="s">
        <v>75</v>
      </c>
      <c r="B2" s="12" t="s">
        <v>527</v>
      </c>
      <c r="C2" s="12" t="s">
        <v>213</v>
      </c>
      <c r="D2" s="12" t="s">
        <v>539</v>
      </c>
      <c r="E2" s="12"/>
      <c r="F2" s="12"/>
    </row>
    <row r="3" spans="1:6" x14ac:dyDescent="0.2">
      <c r="A3" s="12" t="s">
        <v>79</v>
      </c>
      <c r="B3" s="12" t="s">
        <v>323</v>
      </c>
      <c r="C3" s="12" t="s">
        <v>213</v>
      </c>
      <c r="D3" s="12" t="s">
        <v>542</v>
      </c>
      <c r="E3" s="12"/>
      <c r="F3" s="12"/>
    </row>
    <row r="4" spans="1:6" x14ac:dyDescent="0.2">
      <c r="A4" s="12" t="s">
        <v>81</v>
      </c>
      <c r="B4" s="12" t="s">
        <v>323</v>
      </c>
      <c r="C4" s="12" t="s">
        <v>213</v>
      </c>
      <c r="D4" s="12"/>
      <c r="E4" s="12"/>
      <c r="F4" s="12"/>
    </row>
    <row r="5" spans="1:6" x14ac:dyDescent="0.2">
      <c r="A5" s="12" t="s">
        <v>83</v>
      </c>
      <c r="B5" s="12" t="s">
        <v>319</v>
      </c>
      <c r="C5" s="12" t="s">
        <v>231</v>
      </c>
      <c r="D5" s="12"/>
      <c r="E5" s="12" t="s">
        <v>545</v>
      </c>
      <c r="F5" s="12" t="s">
        <v>548</v>
      </c>
    </row>
    <row r="6" spans="1:6" x14ac:dyDescent="0.2">
      <c r="A6" s="12" t="s">
        <v>85</v>
      </c>
      <c r="B6" s="12" t="s">
        <v>325</v>
      </c>
      <c r="C6" s="12" t="s">
        <v>231</v>
      </c>
      <c r="D6" s="12"/>
      <c r="E6" s="12"/>
      <c r="F6" s="12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6B26B"/>
  </sheetPr>
  <dimension ref="A1:E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3" customWidth="1"/>
    <col min="2" max="2" width="14" customWidth="1"/>
    <col min="3" max="3" width="15" customWidth="1"/>
    <col min="4" max="4" width="45" customWidth="1"/>
    <col min="5" max="5" width="42" customWidth="1"/>
  </cols>
  <sheetData>
    <row r="1" spans="1:5" x14ac:dyDescent="0.2">
      <c r="A1" s="13" t="s">
        <v>624</v>
      </c>
      <c r="B1" s="13" t="s">
        <v>165</v>
      </c>
      <c r="C1" s="13" t="s">
        <v>7</v>
      </c>
      <c r="D1" s="13" t="s">
        <v>6</v>
      </c>
      <c r="E1" s="13" t="s">
        <v>14</v>
      </c>
    </row>
    <row r="2" spans="1:5" x14ac:dyDescent="0.2">
      <c r="A2" s="14" t="s">
        <v>625</v>
      </c>
      <c r="B2" s="14">
        <v>100</v>
      </c>
      <c r="C2" s="14" t="s">
        <v>67</v>
      </c>
      <c r="D2" s="14" t="s">
        <v>626</v>
      </c>
      <c r="E2" s="14" t="s">
        <v>627</v>
      </c>
    </row>
    <row r="3" spans="1:5" x14ac:dyDescent="0.2">
      <c r="A3" s="14" t="s">
        <v>628</v>
      </c>
      <c r="B3" s="14">
        <v>50</v>
      </c>
      <c r="C3" s="14" t="s">
        <v>629</v>
      </c>
      <c r="D3" s="14" t="s">
        <v>630</v>
      </c>
      <c r="E3" s="14" t="s">
        <v>631</v>
      </c>
    </row>
    <row r="4" spans="1:5" x14ac:dyDescent="0.2">
      <c r="A4" s="14" t="s">
        <v>632</v>
      </c>
      <c r="B4" s="14">
        <v>1</v>
      </c>
      <c r="C4" s="14" t="s">
        <v>23</v>
      </c>
      <c r="D4" s="14" t="s">
        <v>633</v>
      </c>
      <c r="E4" s="14" t="s">
        <v>634</v>
      </c>
    </row>
    <row r="5" spans="1:5" x14ac:dyDescent="0.2">
      <c r="A5" s="14" t="s">
        <v>635</v>
      </c>
      <c r="B5" s="14">
        <v>3.6666669999999999</v>
      </c>
      <c r="C5" s="14" t="s">
        <v>636</v>
      </c>
      <c r="D5" s="14" t="s">
        <v>637</v>
      </c>
      <c r="E5" s="14" t="s">
        <v>638</v>
      </c>
    </row>
    <row r="6" spans="1:5" x14ac:dyDescent="0.2">
      <c r="A6" s="14" t="s">
        <v>639</v>
      </c>
      <c r="B6" s="14">
        <v>3.6</v>
      </c>
      <c r="C6" s="14" t="s">
        <v>640</v>
      </c>
      <c r="D6" s="14" t="s">
        <v>641</v>
      </c>
      <c r="E6" s="14" t="s">
        <v>638</v>
      </c>
    </row>
    <row r="7" spans="1:5" x14ac:dyDescent="0.2">
      <c r="A7" s="14" t="s">
        <v>642</v>
      </c>
      <c r="B7" s="14" t="s">
        <v>524</v>
      </c>
      <c r="C7" s="14" t="s">
        <v>23</v>
      </c>
      <c r="D7" s="14" t="s">
        <v>643</v>
      </c>
      <c r="E7" s="14"/>
    </row>
    <row r="8" spans="1:5" x14ac:dyDescent="0.2">
      <c r="A8" s="14" t="s">
        <v>644</v>
      </c>
      <c r="B8" s="14" t="s">
        <v>519</v>
      </c>
      <c r="C8" s="14" t="s">
        <v>23</v>
      </c>
      <c r="D8" s="14" t="s">
        <v>645</v>
      </c>
      <c r="E8" s="14"/>
    </row>
    <row r="9" spans="1:5" x14ac:dyDescent="0.2">
      <c r="A9" s="14" t="s">
        <v>646</v>
      </c>
      <c r="B9" s="14" t="s">
        <v>609</v>
      </c>
      <c r="C9" s="14" t="s">
        <v>23</v>
      </c>
      <c r="D9" s="14" t="s">
        <v>647</v>
      </c>
      <c r="E9" s="14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6B26B"/>
  </sheetPr>
  <dimension ref="A1:M1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0" customWidth="1"/>
    <col min="2" max="2" width="13" customWidth="1"/>
    <col min="3" max="11" width="14" customWidth="1"/>
    <col min="12" max="12" width="15" customWidth="1"/>
    <col min="13" max="13" width="45" customWidth="1"/>
  </cols>
  <sheetData>
    <row r="1" spans="1:13" x14ac:dyDescent="0.2">
      <c r="A1" s="13" t="s">
        <v>648</v>
      </c>
      <c r="B1" s="13" t="s">
        <v>649</v>
      </c>
      <c r="C1" s="13" t="s">
        <v>650</v>
      </c>
      <c r="D1" s="13" t="s">
        <v>651</v>
      </c>
      <c r="E1" s="13" t="s">
        <v>652</v>
      </c>
      <c r="F1" s="13" t="s">
        <v>653</v>
      </c>
      <c r="G1" s="13" t="s">
        <v>654</v>
      </c>
      <c r="H1" s="13" t="s">
        <v>655</v>
      </c>
      <c r="I1" s="13" t="s">
        <v>656</v>
      </c>
      <c r="J1" s="13" t="s">
        <v>657</v>
      </c>
      <c r="K1" s="13" t="s">
        <v>658</v>
      </c>
      <c r="L1" s="13" t="s">
        <v>659</v>
      </c>
      <c r="M1" s="13" t="s">
        <v>14</v>
      </c>
    </row>
    <row r="2" spans="1:13" x14ac:dyDescent="0.2">
      <c r="A2" s="14">
        <v>1</v>
      </c>
      <c r="B2" s="14">
        <v>0</v>
      </c>
      <c r="C2" s="14">
        <v>-7.0000000000000007E-2</v>
      </c>
      <c r="D2" s="14">
        <v>-0.15</v>
      </c>
      <c r="E2" s="14">
        <v>-0.23</v>
      </c>
      <c r="F2" s="14">
        <v>-0.32</v>
      </c>
      <c r="G2" s="14">
        <v>-0.4</v>
      </c>
      <c r="H2" s="14">
        <v>-0.5</v>
      </c>
      <c r="I2" s="14">
        <v>-0.6</v>
      </c>
      <c r="J2" s="14">
        <v>-0.71</v>
      </c>
      <c r="K2" s="14">
        <v>-0.84</v>
      </c>
      <c r="L2" s="14">
        <v>-0.99</v>
      </c>
      <c r="M2" s="14" t="s">
        <v>660</v>
      </c>
    </row>
    <row r="3" spans="1:13" x14ac:dyDescent="0.2">
      <c r="A3" s="14">
        <v>10</v>
      </c>
      <c r="B3" s="14">
        <v>0.04</v>
      </c>
      <c r="C3" s="14">
        <v>-0.04</v>
      </c>
      <c r="D3" s="14">
        <v>-0.12</v>
      </c>
      <c r="E3" s="14">
        <v>-0.2</v>
      </c>
      <c r="F3" s="14">
        <v>-0.28000000000000003</v>
      </c>
      <c r="G3" s="14">
        <v>-0.37</v>
      </c>
      <c r="H3" s="14">
        <v>-0.46</v>
      </c>
      <c r="I3" s="14">
        <v>-0.56999999999999995</v>
      </c>
      <c r="J3" s="14">
        <v>-0.68</v>
      </c>
      <c r="K3" s="14">
        <v>-0.8</v>
      </c>
      <c r="L3" s="14">
        <v>-0.96</v>
      </c>
      <c r="M3" s="14" t="s">
        <v>660</v>
      </c>
    </row>
    <row r="4" spans="1:13" x14ac:dyDescent="0.2">
      <c r="A4" s="14">
        <v>20</v>
      </c>
      <c r="B4" s="14">
        <v>0.08</v>
      </c>
      <c r="C4" s="14">
        <v>0</v>
      </c>
      <c r="D4" s="14">
        <v>-0.08</v>
      </c>
      <c r="E4" s="14">
        <v>-0.16</v>
      </c>
      <c r="F4" s="14">
        <v>-0.24</v>
      </c>
      <c r="G4" s="14">
        <v>-0.33</v>
      </c>
      <c r="H4" s="14">
        <v>-0.42</v>
      </c>
      <c r="I4" s="14">
        <v>-0.53</v>
      </c>
      <c r="J4" s="14">
        <v>-0.64</v>
      </c>
      <c r="K4" s="14">
        <v>-0.76</v>
      </c>
      <c r="L4" s="14">
        <v>-0.92</v>
      </c>
      <c r="M4" s="14" t="s">
        <v>660</v>
      </c>
    </row>
    <row r="5" spans="1:13" x14ac:dyDescent="0.2">
      <c r="A5" s="14">
        <v>30</v>
      </c>
      <c r="B5" s="14">
        <v>0.12</v>
      </c>
      <c r="C5" s="14">
        <v>0.04</v>
      </c>
      <c r="D5" s="14">
        <v>-0.04</v>
      </c>
      <c r="E5" s="14">
        <v>-0.12</v>
      </c>
      <c r="F5" s="14">
        <v>-0.2</v>
      </c>
      <c r="G5" s="14">
        <v>-0.28999999999999998</v>
      </c>
      <c r="H5" s="14">
        <v>-0.38</v>
      </c>
      <c r="I5" s="14">
        <v>-0.48</v>
      </c>
      <c r="J5" s="14">
        <v>-0.6</v>
      </c>
      <c r="K5" s="14">
        <v>-0.72</v>
      </c>
      <c r="L5" s="14">
        <v>-0.88</v>
      </c>
      <c r="M5" s="14" t="s">
        <v>660</v>
      </c>
    </row>
    <row r="6" spans="1:13" x14ac:dyDescent="0.2">
      <c r="A6" s="14">
        <v>40</v>
      </c>
      <c r="B6" s="14">
        <v>0.16</v>
      </c>
      <c r="C6" s="14">
        <v>0.09</v>
      </c>
      <c r="D6" s="14">
        <v>0.01</v>
      </c>
      <c r="E6" s="14">
        <v>-0.08</v>
      </c>
      <c r="F6" s="14">
        <v>-0.16</v>
      </c>
      <c r="G6" s="14">
        <v>-0.25</v>
      </c>
      <c r="H6" s="14">
        <v>-0.34</v>
      </c>
      <c r="I6" s="14">
        <v>-0.44</v>
      </c>
      <c r="J6" s="14">
        <v>-0.55000000000000004</v>
      </c>
      <c r="K6" s="14">
        <v>-0.68</v>
      </c>
      <c r="L6" s="14">
        <v>-0.84</v>
      </c>
      <c r="M6" s="14" t="s">
        <v>660</v>
      </c>
    </row>
    <row r="7" spans="1:13" x14ac:dyDescent="0.2">
      <c r="A7" s="14">
        <v>50</v>
      </c>
      <c r="B7" s="14">
        <v>0.2</v>
      </c>
      <c r="C7" s="14">
        <v>0.13</v>
      </c>
      <c r="D7" s="14">
        <v>0.05</v>
      </c>
      <c r="E7" s="14">
        <v>-0.03</v>
      </c>
      <c r="F7" s="14">
        <v>-0.12</v>
      </c>
      <c r="G7" s="14">
        <v>-0.21</v>
      </c>
      <c r="H7" s="14">
        <v>-0.3</v>
      </c>
      <c r="I7" s="14">
        <v>-0.4</v>
      </c>
      <c r="J7" s="14">
        <v>-0.51</v>
      </c>
      <c r="K7" s="14">
        <v>-0.64</v>
      </c>
      <c r="L7" s="14">
        <v>-0.8</v>
      </c>
      <c r="M7" s="14" t="s">
        <v>660</v>
      </c>
    </row>
    <row r="8" spans="1:13" x14ac:dyDescent="0.2">
      <c r="A8" s="14">
        <v>60</v>
      </c>
      <c r="B8" s="14">
        <v>0.25</v>
      </c>
      <c r="C8" s="14">
        <v>0.17</v>
      </c>
      <c r="D8" s="14">
        <v>0.09</v>
      </c>
      <c r="E8" s="14">
        <v>0.01</v>
      </c>
      <c r="F8" s="14">
        <v>-7.0000000000000007E-2</v>
      </c>
      <c r="G8" s="14">
        <v>-0.16</v>
      </c>
      <c r="H8" s="14">
        <v>-0.26</v>
      </c>
      <c r="I8" s="14">
        <v>-0.36</v>
      </c>
      <c r="J8" s="14">
        <v>-0.47</v>
      </c>
      <c r="K8" s="14">
        <v>-0.59</v>
      </c>
      <c r="L8" s="14">
        <v>-0.75</v>
      </c>
      <c r="M8" s="14" t="s">
        <v>660</v>
      </c>
    </row>
    <row r="9" spans="1:13" x14ac:dyDescent="0.2">
      <c r="A9" s="14">
        <v>70</v>
      </c>
      <c r="B9" s="14">
        <v>0.28999999999999998</v>
      </c>
      <c r="C9" s="14">
        <v>0.22</v>
      </c>
      <c r="D9" s="14">
        <v>0.14000000000000001</v>
      </c>
      <c r="E9" s="14">
        <v>0.06</v>
      </c>
      <c r="F9" s="14">
        <v>-0.03</v>
      </c>
      <c r="G9" s="14">
        <v>-0.12</v>
      </c>
      <c r="H9" s="14">
        <v>-0.21</v>
      </c>
      <c r="I9" s="14">
        <v>-0.31</v>
      </c>
      <c r="J9" s="14">
        <v>-0.42</v>
      </c>
      <c r="K9" s="14">
        <v>-0.55000000000000004</v>
      </c>
      <c r="L9" s="14">
        <v>-0.71</v>
      </c>
      <c r="M9" s="14" t="s">
        <v>660</v>
      </c>
    </row>
    <row r="10" spans="1:13" x14ac:dyDescent="0.2">
      <c r="A10" s="14">
        <v>80</v>
      </c>
      <c r="B10" s="14">
        <v>0.34</v>
      </c>
      <c r="C10" s="14">
        <v>0.26</v>
      </c>
      <c r="D10" s="14">
        <v>0.18</v>
      </c>
      <c r="E10" s="14">
        <v>0.1</v>
      </c>
      <c r="F10" s="14">
        <v>0.02</v>
      </c>
      <c r="G10" s="14">
        <v>-7.0000000000000007E-2</v>
      </c>
      <c r="H10" s="14">
        <v>-0.17</v>
      </c>
      <c r="I10" s="14">
        <v>-0.27</v>
      </c>
      <c r="J10" s="14">
        <v>-0.38</v>
      </c>
      <c r="K10" s="14">
        <v>-0.5</v>
      </c>
      <c r="L10" s="14">
        <v>-0.66</v>
      </c>
      <c r="M10" s="14" t="s">
        <v>660</v>
      </c>
    </row>
    <row r="11" spans="1:13" x14ac:dyDescent="0.2">
      <c r="A11" s="14">
        <v>90</v>
      </c>
      <c r="B11" s="14">
        <v>0.38</v>
      </c>
      <c r="C11" s="14">
        <v>0.31</v>
      </c>
      <c r="D11" s="14">
        <v>0.23</v>
      </c>
      <c r="E11" s="14">
        <v>0.15</v>
      </c>
      <c r="F11" s="14">
        <v>0.06</v>
      </c>
      <c r="G11" s="14">
        <v>-0.03</v>
      </c>
      <c r="H11" s="14">
        <v>-0.12</v>
      </c>
      <c r="I11" s="14">
        <v>-0.22</v>
      </c>
      <c r="J11" s="14">
        <v>-0.33</v>
      </c>
      <c r="K11" s="14">
        <v>-0.46</v>
      </c>
      <c r="L11" s="14">
        <v>-0.62</v>
      </c>
      <c r="M11" s="14" t="s">
        <v>660</v>
      </c>
    </row>
    <row r="12" spans="1:13" x14ac:dyDescent="0.2">
      <c r="A12" s="14">
        <v>100</v>
      </c>
      <c r="B12" s="14">
        <v>0.44</v>
      </c>
      <c r="C12" s="14">
        <v>0.37</v>
      </c>
      <c r="D12" s="14">
        <v>0.28999999999999998</v>
      </c>
      <c r="E12" s="14">
        <v>0.21</v>
      </c>
      <c r="F12" s="14">
        <v>0.12</v>
      </c>
      <c r="G12" s="14">
        <v>3.2000000000000001E-2</v>
      </c>
      <c r="H12" s="14">
        <v>-0.06</v>
      </c>
      <c r="I12" s="14">
        <v>-0.16</v>
      </c>
      <c r="J12" s="14">
        <v>-0.27</v>
      </c>
      <c r="K12" s="14">
        <v>-0.4</v>
      </c>
      <c r="L12" s="14">
        <v>-0.56000000000000005</v>
      </c>
      <c r="M12" s="14" t="s">
        <v>660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6B26B"/>
  </sheetPr>
  <dimension ref="A1:D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22" customWidth="1"/>
    <col min="4" max="4" width="45" customWidth="1"/>
  </cols>
  <sheetData>
    <row r="1" spans="1:4" x14ac:dyDescent="0.2">
      <c r="A1" s="13" t="s">
        <v>661</v>
      </c>
      <c r="B1" s="13" t="s">
        <v>662</v>
      </c>
      <c r="C1" s="13" t="s">
        <v>663</v>
      </c>
      <c r="D1" s="13" t="s">
        <v>14</v>
      </c>
    </row>
    <row r="2" spans="1:4" x14ac:dyDescent="0.2">
      <c r="A2" s="14" t="s">
        <v>664</v>
      </c>
      <c r="B2" s="14">
        <v>0.217</v>
      </c>
      <c r="C2" s="14"/>
      <c r="D2" s="14" t="s">
        <v>665</v>
      </c>
    </row>
    <row r="3" spans="1:4" x14ac:dyDescent="0.2">
      <c r="A3" s="14" t="s">
        <v>666</v>
      </c>
      <c r="B3" s="14">
        <v>0.25900000000000001</v>
      </c>
      <c r="C3" s="14">
        <v>172.9</v>
      </c>
      <c r="D3" s="14" t="s">
        <v>665</v>
      </c>
    </row>
    <row r="4" spans="1:4" x14ac:dyDescent="0.2">
      <c r="A4" s="14" t="s">
        <v>667</v>
      </c>
      <c r="B4" s="14">
        <v>0.33800000000000002</v>
      </c>
      <c r="C4" s="14">
        <v>18.510000000000002</v>
      </c>
      <c r="D4" s="14" t="s">
        <v>665</v>
      </c>
    </row>
    <row r="5" spans="1:4" x14ac:dyDescent="0.2">
      <c r="A5" s="14" t="s">
        <v>668</v>
      </c>
      <c r="B5" s="14">
        <v>0.186</v>
      </c>
      <c r="C5" s="14">
        <v>1.1859999999999999</v>
      </c>
      <c r="D5" s="14" t="s">
        <v>665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d465f887-04a9-4c17-8b62-103eddccf68b}" enabled="1" method="Standard" siteId="{ca2a7f76-dbd7-4ec0-9108-6b3d524fb7c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README</vt:lpstr>
      <vt:lpstr>fu_comparison</vt:lpstr>
      <vt:lpstr>study_setup</vt:lpstr>
      <vt:lpstr>impact_categories</vt:lpstr>
      <vt:lpstr>scenarios</vt:lpstr>
      <vt:lpstr>lci_raw_biopol</vt:lpstr>
      <vt:lpstr>lci_raw_timber</vt:lpstr>
      <vt:lpstr>lci_raw_cfw</vt:lpstr>
      <vt:lpstr>lci_raw_knit</vt:lpstr>
      <vt:lpstr>lci_baselines</vt:lpstr>
      <vt:lpstr>unit_burdens_dataSources</vt:lpstr>
      <vt:lpstr>product_size_formulas</vt:lpstr>
      <vt:lpstr>benefits_constants_dataSources</vt:lpstr>
      <vt:lpstr>EoL_constants</vt:lpstr>
      <vt:lpstr>eol_routes</vt:lpstr>
      <vt:lpstr>constants</vt:lpstr>
      <vt:lpstr>gwpbio_table</vt:lpstr>
      <vt:lpstr>dcf_bern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Tsui, T.P.Y. (Tanya)</cp:lastModifiedBy>
  <dcterms:created xsi:type="dcterms:W3CDTF">2026-09-25T12:10:23Z</dcterms:created>
  <dcterms:modified xsi:type="dcterms:W3CDTF">2026-09-29T12:48:19Z</dcterms:modified>
</cp:coreProperties>
</file>
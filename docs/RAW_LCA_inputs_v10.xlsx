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https://leidenuniv1-my.sharepoint.com/personal/tsuitpy_vuw_leidenuniv_nl/Documents/01_Projects/RAW/biobased_construction_impact_calculator/docs/"/>
    </mc:Choice>
  </mc:AlternateContent>
  <xr:revisionPtr revIDLastSave="1" documentId="11_9BF1AE14984E814EB722DE4337DED56DDC2DE503" xr6:coauthVersionLast="47" xr6:coauthVersionMax="47" xr10:uidLastSave="{BCB6C0F7-8DC7-5246-BD52-45C236AC1B0F}"/>
  <bookViews>
    <workbookView xWindow="0" yWindow="660" windowWidth="29400" windowHeight="18460" firstSheet="2" activeTab="9" xr2:uid="{00000000-000D-0000-FFFF-FFFF00000000}"/>
  </bookViews>
  <sheets>
    <sheet name="README" sheetId="1" r:id="rId1"/>
    <sheet name="fu_comparison" sheetId="2" r:id="rId2"/>
    <sheet name="study_setup" sheetId="3" r:id="rId3"/>
    <sheet name="impact_categories" sheetId="4" r:id="rId4"/>
    <sheet name="scenarios" sheetId="5" r:id="rId5"/>
    <sheet name="lci_baselines" sheetId="6" r:id="rId6"/>
    <sheet name="lci_raw_biopol" sheetId="7" r:id="rId7"/>
    <sheet name="lci_raw_knit" sheetId="8" r:id="rId8"/>
    <sheet name="lci_raw_timber" sheetId="9" r:id="rId9"/>
    <sheet name="lci_raw_cfw" sheetId="10" r:id="rId10"/>
    <sheet name="product_size_formulas" sheetId="11" r:id="rId11"/>
    <sheet name="unit_burdens_dataSources" sheetId="12" r:id="rId12"/>
    <sheet name="benefits_constants_dataSources" sheetId="13" r:id="rId13"/>
    <sheet name="EoL_constants" sheetId="14" r:id="rId14"/>
    <sheet name="eol_routes" sheetId="15" r:id="rId15"/>
    <sheet name="constants" sheetId="16" r:id="rId16"/>
    <sheet name="gwpbio_table" sheetId="17" r:id="rId17"/>
    <sheet name="dcf_bern" sheetId="18" r:id="rId18"/>
  </sheets>
  <calcPr calcId="0"/>
</workbook>
</file>

<file path=xl/sharedStrings.xml><?xml version="1.0" encoding="utf-8"?>
<sst xmlns="http://schemas.openxmlformats.org/spreadsheetml/2006/main" count="3553" uniqueCount="907">
  <si>
    <t>case</t>
  </si>
  <si>
    <t>group</t>
  </si>
  <si>
    <t>stage</t>
  </si>
  <si>
    <t>item</t>
  </si>
  <si>
    <t>qualifier</t>
  </si>
  <si>
    <t>parameter</t>
  </si>
  <si>
    <t>description</t>
  </si>
  <si>
    <t>unit</t>
  </si>
  <si>
    <t>typical</t>
  </si>
  <si>
    <t>min</t>
  </si>
  <si>
    <t>max</t>
  </si>
  <si>
    <t>scaled_up</t>
  </si>
  <si>
    <t>distribution</t>
  </si>
  <si>
    <t>choices</t>
  </si>
  <si>
    <t>source</t>
  </si>
  <si>
    <t>status</t>
  </si>
  <si>
    <t>comments</t>
  </si>
  <si>
    <t>raw_timber</t>
  </si>
  <si>
    <t>design</t>
  </si>
  <si>
    <t>product size</t>
  </si>
  <si>
    <t>product</t>
  </si>
  <si>
    <t>depth_ratio</t>
  </si>
  <si>
    <t>Beam span divided by beam depth</t>
  </si>
  <si>
    <t>-</t>
  </si>
  <si>
    <t>triangular</t>
  </si>
  <si>
    <t>product_LCIs formula (previous version of the sheet)</t>
  </si>
  <si>
    <t>placeholder</t>
  </si>
  <si>
    <t>width_ratio</t>
  </si>
  <si>
    <t>Beam depth divided by beam width</t>
  </si>
  <si>
    <t>density</t>
  </si>
  <si>
    <t>Density of the finished timber beam</t>
  </si>
  <si>
    <t>kg/m3</t>
  </si>
  <si>
    <t>production</t>
  </si>
  <si>
    <t>Hard wood</t>
  </si>
  <si>
    <t>recycled</t>
  </si>
  <si>
    <t>share of input mass</t>
  </si>
  <si>
    <t>Share of the production input mass made of this material (recycled); the shares of one stage add up to 100 %</t>
  </si>
  <si>
    <t>%</t>
  </si>
  <si>
    <t>repair</t>
  </si>
  <si>
    <t>Share of the repair input mass made of this material (recycled); the shares of one stage add up to 100 %</t>
  </si>
  <si>
    <t>manufacturing</t>
  </si>
  <si>
    <t>Scanning</t>
  </si>
  <si>
    <t>machine weight</t>
  </si>
  <si>
    <t>Weight of the machine used in this step (used to account for machine wear)</t>
  </si>
  <si>
    <t>kg</t>
  </si>
  <si>
    <t>HTML tool preset (placeholder)</t>
  </si>
  <si>
    <t>power</t>
  </si>
  <si>
    <t>Electric power the machine draws while running</t>
  </si>
  <si>
    <t>kW</t>
  </si>
  <si>
    <t>output rate</t>
  </si>
  <si>
    <t>Mass of material the machine processes per hour</t>
  </si>
  <si>
    <t>kg/hr</t>
  </si>
  <si>
    <t>machine lifetime</t>
  </si>
  <si>
    <t>Operating hours before the machine is worn out</t>
  </si>
  <si>
    <t>hrs</t>
  </si>
  <si>
    <t>process yield</t>
  </si>
  <si>
    <t>Share of the material entering this step that leaves it as usable output (the rest is waste)</t>
  </si>
  <si>
    <t>machine source</t>
  </si>
  <si>
    <t>Whether the machine is new (virgin) or reused/recycled (recycled)</t>
  </si>
  <si>
    <t>virgin</t>
  </si>
  <si>
    <t>choice</t>
  </si>
  <si>
    <t>virgin;recycled</t>
  </si>
  <si>
    <t>CNC milling</t>
  </si>
  <si>
    <t>circularity</t>
  </si>
  <si>
    <t>use</t>
  </si>
  <si>
    <t>expected lifetime</t>
  </si>
  <si>
    <t>Years the product lasts before any repair</t>
  </si>
  <si>
    <t>yrs</t>
  </si>
  <si>
    <t>lifetime extension per repair</t>
  </si>
  <si>
    <t>Years added to the product's life by one repair</t>
  </si>
  <si>
    <t>repair material</t>
  </si>
  <si>
    <t>share of product mass per repair</t>
  </si>
  <si>
    <t>Mass of material added per repair, as a share of the product mass</t>
  </si>
  <si>
    <t>end-of-life</t>
  </si>
  <si>
    <t>waste</t>
  </si>
  <si>
    <t>composted</t>
  </si>
  <si>
    <t>share of waste</t>
  </si>
  <si>
    <t>Share of the product's end-of-life mass that goes to this route (the routes add up to 100 %): composted</t>
  </si>
  <si>
    <t>fixed</t>
  </si>
  <si>
    <t>recycled_open</t>
  </si>
  <si>
    <t>Share of the product's end-of-life mass that goes to this route (the routes add up to 100 %): recycled (open loop)</t>
  </si>
  <si>
    <t>recycled_closed</t>
  </si>
  <si>
    <t>Share of the product's end-of-life mass that goes to this route (the routes add up to 100 %): recycled (closed loop)</t>
  </si>
  <si>
    <t>incinerated</t>
  </si>
  <si>
    <t>Share of the product's end-of-life mass that goes to this route (the routes add up to 100 %): incinerated with energy recovery</t>
  </si>
  <si>
    <t>landfilled</t>
  </si>
  <si>
    <t>Share of the product's end-of-life mass that goes to this route (the routes add up to 100 %): landfilled</t>
  </si>
  <si>
    <t>location</t>
  </si>
  <si>
    <t>general</t>
  </si>
  <si>
    <t>Country whose electricity mix is used for every process step, and whose grid is displaced by energy recovered at end of life</t>
  </si>
  <si>
    <t>country code</t>
  </si>
  <si>
    <t>NL</t>
  </si>
  <si>
    <t>topic</t>
  </si>
  <si>
    <t>explanation</t>
  </si>
  <si>
    <t>RAW LCA inputs (v2)</t>
  </si>
  <si>
    <t>All numbers of the RAW comparative LCA live in this workbook. The model reads it (via a snapshot saved in the code repository), so every value you enter is used in the results. Nothing is hidden in the code.</t>
  </si>
  <si>
    <t>Tab groups</t>
  </si>
  <si>
    <t>Tabs are grouped and ordered by their role in the LCA; each group has its own colour (tab, header row and cells). The lci_raw_* tabs are filled in by the case partners; all other tabs are maintained by the LCA team - please do not edit them, ask instead.</t>
  </si>
  <si>
    <t>1 Goal and scope (purple)</t>
  </si>
  <si>
    <t>fu_comparison, study_setup, impact_categories, scenarios</t>
  </si>
  <si>
    <t>2 Life cycle inventories (LCI) (teal)</t>
  </si>
  <si>
    <t>lci_raw_biopol, lci_raw_timber, lci_raw_cfw, lci_raw_knit, lci_baselines</t>
  </si>
  <si>
    <t>3 Product size (parametric LCA) (green)</t>
  </si>
  <si>
    <t>product_size_formulas</t>
  </si>
  <si>
    <t>4 Data sources and end-of-life constants (blue)</t>
  </si>
  <si>
    <t>unit_burdens_dataSources, benefits_constants_dataSources, EoL_constants, eol_routes</t>
  </si>
  <si>
    <t>5 Modelling constants (orange)</t>
  </si>
  <si>
    <t>constants, gwpbio_table, dcf_bern</t>
  </si>
  <si>
    <t>fu_comparison</t>
  </si>
  <si>
    <t>One row per RAW case: its functional unit (name, function, service life over which it is compared with its baselines), its quantifier (e.g. beam span in m), and the baseline products (conventional bio-based / conventional fossil-based) it is compared with.</t>
  </si>
  <si>
    <t>RAW case LCI tabs</t>
  </si>
  <si>
    <t>lci_raw_biopol, lci_raw_timber, lci_raw_cfw, lci_raw_knit: one row = one number of your prototype. Fill in `typical`, `min`, `max`, `source` and set `status` for every row. Fill `scaled_up` only for production steps that should use different values at large scale (see 'Scaling up a machine' below).</t>
  </si>
  <si>
    <t>Baseline LCI tab</t>
  </si>
  <si>
    <t>lci_baselines: one row = one input or output per kg of product. production rows: materials and other inputs (item = an activity on unit_burdens_dataSources). end-of-life rows: item = the waste treatment (an activity on unit_burdens_dataSources with an eol_type), qualifier = the material that is treated (a row of EoL_constants, which gives its allocation factor, quality ratio and heating value for the circular footprint formula). The product_size_formulas tab gives the kg of product, from the product size rows.</t>
  </si>
  <si>
    <t>Product size rows</t>
  </si>
  <si>
    <t>Rows with stage 'product size' are the constants in the case's formula on product_size_formulas (e.g. fibre_length_per_span, areal_density, density), with a typical value and a range like any other number. On the lci_raw_* tabs they are in the design group, so better designs show up in the sensitivity analysis; on lci_baselines they vary in the uncertainty analysis only. wall_height is part of the functional unit: it is fixed and must be equal for the compared walls.</t>
  </si>
  <si>
    <t>(lci_raw_* tabs only) design = what the product is made of; manufacturing = machines, loading, yield; circularity = lifetime, repair, end of life; location = which country's electricity. The groups are used in the sensitivity analysis, which covers the RAW cases only.</t>
  </si>
  <si>
    <t>typical / min / max</t>
  </si>
  <si>
    <t>typical = your best estimate. min and max = how low / high it could realistically be. If a number is fixed, set min = max = typical. Rows with missing min/max are highlighted in red; they are treated as fixed.</t>
  </si>
  <si>
    <t>triangular (typical is the most likely value), uniform, fixed, choice (for text values such as a country code or virgin/recycled), or combination (a recipe's fillers: see 'Recipes with variable fillers').</t>
  </si>
  <si>
    <t>source / status</t>
  </si>
  <si>
    <t>source = where the number comes from (measurement, colleague, paper, datasheet). status: placeholder (first guess by the LCA team, highlighted yellow), partner estimate, measured, literature.</t>
  </si>
  <si>
    <t>stage / item</t>
  </si>
  <si>
    <t>stage = product size (the constants in the product_size_formulas formula), production, repair, use, end-of-life, or general (the location row). item = the material, the process step, 'product' or 'waste' the number belongs to. The order of process steps is the order of the rows.</t>
  </si>
  <si>
    <t>Shares</t>
  </si>
  <si>
    <t>Bill-of-materials shares and end-of-life shares of one stage should add up to 100 %. The model re-normalises them. Exception: a recipe with variable fillers (below).</t>
  </si>
  <si>
    <t>Recipes with variable fillers</t>
  </si>
  <si>
    <t>A recipe stage (lci_raw_biopol: production and repair) can let the analyses vary which ingredients are used, with three rows: (1) the binder's 'share of input mass' - its min is the smallest allowed binder share (70 %); (2) 'filler combination' (distribution = combination): choices = the fillers that may be used, written 'material (source)'; min / max = the smallest / largest number of fillers; typical = the current recipe, e.g. 'Sawdust + Seagrass'; (3) 'share of first filler': the share of the filler mass (100 % - binder) that is the first filler; the second gets the rest. The typical values give the current recipe; in the uncertainty and sensitivity analyses each allowed filler combination is equally likely.</t>
  </si>
  <si>
    <t>Process yield</t>
  </si>
  <si>
    <t>Share of the material entering a step that leaves it as good output (the rest becomes waste). Output rate = kg processed per hour. Machine lifetime = operating hours.</t>
  </si>
  <si>
    <t>Repairs</t>
  </si>
  <si>
    <t>The number of repair events is not entered: it is the smallest number of repairs that makes the product last the service life of its functional unit (fu_comparison), i.e. (service life - expected lifetime) / lifetime extension per repair, rounded up, and 0 if the expected lifetime already reaches it.</t>
  </si>
  <si>
    <t>Scaling up a machine</t>
  </si>
  <si>
    <t>A production step is scaled up if its `scaled_up` cells are filled in (machine weight, power, output rate, machine lifetime, all four); the model uses those values instead of the prototype ones for that step in the 'scaled up' variant. Leave `scaled_up` blank to keep the step at prototype scale.</t>
  </si>
  <si>
    <t>Do not</t>
  </si>
  <si>
    <t>Do not rename tabs or columns, and do not delete rows without asking: the model reads them by name. You may add rows: copy a row of the same kind and change `item` (a new material must exist on tab unit_burdens_dataSources).</t>
  </si>
  <si>
    <t>Version</t>
  </si>
  <si>
    <t>v2, 2026-09-25. Initial values are first guesses by the LCA team (status = placeholder) and must be replaced by the partners. Method description: docs/methods.md in the code repository.</t>
  </si>
  <si>
    <t>raw_case</t>
  </si>
  <si>
    <t>fu_name</t>
  </si>
  <si>
    <t>function</t>
  </si>
  <si>
    <t>service_life</t>
  </si>
  <si>
    <t>service_life_unit</t>
  </si>
  <si>
    <t>quantifier_label</t>
  </si>
  <si>
    <t>quantifier_unit</t>
  </si>
  <si>
    <t>baseline_biobased</t>
  </si>
  <si>
    <t>baseline_fossil</t>
  </si>
  <si>
    <t>Structural beam (reclaimed timber CNC beam vs. baselines)</t>
  </si>
  <si>
    <t>Structural beam spanning between two supports</t>
  </si>
  <si>
    <t>beam span</t>
  </si>
  <si>
    <t>m</t>
  </si>
  <si>
    <t>glulam beam</t>
  </si>
  <si>
    <t>reinforced concrete beam</t>
  </si>
  <si>
    <t>raw_cfw</t>
  </si>
  <si>
    <t>Structural beam (coreless filament winding vs. baselines)</t>
  </si>
  <si>
    <t>raw_biopol</t>
  </si>
  <si>
    <t>Interior wall (3D-printed biopolymer vs. baselines)</t>
  </si>
  <si>
    <t>Interior partition wall</t>
  </si>
  <si>
    <t>wall length</t>
  </si>
  <si>
    <t>adobe brick for interior wall</t>
  </si>
  <si>
    <t>clay brick for interior wall</t>
  </si>
  <si>
    <t>raw_knit</t>
  </si>
  <si>
    <t>Architectural membrane (knitted hemp vs. baseline)</t>
  </si>
  <si>
    <t>Architectural membrane covering a surface</t>
  </si>
  <si>
    <t>membrane coverage</t>
  </si>
  <si>
    <t>m2</t>
  </si>
  <si>
    <t>synthetic polymer architectural membrane</t>
  </si>
  <si>
    <t>value</t>
  </si>
  <si>
    <t>spec_span</t>
  </si>
  <si>
    <t>Beam span used for the beam cases (raw_timber, raw_cfw and their baselines)</t>
  </si>
  <si>
    <t>spec_length</t>
  </si>
  <si>
    <t>Wall length used for the wall case (raw_biopol and its baselines)</t>
  </si>
  <si>
    <t>spec_coverage</t>
  </si>
  <si>
    <t>Membrane coverage used for the membrane case (raw_knit and its baseline)</t>
  </si>
  <si>
    <t>sweep_span</t>
  </si>
  <si>
    <t>3:12:10</t>
  </si>
  <si>
    <t>min:max:steps (m)</t>
  </si>
  <si>
    <t>Range of beam spans for the spec sweep</t>
  </si>
  <si>
    <t>sweep_length</t>
  </si>
  <si>
    <t>2:12:11</t>
  </si>
  <si>
    <t>Range of wall lengths for the spec sweep</t>
  </si>
  <si>
    <t>sweep_coverage</t>
  </si>
  <si>
    <t>10:500:10</t>
  </si>
  <si>
    <t>min:max:steps (m2)</t>
  </si>
  <si>
    <t>Range of membrane coverages for the spec sweep</t>
  </si>
  <si>
    <t>location_choices</t>
  </si>
  <si>
    <t>NL;DE;FR;ES;IT;PL;SE</t>
  </si>
  <si>
    <t>country codes</t>
  </si>
  <si>
    <t>Countries between which the location parameters vary in the sensitivity/uncertainty analysis (placeholder list)</t>
  </si>
  <si>
    <t>mc_iterations</t>
  </si>
  <si>
    <t>#</t>
  </si>
  <si>
    <t>Monte Carlo iterations for the parameter uncertainty analysis</t>
  </si>
  <si>
    <t>interval_percentiles</t>
  </si>
  <si>
    <t>5;95</t>
  </si>
  <si>
    <t>percent</t>
  </si>
  <si>
    <t>Lower and upper percentile of the uncertainty intervals drawn in the charts</t>
  </si>
  <si>
    <t>ecoinvent_version</t>
  </si>
  <si>
    <t>ecoinvent release used for the background</t>
  </si>
  <si>
    <t>ecoinvent_system_model</t>
  </si>
  <si>
    <t>cutoff</t>
  </si>
  <si>
    <t>ecoinvent system model</t>
  </si>
  <si>
    <t>impact_method</t>
  </si>
  <si>
    <t>EF v3.1</t>
  </si>
  <si>
    <t>LCIA method family (Brightway method names ecoinvent-&lt;version&gt; / &lt;family&gt; / ...)</t>
  </si>
  <si>
    <t>mc_seed</t>
  </si>
  <si>
    <t>Random seed (makes results reproducible)</t>
  </si>
  <si>
    <t>background_mc_iterations</t>
  </si>
  <si>
    <t>Brightway Monte Carlo iterations sampled for the background (ecoinvent) uncertainty</t>
  </si>
  <si>
    <t>sobol_base_samples</t>
  </si>
  <si>
    <t>Base sample size N of the Sobol sensitivity analysis</t>
  </si>
  <si>
    <t>category</t>
  </si>
  <si>
    <t>label</t>
  </si>
  <si>
    <t>plot_in_bar_charts</t>
  </si>
  <si>
    <t>climate change</t>
  </si>
  <si>
    <t>kg CO2-eq</t>
  </si>
  <si>
    <t>True</t>
  </si>
  <si>
    <t>ozone depletion</t>
  </si>
  <si>
    <t>kg CFC-11-eq</t>
  </si>
  <si>
    <t>particulate matter formation</t>
  </si>
  <si>
    <t>disease incidence</t>
  </si>
  <si>
    <t>acidification</t>
  </si>
  <si>
    <t>mol H+-eq</t>
  </si>
  <si>
    <t>eutrophication: freshwater</t>
  </si>
  <si>
    <t>kg P-eq</t>
  </si>
  <si>
    <t>freshwater eutrophication</t>
  </si>
  <si>
    <t>land use</t>
  </si>
  <si>
    <t>dimensionless (soil quality index)</t>
  </si>
  <si>
    <t>water use</t>
  </si>
  <si>
    <t>m3 world-eq deprived</t>
  </si>
  <si>
    <t>material resources: metals/minerals</t>
  </si>
  <si>
    <t>kg Sb-eq</t>
  </si>
  <si>
    <t>mineral resources</t>
  </si>
  <si>
    <t>climate change: biogenic</t>
  </si>
  <si>
    <t>False</t>
  </si>
  <si>
    <t>climate change: fossil</t>
  </si>
  <si>
    <t>climate change: land use and land use change</t>
  </si>
  <si>
    <t>ecotoxicity: freshwater</t>
  </si>
  <si>
    <t>CTUe</t>
  </si>
  <si>
    <t>ecotoxicity: freshwater, inorganics</t>
  </si>
  <si>
    <t>ecotoxicity: freshwater, organics</t>
  </si>
  <si>
    <t>energy resources: non-renewable</t>
  </si>
  <si>
    <t>MJ</t>
  </si>
  <si>
    <t>eutrophication: marine</t>
  </si>
  <si>
    <t>kg N-eq</t>
  </si>
  <si>
    <t>eutrophication: terrestrial</t>
  </si>
  <si>
    <t>mol N-eq</t>
  </si>
  <si>
    <t>human toxicity: carcinogenic</t>
  </si>
  <si>
    <t>CTUh</t>
  </si>
  <si>
    <t>human toxicity: carcinogenic, inorganics</t>
  </si>
  <si>
    <t>human toxicity: carcinogenic, organics</t>
  </si>
  <si>
    <t>human toxicity: non-carcinogenic</t>
  </si>
  <si>
    <t>human toxicity: non-carcinogenic, inorganics</t>
  </si>
  <si>
    <t>human toxicity: non-carcinogenic, organics</t>
  </si>
  <si>
    <t>ionising radiation: human health</t>
  </si>
  <si>
    <t>kBq U235-eq</t>
  </si>
  <si>
    <t>photochemical oxidant formation: human health</t>
  </si>
  <si>
    <t>dimensionless (tropospheric ozone concentration increase)</t>
  </si>
  <si>
    <t>scenario_id</t>
  </si>
  <si>
    <t>premise_model</t>
  </si>
  <si>
    <t>premise_pathway</t>
  </si>
  <si>
    <t>premise_year</t>
  </si>
  <si>
    <t>in_results</t>
  </si>
  <si>
    <t>baseline</t>
  </si>
  <si>
    <t>today</t>
  </si>
  <si>
    <t>Ecoinvent 3.12 cut-off as is</t>
  </si>
  <si>
    <t>image_SSP2-M_2050</t>
  </si>
  <si>
    <t>2050 (SSP2-M)</t>
  </si>
  <si>
    <t>image</t>
  </si>
  <si>
    <t>SSP2-M</t>
  </si>
  <si>
    <t>premise scenario, medium ambition</t>
  </si>
  <si>
    <t>image_SSP2-L_2050</t>
  </si>
  <si>
    <t>SSP2-L</t>
  </si>
  <si>
    <t>premise scenario used for the 2050 results</t>
  </si>
  <si>
    <t>Rule of thumb span/depth ~20 for glulam beams (civilsir.com/glulam-span-rule-of-thumb)</t>
  </si>
  <si>
    <t>literature</t>
  </si>
  <si>
    <t>Single, US-origin rule of thumb; kept range 16-24. Worth checking against EN 1995 / Dutch practice (span/depth 15-20).</t>
  </si>
  <si>
    <t>Beam width = 1/3 to 1/4 of depth (civilsir.com/glulam-span-rule-of-thumb); APA limits depth/width to &lt;=12 (anthonyforest.com APA TT-085)</t>
  </si>
  <si>
    <t>Typical moved from 3 to 3.5 (midpoint of the 3-4 rule of thumb). Lowers beam mass ~14% vs before.</t>
  </si>
  <si>
    <t>Density of glulam timber</t>
  </si>
  <si>
    <t>common sense: between EN 14080 GL24h (~420) and Annebergs EPD (461)</t>
  </si>
  <si>
    <t>partner estimate</t>
  </si>
  <si>
    <t>Common-sense estimate (Claude, for LCA-team review): GL24h spruce glulam has a mean density of ~420 kg/m3 (EN 14080, from memory) and the Danish EPD declares 461, so 439 sits between the two. Fixed because timber is bought per m3. | earlier note: fixed: glulam timber is bought in m3, at 1 / density m3 per kg of product (production row). 461 (EPD) vs 439 is a 5% difference; if you change this, change the production row to 1/density too.</t>
  </si>
  <si>
    <t>glulam timber</t>
  </si>
  <si>
    <t>amount per kg product</t>
  </si>
  <si>
    <t>Amount of glulam timber per kg of product</t>
  </si>
  <si>
    <t>m3/kg</t>
  </si>
  <si>
    <t>derived: 1/density</t>
  </si>
  <si>
    <t>Common-sense estimate (Claude, for LCA-team review): Exactly 1/density: 1 kg of beam needs 1/439 m3 of glulam, no cutting waste modelled (offcuts are inside the cradle-to-gate dataset). | earlier note: 1 / 439 kg per m3</t>
  </si>
  <si>
    <t>service life</t>
  </si>
  <si>
    <t>Years the product lasts in use</t>
  </si>
  <si>
    <t>Assumed equal to the reinforced concrete beam (structural frame element, protected interior). EN 1990 design working life 50 y (class 3) to 100 y (class 4) (betonhuis.nl); Annebergs glulam EPD declares no RSL</t>
  </si>
  <si>
    <t>Common-sense estimate (Claude, for LCA-team review): A protected glulam beam does not rot or fatigue, so it lasts as long as the building it sits in. Used the same 75 y as concrete (range 50-100 y) so the comparison is not tilted by lifetime alone. | earlier note: Raised from 60. No glulam-specific reference service life found; equal lifetimes avoid biasing the comparison (burdens are scaled by service_life / L). Decision for you: keep 75 or set a glulam-specific value.</t>
  </si>
  <si>
    <t>waste incineration</t>
  </si>
  <si>
    <t>kg of glulam timber that goes to waste incineration at end of life, per kg of product</t>
  </si>
  <si>
    <t>kg/kg</t>
  </si>
  <si>
    <t>common sense, cross-checked with Annebergs glulam EPD (47% recycling / 53% incineration / 0% landfill)</t>
  </si>
  <si>
    <t>Common-sense estimate (Claude, for LCA-team review): Kept your numbers (you said they look fine). Reasoning: glue and preservatives make post-consumer glulam grade B/C wood, which goes mostly to energy recovery (Danish EPD: 53% energy, 47% chips) with a smaller part to chipboard; landfilling is banned or rare in NL/DK/DE, so 10% landfill is on the high side and could be ~0-5%.</t>
  </si>
  <si>
    <t>waste recycling</t>
  </si>
  <si>
    <t>kg of glulam timber that goes to waste recycling at end of life, per kg of product</t>
  </si>
  <si>
    <t>Common-sense estimate (Claude, for LCA-team review): Kept. Recycled into chipboard (open loop); 30% is between practice for glued wood (~10-20%) and the Danish EPD's 47%.</t>
  </si>
  <si>
    <t>waste landfilling</t>
  </si>
  <si>
    <t>kg of glulam timber that goes to waste landfilling at end of life, per kg of product</t>
  </si>
  <si>
    <t>Common-sense estimate (Claude, for LCA-team review): Kept. Probably a slight overestimate for NL (landfill of wood is banned), a reasonable Europe-wide value.</t>
  </si>
  <si>
    <t>Country whose electricity mix is displaced by energy recovered at end of life</t>
  </si>
  <si>
    <t>model choice</t>
  </si>
  <si>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</si>
  <si>
    <t>Eurocode 2 Table 7.4N basic span/depth limits: 20 simply supported, 14 continuous (anbeal.co.uk/ec2spantodepth)</t>
  </si>
  <si>
    <t>Typical unchanged (12, stocky beam); max raised to 20 = EC2 limit for simply supported beams. Actual depth depends on load, so this stays a design assumption.</t>
  </si>
  <si>
    <t>width_over_depth</t>
  </si>
  <si>
    <t>Beam width divided by beam depth</t>
  </si>
  <si>
    <t>structural rule of thumb</t>
  </si>
  <si>
    <t>Common-sense estimate (Claude, for LCA-team review): Beam width is usually about half the depth (b = h/2, engineers use h/3 to 2h/3 as rule of thumb); narrower beams need more depth, wider ones clash with wall thickness. 0.4-0.6 spans the common range. | earlier note: No source found; b/h 0.4-0.6 is common practice. Left as team assumption.</t>
  </si>
  <si>
    <t>concrete_density</t>
  </si>
  <si>
    <t>Density of reinforced concrete</t>
  </si>
  <si>
    <t>EN 1991-1-1 Annex A: reinforced normal-weight concrete 25 kN/m3 (standard value, not re-checked online this session)</t>
  </si>
  <si>
    <t>Was 2400 (range 1920-2880 = +-20%, too wide for normal-weight concrete). Implied rebar ~150 kg/m3 = 6% of mass, consistent with the steel production row.</t>
  </si>
  <si>
    <t>concrete</t>
  </si>
  <si>
    <t>Amount of concrete per kg of product</t>
  </si>
  <si>
    <t>engineering estimate: rebar ratio 100-250 kg/m3</t>
  </si>
  <si>
    <t>Common-sense estimate (Claude, for LCA-team review): Rebar in RC beams is typically 100-250 kg per m3 of concrete; 150 kg/m3 at 2500 kg/m3 gives 6% steel and 94% concrete. Rebar content is a real uncertainty that changes the beam's footprint a lot (steel is ~10x more carbon-intensive per kg), so it now varies in the uncertainty analysis (shares are re-normalised). Concrete is the complement of steel: 0.90-0.96.</t>
  </si>
  <si>
    <t>steel</t>
  </si>
  <si>
    <t>Amount of steel per kg of product</t>
  </si>
  <si>
    <t>Common-sense estimate (Claude, for LCA-team review): 150 kg rebar per m3 of concrete / 2500 kg per m3 = 6%. Range 100-250 kg/m3 = 4-10%. Stiffer/heavily loaded beams and shorter spans sit at the top of the range.</t>
  </si>
  <si>
    <t>formwork</t>
  </si>
  <si>
    <t>Amount of formwork per kg of product</t>
  </si>
  <si>
    <t>recalculated for density 2500 kg/m3 ; derived from beam geometry, 10 reuses</t>
  </si>
  <si>
    <t>Common-sense estimate (Claude, for LCA-team review): Plywood formwork reused ~10 times; 8.1 kg per 1875 kg beam at 6 m span (formula in the earlier note). Fixed because it is a geometric consequence of the reference span. | earlier note: fixed per kg of beam, exact at the 6 m reference span: formwork 6 x (2 x 0.5 + 0.25) m x 0.018 m x 600 kg/m3 / 10 reuses = 8.1 kg per 1875 kg of beam (6 m x 0.5 x 0.25 m x 2500 kg/m3) = 0.00432 kg/kg</t>
  </si>
  <si>
    <t>EN 1990 design working life 50 y (class 3) to 100 y (class 4); SBR: service life of most concrete structural parts &gt; 100 y (betonhuis.nl/beton-en-de-technische-levensduur)</t>
  </si>
  <si>
    <t>75 = common building-life convention, kept as typical; range widened to 50-100.</t>
  </si>
  <si>
    <t>waste reinforced concrete recycling</t>
  </si>
  <si>
    <t>reinforced concrete</t>
  </si>
  <si>
    <t>kg of reinforced concrete beam (concrete + rebar, treated as a whole) that goes to waste reinforced concrete recycling at end of life, per kg of product</t>
  </si>
  <si>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</si>
  <si>
    <t>Whole beam treated as one stream (concrete + steel not split). Includes backfilling (7% of EU CDW), which has no separate activity here; EU mineral-only recycling+backfilling = 87/94 = 93% (energy-recovery share excluded), rounded down to 90% for reporting bias. Range: min ~ countries with 70-80% recovery, max ~ NL (98%).</t>
  </si>
  <si>
    <t>waste concrete landfilling</t>
  </si>
  <si>
    <t>kg of reinforced concrete beam (concrete + rebar, treated as a whole) that goes to waste concrete landfilling at end of life, per kg of product</t>
  </si>
  <si>
    <t>Complement of recycling row (shares re-normalised to 100%). EU ~7%, NL ~2%; typical 10% kept conservative for whole-Europe scope. Beam's ~6% steel is landfilled with the concrete here (ecoinvent 'waste concrete' dataset).</t>
  </si>
  <si>
    <t>"traditional" coreless filament winded beam</t>
  </si>
  <si>
    <t>fibre_length_per_span</t>
  </si>
  <si>
    <t>Metres of fibre per metre of beam span</t>
  </si>
  <si>
    <t>m/m</t>
  </si>
  <si>
    <t>same value as lci_raw_cfw (Stuttgart CFW paper)</t>
  </si>
  <si>
    <t>Common-sense estimate (Claude, for LCA-team review): Kept identical to the RAW coreless-winding case (lci_raw_cfw), because the baseline is the same structure made with glass/epoxy; using other numbers would bias the comparison.</t>
  </si>
  <si>
    <t>fibre_mass_per_length</t>
  </si>
  <si>
    <t>Mass of one metre of glass fibre</t>
  </si>
  <si>
    <t>kg/m</t>
  </si>
  <si>
    <t>same value as lci_raw_cfw</t>
  </si>
  <si>
    <t>Common-sense estimate (Claude, for LCA-team review): 0.006 kg/m corresponds to 6000 tex, i.e. a bundle of a few standard 1200-2400 tex glass rovings. Kept equal to lci_raw_cfw for a fair comparison. | to be replaced when the Stuttgart CFW LCA data arrive</t>
  </si>
  <si>
    <t>fibre_mass_share</t>
  </si>
  <si>
    <t>Share of the composite mass that is fibre</t>
  </si>
  <si>
    <t>common sense: typical wet-winding fibre mass fraction 60-70%</t>
  </si>
  <si>
    <t>Common-sense estimate (Claude, for LCA-team review): Wet filament-wound glass/epoxy usually has 60-70% fibre by mass; 60% (range 48-72%) is at the low end, which is safe for uncertain resin uptake. Must equal the glass fibre production row. | to be replaced when the Stuttgart CFW LCA data arrive</t>
  </si>
  <si>
    <t>glass fibre</t>
  </si>
  <si>
    <t>Amount of glass fibre per kg of product</t>
  </si>
  <si>
    <t>derived: = fibre_mass_share</t>
  </si>
  <si>
    <t>Common-sense estimate (Claude, for LCA-team review): Equal to fibre_mass_share (0.6): each kg of composite is 0.6 kg glass fibre. | to be replaced when the Stuttgart CFW LCA data arrive</t>
  </si>
  <si>
    <t>Fiber glue (epoxy resin)</t>
  </si>
  <si>
    <t>Amount of Fiber glue (epoxy resin) per kg of product</t>
  </si>
  <si>
    <t>derived: 1 - fibre_mass_share</t>
  </si>
  <si>
    <t>Common-sense estimate (Claude, for LCA-team review): Complement of fibre share: 1 - 0.6 = 0.4 kg epoxy per kg composite. | to be replaced when the Stuttgart CFW LCA data arrive</t>
  </si>
  <si>
    <t>common sense: design life of FRP structures ~50 y</t>
  </si>
  <si>
    <t>Common-sense estimate (Claude, for LCA-team review): Glass/epoxy beams in a dry interior do not corrode, but polymers age (moisture, UV, creep) and the design life of composite structures is normally set at 50 y. Kept 50 y (same as RAW case), range 40-60. | earlier note: No source found for GFRP beams in buildings; kept as placeholder.</t>
  </si>
  <si>
    <t>waste inert landfilling</t>
  </si>
  <si>
    <t>kg of glass fibre that goes to waste inert landfilling at end of life, per kg of product</t>
  </si>
  <si>
    <t>Composite waste is mostly landfilled today; outside construction/automotive/electronics no regulation limits composite landfilling (Composites UK, End-of-Life Solutions tech sheet). No quantitative EU share found; shares kept as team assumption ; common sense; no quantitative EU share found (Composites UK tech sheet)</t>
  </si>
  <si>
    <t>Common-sense estimate (Claude, for LCA-team review): No recycling route for thermoset composite exists at scale in Europe (mechanical grinding and cement co-processing are niche), so the realistic routes are landfill or municipal incineration. Glass does not burn, so it ends up as inert residue anyway. | to be replaced when the Stuttgart CFW LCA data arrive. Glass fibre and epoxy are inseparable in practice; splitting them over two landfill activities is a modelling convenience.</t>
  </si>
  <si>
    <t>waste plastic landfilling</t>
  </si>
  <si>
    <t>kg of Fiber glue (epoxy resin) that goes to waste plastic landfilling at end of life, per kg of product</t>
  </si>
  <si>
    <t>Common-sense estimate (Claude, for LCA-team review): Epoxy is inseparable from the fibre; modelled together with it as landfill. A share would be incinerated in reality; range 32-48% only reflects sampling around 0.4, not route uncertainty. | to be replaced when the Stuttgart CFW LCA data arrive. Glass fibre and epoxy are inseparable in practice; splitting them over two landfill activities is a modelling convenience.</t>
  </si>
  <si>
    <t>wall_height</t>
  </si>
  <si>
    <t>Height of the wall</t>
  </si>
  <si>
    <t>functional unit (fu_comparison)</t>
  </si>
  <si>
    <t>Common-sense estimate (Claude, for LCA-team review): Part of the functional unit (3 m partition, standard storey height), must equal for all compared walls. | earlier note: part of the functional unit - keep equal across the compared walls</t>
  </si>
  <si>
    <t>thickness_ratio</t>
  </si>
  <si>
    <t>Wall height divided by wall thickness</t>
  </si>
  <si>
    <t>same value as lci_raw_biopol</t>
  </si>
  <si>
    <t>Common-sense estimate (Claude, for LCA-team review): Height/thickness = 10 gives a 0.30 m wall, the thickness of the RAW printed wall (lci_raw_biopol uses the same 10); a thin unreinforced earth wall is limited by slenderness, so 8-12 (0.25-0.375 m) is realistic. Note: this makes adobe ~2.6x thicker than the clay brick partition (0.115 m), so its mass per m of wall is much higher.</t>
  </si>
  <si>
    <t>Density of the adobe wall (mortar is the same material)</t>
  </si>
  <si>
    <t>common sense: adobe/earth block dry density 1200-1900 kg/m3</t>
  </si>
  <si>
    <t>Common-sense estimate (Claude, for LCA-team review): Dry adobe with straw/fibre is 1200-1900 kg/m3 (fully compacted soil reaches ~2000+, which adobe usually does not). Typical 1700, range narrowed to 1300-1900 (was 1360-2040). | earlier note: Adobe brick density: no adobe-specific source retrieved (compacted raw earth optimum 2160 kg/m3 is for rammed earth, not adobe). Kept placeholder.</t>
  </si>
  <si>
    <t>adobe brick</t>
  </si>
  <si>
    <t>Amount of adobe brick per kg of product</t>
  </si>
  <si>
    <t>definition</t>
  </si>
  <si>
    <t>Common-sense estimate (Claude, for LCA-team review): Wall = bricks laid in earth mortar of the same material, so 1 kg wall = 1 kg adobe.</t>
  </si>
  <si>
    <t>common sense</t>
  </si>
  <si>
    <t>Common-sense estimate (Claude, for LCA-team review): Protected interior earth walls last as long as the building if kept dry, but unfired earth is moisture-sensitive and partitions get rebuilt at refurbishments. Set at 60 y (clay brick 75 y): a modest discount for moisture risk, range 40-100. | earlier note: No source found for interior adobe walls. Protected, dry earthen walls can last centuries, so 50 y is conservative and penalises adobe vs clay brick (75 y): decision for you.</t>
  </si>
  <si>
    <t>kg of adobe brick that goes to waste inert landfilling at end of life, per kg of product</t>
  </si>
  <si>
    <t>common sense; adobe is infinitely recyclable in principle (Materials and Structures 2025)</t>
  </si>
  <si>
    <t>Common-sense estimate (Claude, for LCA-team review): Unfired adobe is not fired ceramic: it can be re-wetted and reformed or used as fill/plaster, so about half is reused, half is disposed as inert waste. Range widened to 25-75% because practice is so uncertain. | earlier note: the other 50 % is reused (no treatment). Recycling of raw earth has no activity on the sheet, so it is not modelled.</t>
  </si>
  <si>
    <t>Common-sense estimate (Claude, for LCA-team review): Part of the functional unit (3 m partition), must equal for all compared walls. | earlier note: part of the functional unit - keep equal across the compared walls</t>
  </si>
  <si>
    <t>thickness</t>
  </si>
  <si>
    <t>Wall thickness (standard brick)</t>
  </si>
  <si>
    <t>common sense: NL standard brick width 100-115 mm</t>
  </si>
  <si>
    <t>Common-sense estimate (Claude, for LCA-team review): Standard Dutch brick partition: one brick wide (100 mm Waalformaat) to a half-brick wall (115 mm); range 92-138 mm covers 90 mm to 140 mm partitions.</t>
  </si>
  <si>
    <t>Density of brick and mortar</t>
  </si>
  <si>
    <t>common sense: masonry density 1600-2100 kg/m3</t>
  </si>
  <si>
    <t>Common-sense estimate (Claude, for LCA-team review): Solid clay brick is 1800-2000 kg/m3, perforated brick 1400-1700, mortar ~1800-2000. Wall average 1900 kept; range narrowed to 1600-2100 (was 1520-2280).</t>
  </si>
  <si>
    <t>clay brick</t>
  </si>
  <si>
    <t>Amount of clay brick per kg of product</t>
  </si>
  <si>
    <t>Engineering calculation: Waalformaat brick 210x100x50 mm with 10 mm joints -&gt; face area of brick/module = (210x50)/(220x60) = 79.5%, so mortar = 20.5% of volume; mass share = 0.205x1800/(0.205x1800+0.795x1900) = 19.6% ; derived: 1 - mortar share</t>
  </si>
  <si>
    <t>Common-sense estimate (Claude, for LCA-team review): Complement of the mortar share (0.2), see engineering calculation in the source column. | earlier note: Was 0.84 / 0.16. Assumes 10 mm joints and mortar 1800 kg/m3, brick 1900 kg/m3. Thin-bed (UK/DE) masonry would be ~10%.</t>
  </si>
  <si>
    <t>lime mortar</t>
  </si>
  <si>
    <t>Amount of lime mortar per kg of product</t>
  </si>
  <si>
    <t>see clay brick row (engineering calculation) ; engineering calculation (see clay brick row)</t>
  </si>
  <si>
    <t>Common-sense estimate (Claude, for LCA-team review): Joint volume = 20.5% of a Waalformaat wall (10 mm joints); by mass ~20%. Thin-bed masonry would be ~10%, so 0.2 is a conservative-high value. | earlier note: Was 0.16.</t>
  </si>
  <si>
    <t>Brick facade masonry service life 'ruim boven 75', 100+ y in SBR tables (KNB, eindrapport LCC baksteenmetselwerk)</t>
  </si>
  <si>
    <t>75 kept as typical (building-life convention), max raised to 100. Interior walls are less exposed than facades.</t>
  </si>
  <si>
    <t>waste brick recycling</t>
  </si>
  <si>
    <t>kg of clay brick that goes to waste brick recycling at end of life, per kg of product</t>
  </si>
  <si>
    <t>EU-27 C&amp;D waste 2020-21: 80% recycling + 7% backfilling, 7% landfill, 6% energy recovery (JRC131294 p.10); NL 2012: 98% recovery, ~2% landfill (EC CDW factsheet NL). Same whole-masonry logic as the reinforced concrete beam: crushed as one stream</t>
  </si>
  <si>
    <t>90% of the brick fraction (0.80 kg/kg) recycled incl. backfilling. Selective deconstruction and reuse of whole bricks (24-79% reclaim rates in Finland/Belgium/Denmark, Buildings &amp; Cities 2024) is not modelled, so this is conservative.</t>
  </si>
  <si>
    <t>kg of clay brick that goes to waste inert landfilling at end of life, per kg of product</t>
  </si>
  <si>
    <t>10% of the brick fraction landfilled (range 2-20%).</t>
  </si>
  <si>
    <t>kg of lime mortar that goes to waste inert landfilling at end of life, per kg of product</t>
  </si>
  <si>
    <t>10% of the mortar fraction (0.20 kg/kg) landfilled.</t>
  </si>
  <si>
    <t>kg of lime mortar that goes to waste brick recycling at end of life, per kg of product</t>
  </si>
  <si>
    <t>90% of the mortar fraction stays attached to the bricks and is crushed with them (range 80-98%).</t>
  </si>
  <si>
    <t>areal_density</t>
  </si>
  <si>
    <t>Mass of polyester fibre per m2 of coverage</t>
  </si>
  <si>
    <t>kg/m2</t>
  </si>
  <si>
    <t>common sense: yarn share of PVC-coated PES fabric</t>
  </si>
  <si>
    <t>Common-sense estimate (Claude, for LCA-team review): Kept 0.3 kg/m2: polyester yarn is roughly 25-35% of a 0.8-1.3 kg/m2 coated membrane; see the model-gap note (PVC coating not modelled). Range 0.24-0.36 = +-20%. | earlier note: MODEL GAP: real PVC-coated polyester membranes weigh ~0.8-1.3 kg/m2 (e.g. 1250-1300 g/m2 type III fabrics on the market); only ~25-35% of that is polyester yarn, the rest is PVC coating, which has no row in this baseline. 0.3 kg/m2 approximates the polyester alone. Adding a PVC coating production row (needs an activity on unit_burdens_dataSources) would be the fix; not done without asking.</t>
  </si>
  <si>
    <t>polyester fiber</t>
  </si>
  <si>
    <t>Amount of polyester fiber per kg of product</t>
  </si>
  <si>
    <t>Common-sense estimate (Claude, for LCA-team review): 1 kg of membrane textile is 1 kg polyester fibre (coating not modelled).</t>
  </si>
  <si>
    <t>weaving</t>
  </si>
  <si>
    <t>Amount of weaving per kg of product</t>
  </si>
  <si>
    <t>Common-sense estimate (Claude, for LCA-team review): Weaving is a per-kg process on the fabric, so 1 kg of weaving per kg of membrane.</t>
  </si>
  <si>
    <t>PVC-coated polyester membranes: design life ~15-20 y, 10-15 y in high-UV climates (Birdair PVC membrane page; ETS PVC membrane page)</t>
  </si>
  <si>
    <t>Was 20 (16-24). 25+ years is claimed only for PTFE/PVDF-topcoated membranes.</t>
  </si>
  <si>
    <t>waste plastic incineration</t>
  </si>
  <si>
    <t>kg of polyester fiber that goes to waste plastic incineration at end of life, per kg of product</t>
  </si>
  <si>
    <t>EU 2022: separately collected textiles: 15% incinerated, 12% landfilled (EEA); plastic packaging 2022: 35.0% energy recovery vs ~24.3% other disposal (European Parliament); recycling assumed ~0 for coated membranes</t>
  </si>
  <si>
    <t>Incineration:landfill = 35/(35+24.3) = 59% (plastics) or 15/(15+12) = 56% (textiles). Was 0.7/0.3. NL has a landfill ban, so NL would be &gt;90% incineration: max set to 0.95.</t>
  </si>
  <si>
    <t>kg of polyester fiber that goes to waste plastic landfilling at end of life, per kg of product</t>
  </si>
  <si>
    <t>Complement of the incineration row.</t>
  </si>
  <si>
    <t>Functional unit: a 3 m high partition wall (fu_comparison); same for all compared walls</t>
  </si>
  <si>
    <t>fixed: standard storey height, must equal for the compared walls</t>
  </si>
  <si>
    <t>RAW printed wall of 0.30 m thickness (height 3 m / 10); Confirmed by the LCA team lead (Tanya) on 2026-09-29</t>
  </si>
  <si>
    <t>Range 8-12 = 0.25-0.375 m. A thick, single-material printed wall is needed for stability and to carry its own weight; also the same ratio as the adobe baseline (lci_baselines), so the comparison is on equal geometry logic.</t>
  </si>
  <si>
    <t>Density of the finished biopolymer wall</t>
  </si>
  <si>
    <t>Finished (dried) wall density incl. voids, Confirmed by the LCA team lead (Tanya) on 2026-09-29; comparable bio-based fibre composites such as hempcrete are ~300-450 kg/m3 (general knowledge, not re-checked online)</t>
  </si>
  <si>
    <t>350 kg/m3 (280-420) is plausible: sawdust/fibre bulk densities are ~100-250 kg/m3 and the pea-protein binder densifies it; light but heavier than pure fibre insulation.</t>
  </si>
  <si>
    <t>Pea protein binder</t>
  </si>
  <si>
    <t>Share of the production input mass that is pea protein binder (at least 70 %); the rest of the mass is filler</t>
  </si>
  <si>
    <t>RAW recipe (dry-mass shares), Confirmed by the LCA team lead (Tanya) on 2026-09-29</t>
  </si>
  <si>
    <t xml:space="preserve">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t>
  </si>
  <si>
    <t>fillers</t>
  </si>
  <si>
    <t>filler combination</t>
  </si>
  <si>
    <t>Which fillers the production recipe uses: 1 to 2 different fillers (min / max) from the list in 'choices', written 'A + B' (the first one is the main filler)</t>
  </si>
  <si>
    <t>Sawdust + Seagrass</t>
  </si>
  <si>
    <t>combination</t>
  </si>
  <si>
    <t>Cotton fiber (virgin);Hemp fiber (virgin);Hemp dust (co-product);Bark chips (co-product);Sawdust (co-product);Cellulose reject fibers (co-product);Seagrass (wild-harvested)</t>
  </si>
  <si>
    <t>The typical value is the current recipe. In the uncertainty and sensitivity analyses every allowed combination (7 single fillers, 42 ordered pairs) is equally likely. To allow other fillers, add them to 'choices' as 'material (source)'; they must be on unit_burdens_dataSources.</t>
  </si>
  <si>
    <t>share of first filler</t>
  </si>
  <si>
    <t>Share of the filler mass (100 % - binder share) that is the first filler of the combination; the second filler gets the rest. Not used when the recipe has only one filler</t>
  </si>
  <si>
    <t>% of filler mass</t>
  </si>
  <si>
    <t>Current recipe 20 / 10 = 67 % sawdust. min = 50 keeps the first filler the main one.</t>
  </si>
  <si>
    <t>Share of the repair input mass that is pea protein binder (at least 70 %); the rest of the mass is filler</t>
  </si>
  <si>
    <t>Assumption (Claude), based on production recipe 70/20/10 with sawdust replaced by hemp fibre</t>
  </si>
  <si>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Repair paste assumed to differ from the production paste: more binder for adhesion to the old wall and hemp fibre (crack-bridging) instead of sawdust. Assumption by Claude - please confirm.</t>
  </si>
  <si>
    <t>Which fillers the repair recipe uses: 1 to 2 different fillers (min / max) from the list in 'choices', written 'A + B' (the first one is the main filler)</t>
  </si>
  <si>
    <t>Current recipe 10 / 10 = 50 %. min = 50 keeps the first filler the main one.</t>
  </si>
  <si>
    <t>Milling</t>
  </si>
  <si>
    <t>PROTOTYPE machine assumed: laboratory cutting mill of the Retsch SM 300 class (studio/workshop fine-milling of sawdust and seagrass). Weight 160 kg and 3 kW motor from Retsch SM 300 datasheet (retsch.com product data sheet). SCALED-UP machine assumed: industrial biomass hammer mill, medium class (22-55 kW, 0.5-2.5 t/h; Lansonmachines hammer mill guide). 1500 kg is a typical mass for a 30 kW mill (assumption, not retrieved).</t>
  </si>
  <si>
    <t>Was 65 kg. Datasheet weight for the prototype; the industrial value is an engineering assumption.</t>
  </si>
  <si>
    <t>PROTOTYPE machine assumed: laboratory cutting mill of the Retsch SM 300 class (studio/workshop fine-milling of sawdust and seagrass). Motor rating 3 kW (Retsch datasheet); average draw under load assumed ~65% of rating = 2.0 kW. SCALED-UP machine assumed: industrial biomass hammer mill, medium class (22-55 kW, 0.5-2.5 t/h; Lansonmachines hammer mill guide). 30 kW, mid-range of the 22-55 kW medium class.</t>
  </si>
  <si>
    <t>Rated 3 kW is the ceiling; a mill idles/loads intermittently, so the average is lower.</t>
  </si>
  <si>
    <t>PROTOTYPE machine assumed: laboratory cutting mill of the Retsch SM 300 class (studio/workshop fine-milling of sawdust and seagrass). Throughput not given in the datasheet; 3 kg/h is an engineering estimate for batch milling of dry sawdust/seagrass through a 1-4 mm screen. SCALED-UP machine assumed: industrial biomass hammer mill, medium class (22-55 kW, 0.5-2.5 t/h; Lansonmachines hammer mill guide). 1000 kg/h at 30 kW = 30 kWh/t, inside the 25-60 kWh/t range for softwood/straw (Lansonmachines).</t>
  </si>
  <si>
    <t>Energy check: prototype 2.0 kW / 3 kg/h = 0.67 kWh/kg vs industrial 0.03 kWh/kg: a ~20x gap, typical for a lab mill run at low utilisation.</t>
  </si>
  <si>
    <t>PROTOTYPE machine assumed: laboratory cutting mill of the Retsch SM 300 class (studio/workshop fine-milling of sawdust and seagrass). Lifetime = operating hours until the machine is retired. Studio: ~10-15 y in service x ~300-700 h/y of actual use = 5,000-10,000 h (obsolescence, not wear, ends its life). Industrial: ~36,000 h, the operating-hour lifetime used for a robot in an LCA study (Robotics 2021, 10(1), 33). Hammer mills run 20-30 y with wear parts replaced; 30,000 h assumed.</t>
  </si>
  <si>
    <t>Lifetime logic: see source.</t>
  </si>
  <si>
    <t>PROTOTYPE machine assumed: laboratory cutting mill of the Retsch SM 300 class (studio/workshop fine-milling of sawdust and seagrass). Fine dust lost to the extraction filter and mill housing (~5%) in a studio without dust return; industrial mills recover it (yield cannot be scaled up separately on this sheet).</t>
  </si>
  <si>
    <t>Was 100. Scaled-up variant keeps the prototype yield because only weight/power/rate/lifetime can be scaled.</t>
  </si>
  <si>
    <t>Assumption: all machinery (studio and industrial) is bought new, i.e. virgin</t>
  </si>
  <si>
    <t>Mixing</t>
  </si>
  <si>
    <t>PROTOTYPE machine assumed: ~30 L spiral/planetary paste mixer of the bakery/studio type (batches of ~10 kg). Weight and 1.5 kW motor are typical catalogue values for a 30 L spiral mixer (not retrieved online). SCALED-UP machine assumed: ~500 L industrial paddle/twin-shaft batch mixer. ~1 t is typical for a 500 L twin-shaft mixer (assumption).</t>
  </si>
  <si>
    <t>Was 150 kg.</t>
  </si>
  <si>
    <t>PROTOTYPE machine assumed: ~30 L spiral/planetary paste mixer of the bakery/studio type (batches of ~10 kg). 1.5 kW motor. SCALED-UP machine assumed: ~500 L industrial paddle/twin-shaft batch mixer. 11 kW is typical for a 500 L batch mixer (assumption).</t>
  </si>
  <si>
    <t>Rated motor power used as the average draw because paste mixing loads the motor continuously.</t>
  </si>
  <si>
    <t>PROTOTYPE machine assumed: ~30 L spiral/planetary paste mixer of the bakery/studio type (batches of ~10 kg). ~10 kg batch every ~30 min incl. loading and cleaning = ~20 kg/h peak; 10 kg/h allows for waiting on the printer. SCALED-UP machine assumed: ~500 L industrial paddle/twin-shaft batch mixer. ~0.5 t per batch, 2 batches/h = 1 t/h.</t>
  </si>
  <si>
    <t>Energy check: 1.5 kW / 10 kg/h = 0.15 kWh/kg prototype vs 0.011 kWh/kg industrial.</t>
  </si>
  <si>
    <t>PROTOTYPE machine assumed: ~30 L spiral/planetary paste mixer of the bakery/studio type (batches of ~10 kg). Lifetime = operating hours until the machine is retired. Studio: ~10-15 y in service x ~300-700 h/y of actual use = 5,000-10,000 h (obsolescence, not wear, ends its life). Industrial: ~36,000 h, the operating-hour lifetime used for a robot in an LCA study (Robotics 2021, 10(1), 33).</t>
  </si>
  <si>
    <t>PROTOTYPE machine assumed: ~30 L spiral/planetary paste mixer of the bakery/studio type (batches of ~10 kg). ~5% of a small batch stays on the bowl/paddle and in the hose; industrial batches lose &lt;1% (not scalable on this sheet).</t>
  </si>
  <si>
    <t>Was 100.</t>
  </si>
  <si>
    <t>3D printing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</si>
  <si>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Sum ~650 kg. SCALED-UP machine assumed: the same robot with a high-flow extruder and heavier feed/pump, run continuously (LDM XXL-type extruder is rated up to 180 L/h; robot path speed is the limit). ~700 kg with a larger pump and extruder.</t>
  </si>
  <si>
    <t>Was 1000 kg. Robot weight and controller weight are not verified against the ABB datasheet (blocked); feeder weight is from WASP.</t>
  </si>
  <si>
    <t>PROTOTYPE machine assumed: studio ABB robot arm (assumed IRB 4600 class, ~420 kg, from memory of the ABB spec: datasheet fetch failed) with controller (~150 kg) and a WASP-type continuous paste feeding system (60 kg, 450 W) + pneumatic extruder (LDM XL, 5 L/h; 3dwasp.com robotic-arm page). Robot + controller ~1.0 kW average (assumption), feeder 0.45 kW (WASP) and a small compressor ~0.5 kW = ~2.0 kW. SCALED-UP machine assumed: the same robot with a high-flow extruder and heavier feed/pump, run continuously (LDM XXL-type extruder is rated up to 180 L/h; robot path speed is the limit). 2.5 kW with a larger feed pump.</t>
  </si>
  <si>
    <t>Was 0.4 kW (robot only). The old scaled-up 2 kW is replaced by 2.5.</t>
  </si>
  <si>
    <t>PROTOTYPE machine assumed: studio ABB robot arm (assumed IRB 4600 class, ~420 kg, from memory of the ABB spec: datasheet fetch failed) with controller (~150 kg) and a WASP-type continuous paste feeding system (60 kg, 450 W) + pneumatic extruder (LDM XL, 5 L/h; 3dwasp.com robotic-arm page). Extruder 5 L/h x ~1.2 kg/L paste, run below its rating = ~5 kg/h of wet paste. SCALED-UP machine assumed: the same robot with a high-flow extruder and heavier feed/pump, run continuously (LDM XXL-type extruder is rated up to 180 L/h; robot path speed is the limit). Bead 12 mm x 6 mm at 100 mm/s = 26 L/h = ~30 kg/h. Basis is wet paste mass, consistent with the baking yield (water loss).</t>
  </si>
  <si>
    <t>Was 0.875 kg/h (scaled-up 15). Both are now tied to bead geometry / extruder rating.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</si>
  <si>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Lifetime = operating hours until the machine is retired. Studio: ~10-15 y in service x ~300-700 h/y of actual use = 5,000-10,000 h (obsolescence, not wear, ends its life). Industrial: ~36,000 h, the operating-hour lifetime used for a robot in an LCA study (Robotics 2021, 10(1), 33).</t>
  </si>
  <si>
    <t>Was 50000 (scaled-up 40000).</t>
  </si>
  <si>
    <t>PROTOTYPE machine assumed: studio ABB robot arm (assumed IRB 4600 class, ~420 kg, from memory of the ABB spec: datasheet fetch failed) with controller (~150 kg) and a WASP-type continuous paste feeding system (60 kg, 450 W) + pneumatic extruder (LDM XL, 5 L/h; 3dwasp.com robotic-arm page). Purging, priming and failed/scrapped prints ~10% in a studio (material is mostly re-mixed, so not all is waste); industrial line would be higher but yield cannot be scaled up separately.</t>
  </si>
  <si>
    <t>Baking</t>
  </si>
  <si>
    <t>PROTOTYPE machine assumed: ~1 m3 electric convection oven (1 m x 2 m x 0.5 m chamber), modelled on the Memmert UF1060 (1,060 L, 7 kW connected load, 252 kg, up to 300 C; memmert.com UF1060 page and datasheet). Weight 252 kg from Memmert. SCALED-UP machine assumed: the same type, an industrial ~10 m3 electric convection batch oven with better insulation. ~3 t (10x volume at ~12x less steel per m3, assumption).</t>
  </si>
  <si>
    <t>Was 400 kg.</t>
  </si>
  <si>
    <t>PROTOTYPE machine assumed: ~1 m3 electric convection oven (1 m x 2 m x 0.5 m chamber), modelled on the Memmert UF1060 (1,060 L, 7 kW connected load, 252 kg, up to 300 C; memmert.com UF1060 page and datasheet). Connected load 7 kW (Memmert); average over a cycle ~4 kW (full power only during heat-up, thermostat duty cycle afterwards; assumption). SCALED-UP machine assumed: the same type, an industrial ~10 m3 electric convection batch oven with better insulation. ~30 kW average, ~7x for 10x volume (relatively less shell loss).</t>
  </si>
  <si>
    <t>Was 5 kW.</t>
  </si>
  <si>
    <t>PROTOTYPE machine assumed: ~1 m3 electric convection oven (1 m x 2 m x 0.5 m chamber), modelled on the Memmert UF1060 (1,060 L, 7 kW connected load, 252 kg, up to 300 C; memmert.com UF1060 page and datasheet). Energy balance, not a datasheet value: 50% yield = 0.5 kg water per kg wet input x 0.63 kWh/kg latent heat = 0.32 kWh/kg; at ~40% oven efficiency = ~0.8 kWh/kg, so ~4 kW supports ~5 kg/h (a ~60 kg wet batch per 12 h). SCALED-UP machine assumed: the same type, an industrial ~10 m3 electric convection batch oven with better insulation. Efficiency ~65% with insulation and air recirculation = ~0.5 kWh/kg, so 30 kW supports ~60 kg/h.</t>
  </si>
  <si>
    <t>Was 1.75 kg/h, then 8 kg/h (in v6, when the yield was 70%). Lowered because a lower yield means more water to evaporate per kg. Check the real cycle time/batch size of the studio oven and replace.</t>
  </si>
  <si>
    <t>PROTOTYPE machine assumed: ~1 m3 electric convection oven (1 m x 2 m x 0.5 m chamber), modelled on the Memmert UF1060 (1,060 L, 7 kW connected load, 252 kg, up to 300 C; memmert.com UF1060 page and datasheet). Lifetime = operating hours until the machine is retired. Studio: ~10-15 y in service x ~300-700 h/y of actual use = 5,000-10,000 h (obsolescence, not wear, ends its life). Industrial: ~36,000 h, the operating-hour lifetime used for a robot in an LCA study (Robotics 2021, 10(1), 33). Industrial ovens run 20+ y; 40,000 h assumed.</t>
  </si>
  <si>
    <t>Was 20000.</t>
  </si>
  <si>
    <t>PROTOTYPE machine assumed: ~1 m3 electric convection oven (1 m x 2 m x 0.5 m chamber), modelled on the Memmert UF1060 (1,060 L, 7 kW connected load, 252 kg, up to 300 C; memmert.com UF1060 page and datasheet). Yield = dry mass share of the wet printed paste. Evidence: printable earth/clay mixes hold 20-37 wt% water, i.e. 63-80% yield (MDPI Buildings 2026, 16(6), 1261; review of clay/sawdust printing, water/dry ratio 0.37-0.58 = 27-37 wt% water, ScienceDirect S2590123024012799); a printable wood-cellulose-lignin ink lost 74% of its mass on drying, i.e. 26% yield (PMC10942110). Fibrous, protein-bound pastes (sawdust, seagrass, pea protein) need more water than earth, so the low-to-middle of that range is used.</t>
  </si>
  <si>
    <t>Was 70%. 70% is the top of the earth-mixture range; a lignocellulosic paste is closer to 40-60%. NEEDS THE ACTUAL RECIPE: please replace with (dry mass / wet paste mass) from the lab. Water is included in the mass basis of all upstream steps (wet basis). Residual moisture in the dried product (~5-10%) is not modelled. Two sources on bio-based pastes (WUR report, Springer wood LDM paper) could not be read (rate limit).</t>
  </si>
  <si>
    <t>Repair machinery = smaller portable on-site equipment (answer of the LCA team lead 2026-09-29). Portable ~100-120 L drum/paddle mortar-type mixer, ~80 kg (typical catalogue value, not retrieved)</t>
  </si>
  <si>
    <t>Was placeholder 80 kg; kept.</t>
  </si>
  <si>
    <t>Repair machinery = smaller portable on-site equipment (answer of the LCA team lead 2026-09-29). 1.5 kW motor typical for a portable 100-120 L mixer (not retrieved)</t>
  </si>
  <si>
    <t>Kept.</t>
  </si>
  <si>
    <t>Repair machinery = smaller portable on-site equipment (answer of the LCA team lead 2026-09-29). ~15 kg paste per batch, one batch per hour incl. setup and cleaning (assumption)</t>
  </si>
  <si>
    <t>Kept 15 kg/h.</t>
  </si>
  <si>
    <t>Repair machinery = smaller portable on-site equipment (answer of the LCA team lead 2026-09-29). Lifetime: portable/light-duty equipment lasts ~5,000-10,000 operating hours (assumption, not retrieved).</t>
  </si>
  <si>
    <t>Was 15000 h; lowered because portable equipment is lighter duty.</t>
  </si>
  <si>
    <t>Repair machinery = smaller portable on-site equipment (answer of the LCA team lead 2026-09-29). ~5% of a small batch stays in the drum and on tools (same logic as production mixing)</t>
  </si>
  <si>
    <t>Was 98%.</t>
  </si>
  <si>
    <t>Repair machinery = smaller portable on-site equipment (answer of the LCA team lead 2026-09-29). Small portable/gantry paste printer (~150-200 kg) with a WASP-type continuous feeder (60 kg, 450 W; 3dwasp.com) = ~250 kg</t>
  </si>
  <si>
    <t>Repair machinery = smaller portable on-site equipment (answer of the LCA team lead 2026-09-29). Feeder 0.45 kW (WASP) + motion/controller ~0.5 kW + small compressor ~0.5 kW = ~1.5 kW</t>
  </si>
  <si>
    <t>Was 2.5 kW; lowered because no industrial robot is involved.</t>
  </si>
  <si>
    <t>Repair machinery = smaller portable on-site equipment (answer of the LCA team lead 2026-09-29). Small LDM-type extruder rated 2.5 L/h (~3 kg/h; 3dwasp.com) run at ~30%, because patching is slow, precise work</t>
  </si>
  <si>
    <t>Was 0.5 kg/h.</t>
  </si>
  <si>
    <t>Was 20000 h.</t>
  </si>
  <si>
    <t>Repair machinery = smaller portable on-site equipment (answer of the LCA team lead 2026-09-29). Purging/priming and failed passes ~10%, same as production printing</t>
  </si>
  <si>
    <t>Was 92%.</t>
  </si>
  <si>
    <t>RAW wall, Confirmed by the LCA team lead (Tanya) on 2026-09-29</t>
  </si>
  <si>
    <t>Unfired protein-bound bio-composite is moisture-sensitive and can degrade (biological attack), so 20 y before first repair is a conservative interior-wall value; hempcrete-type walls last 50+ y when protected. No product-specific durability test exists yet.</t>
  </si>
  <si>
    <t>One patch repair restores the worn/damaged surface and buys about half of the original life. Number of repairs to reach the FU service life = ceil((service life - 20) / 10).</t>
  </si>
  <si>
    <t>Patching ~10% of the wall mass per repair (damaged surface layer). Ties to the repair recipe and machines above.</t>
  </si>
  <si>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</si>
  <si>
    <t>Typical: municipal bio-waste captured separately ~46% (2022) minus rejects = ~42% composted or digested (anaerobic digestion is counted here, no separate route). Max 79% = Eurostat all-sector biogenic waste. Scaled-up: mandatory separate collection and the 65% recycling target push this to ~55%. NOTE: methods.md says the scaled-up variant leaves end of life unchanged, so these scaled_up values are stored here but may not be read by the model.</t>
  </si>
  <si>
    <t>Typical: no biowaste statistic for material recycling of a composite wall; wood waste is ~48% material-recycled in the EU (Eurostat 2018) so a small open-loop share (e.g. as filler or board feedstock) is assumed. Scaled-up: an industrial producer can establish a take-back/filler route.</t>
  </si>
  <si>
    <t>Typical: no closed-loop recycling of printed bio-composite exists today. Scaled-up: a manufacturer could grind and re-wet panel waste into new paste (10% assumed, purely a scenario).</t>
  </si>
  <si>
    <t>Typical: residual (non-captured) share ~54% split between incineration and landfill in the ratio of municipal waste practice, 27:24 (ECN) = ~28% incineration. In the NL nearly all residual waste is incinerated (landfill ban), so the max is 45%. Scaled-up: falls as organic recycling grows.</t>
  </si>
  <si>
    <t>Typical: the other part of the residual ~54% = ~25% landfill (EU municipal average). Min 2% ~ Eurostat all-sector biogenic waste (1.5%) and NL practice. Scaled-up: 5% respects the 10% landfill cap of the Landfill Directive for 2035.</t>
  </si>
  <si>
    <t>Model choice: Netherlands (RAW project location); electricity mix and heat/electricity credit of incineration use the NL grid</t>
  </si>
  <si>
    <t>Only affects electricity for every process step and the energy credit of incineration. Change on study_setup / choices if you model another country.</t>
  </si>
  <si>
    <t>Mass of membrane per m2 of coverage</t>
  </si>
  <si>
    <t>Partner formula (Yulia) for the knitted hemp membrane, 0.4 kg/m2 (product_size_formulas); Answers of the LCA team lead 2026-09-29: 100% hemp, no coating; carding and spinning already on industrial lines, only knitting is a lab/CNC prototype machine</t>
  </si>
  <si>
    <t>Plausible: a coarse-gauge knit of thick hemp yarn (Nm ~3-6) weighs ~0.3-0.5 kg/m2; lighter than coated PVC-polyester membranes (0.8-1.3 kg/m2). Range +-20%.</t>
  </si>
  <si>
    <t>Hemp fiber</t>
  </si>
  <si>
    <t>Share of the production input mass made of this material (virgin); the shares of one stage add up to 100 %</t>
  </si>
  <si>
    <t>Answers of the LCA team lead 2026-09-29: 100% hemp, no coating; carding and spinning already on industrial lines, only knitting is a lab/CNC prototype machine</t>
  </si>
  <si>
    <t>Single-material product: the only ingredient is hemp fibre, so the share is fixed at 100%.</t>
  </si>
  <si>
    <t>Share of the repair input mass made of this material (virgin); the shares of one stage add up to 100 %</t>
  </si>
  <si>
    <t>Carding &amp; roving</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</si>
  <si>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</si>
  <si>
    <t xml:space="preserve">Kept from the tool preset; plausible for a small bast-fibre line.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</si>
  <si>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</si>
  <si>
    <t xml:space="preserve">Energy check: 12 kW / 15 kg/h = 0.8 kWh/kg, in the range of card + draw + rove for coarse fibre (~0.5-1 kWh/kg,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</si>
  <si>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</si>
  <si>
    <t xml:space="preserve">Bast-fibre cards are slower than cotton cards; larger lines run 50+ kg/h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</si>
  <si>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</si>
  <si>
    <t xml:space="preserve">Kept.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</si>
  <si>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</si>
  <si>
    <t>Kept 85%.</t>
  </si>
  <si>
    <t>Assumption: all machinery is bought new (virgin)</t>
  </si>
  <si>
    <t>Value stays virgin.</t>
  </si>
  <si>
    <t>Spinning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</si>
  <si>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</si>
  <si>
    <t xml:space="preserve">Was 800 kg.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</si>
  <si>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</si>
  <si>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</si>
  <si>
    <t xml:space="preserve">Was 8 kg/h.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</si>
  <si>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</si>
  <si>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</si>
  <si>
    <t>CNC knitting</t>
  </si>
  <si>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</si>
  <si>
    <t>Was 1500 kg (scaled-up 2000).</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</si>
  <si>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</si>
  <si>
    <t>Scaled-up 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</si>
  <si>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</si>
  <si>
    <t>Scaled-up was 1.5 kg/h, lower than the prototype, which cannot be right for an industrial machine.</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</si>
  <si>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</si>
  <si>
    <t>Scaled-up kept at 50,000 h.</t>
  </si>
  <si>
    <t>PROTOTYPE machinery assumed: electronic flat-bed CNC knitting machine of the Stoll CMS class (127 cm / 50 in working width, 3 systems, gauge E5-E20; Stoll CMS 530 ki page) in a fabrication lab. Yarn breaks, edge trimming and start-up/test rows ~5% (assumption).</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</si>
  <si>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</si>
  <si>
    <t>Kept from the tool preset; plausible for a small bast-fibre line.</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</si>
  <si>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</si>
  <si>
    <t>Energy check: 12 kW / 15 kg/h = 0.8 kWh/kg, in the range of card + draw + rove for coarse fibre (~0.5-1 kWh/kg, assumption).</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</si>
  <si>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</si>
  <si>
    <t>Bast-fibre cards are slower than cotton cards; larger lines run 50+ kg/h (assumption).</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</si>
  <si>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</si>
  <si>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</si>
  <si>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</si>
  <si>
    <t>Was 800 kg.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</si>
  <si>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</si>
  <si>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</si>
  <si>
    <t>Was 8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</si>
  <si>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</si>
  <si>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</si>
  <si>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</si>
  <si>
    <t>Was 1500 kg.</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</si>
  <si>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</si>
  <si>
    <t>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</si>
  <si>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</si>
  <si>
    <t>Was 2 kg/h. Energy: 2 kW / 1.5 kg/h = 1.3 kWh/kg.</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</si>
  <si>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</si>
  <si>
    <t>Was 50000 h (mill-scale utilisation).</t>
  </si>
  <si>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</si>
  <si>
    <t>Engineering judgement; PVC-coated polyester membranes last ~15-20 y in service (Birdair, ETS), untreated hemp is less UV/mould-resistant outdoors but fine when sheltered</t>
  </si>
  <si>
    <t>Widened from 12-18 to 8-20 y because exposure is unknown (indoor/covered: 20+ y, exposed: ~5-10 y). Replace when the use case is fixed.</t>
  </si>
  <si>
    <t>Engineering judgement: a repair fixes local damage, not the ageing of the rest of the fabric</t>
  </si>
  <si>
    <t>Was 10 y. Set to about half of the expected lifetime (7.5 y).</t>
  </si>
  <si>
    <t>Engineering judgement: patching/replacing the damaged ~10% of the membrane area</t>
  </si>
  <si>
    <t>Range widened to 5-15%.</t>
  </si>
  <si>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</si>
  <si>
    <t>Hemp is compostable in principle, but no textile composting route exists at scale; modelled as 0. NOTE: methods.md says the scaled-up variant leaves end of life unchanged, so the scaled_up values on these rows may not be read by the model.</t>
  </si>
  <si>
    <t>Typical: ~27% of textile waste is not incinerated/landfilled (100-73%); nearly all of it is open-loop (rags, insulation), fibre-to-fibre is negligible (JRC). Scaled-up: mandatory separate collection and ~2x recycling capacity by 2030-35 (JRC) raise open-loop recycling.</t>
  </si>
  <si>
    <t>Typical: fibre-to-fibre recycling is still emerging in the EU (JRC). Scaled-up: a single-fibre, uncoated hemp product is ideal feedstock for fibre-to-fibre recycling with a producer take-back (scenario, RAW design intent was 80%).</t>
  </si>
  <si>
    <t>Typical: 73% landfill+incineration split ~55:45 (EEA). Scaled-up: falls as recycling grows.</t>
  </si>
  <si>
    <t>Typical: the other ~45% of the 73% (EEA). Scaled-up: 10% respects the Landfill Directive limit for 2035 (general knowledge, not re-checked online).</t>
  </si>
  <si>
    <t>Change on study_setup / choices if you model another country.</t>
  </si>
  <si>
    <t>Metres of fibre wound per metre of beam span</t>
  </si>
  <si>
    <t>Mass of one metre of fibre (incl. resin)</t>
  </si>
  <si>
    <t>Rope production</t>
  </si>
  <si>
    <t>Coreless filament winding</t>
  </si>
  <si>
    <t>element_type</t>
  </si>
  <si>
    <t>case_type</t>
  </si>
  <si>
    <t>case_name</t>
  </si>
  <si>
    <t>display_name</t>
  </si>
  <si>
    <t>spec_variable</t>
  </si>
  <si>
    <t>spec_label</t>
  </si>
  <si>
    <t>spec_unit</t>
  </si>
  <si>
    <t>activity_name</t>
  </si>
  <si>
    <t>activity_unit</t>
  </si>
  <si>
    <t>formula</t>
  </si>
  <si>
    <t>amount_at_spec_1_check</t>
  </si>
  <si>
    <t>beam</t>
  </si>
  <si>
    <t>conventional bio-based</t>
  </si>
  <si>
    <t>span</t>
  </si>
  <si>
    <t>glulam beam production</t>
  </si>
  <si>
    <t>(span / depth_ratio) * ((span / depth_ratio) / width_ratio) * span * density</t>
  </si>
  <si>
    <t>kg = depth (span / 20) * width (depth / 3) * span * density (439 kg/m3)</t>
  </si>
  <si>
    <t>conventional fossil-based</t>
  </si>
  <si>
    <t>reinforced concrete beam production</t>
  </si>
  <si>
    <t>span * (span / depth_ratio) * (width_over_depth * (span / depth_ratio)) * concrete_density</t>
  </si>
  <si>
    <t>kg = span * depth (span / 12) * width (0.5 * depth) * density (2400 kg/m3)</t>
  </si>
  <si>
    <t>"traditional" coreless filament winded beam production</t>
  </si>
  <si>
    <t>span * fibre_length_per_span * fibre_mass_per_length / fibre_mass_share</t>
  </si>
  <si>
    <t>kg = fibre mass (placeholder values) / fibre share of the composite mass</t>
  </si>
  <si>
    <t>wall</t>
  </si>
  <si>
    <t>length</t>
  </si>
  <si>
    <t>adobe brick for interior wall production</t>
  </si>
  <si>
    <t>length * wall_height * (wall_height / thickness_ratio) * density</t>
  </si>
  <si>
    <t>kg = wall length * height (3m) * thickness (height/10) * density (1700 kg/m3)... mortar is same material, so not listed separately</t>
  </si>
  <si>
    <t>clay brick for interior wall production</t>
  </si>
  <si>
    <t>length * wall_height * thickness * density</t>
  </si>
  <si>
    <t>kg = length * height (3 m) * thickness (0.115 m) * density (1900 kg/m3), brick + mortar</t>
  </si>
  <si>
    <t>membrane</t>
  </si>
  <si>
    <t>coverage</t>
  </si>
  <si>
    <t>synthetic polymer architectural membrane production</t>
  </si>
  <si>
    <t>coverage * areal_density</t>
  </si>
  <si>
    <t>kg = coverage * areal density (0.3 kg/m2)</t>
  </si>
  <si>
    <t>raw</t>
  </si>
  <si>
    <t>RAW reclaimed timber (CNC beam)</t>
  </si>
  <si>
    <t>raw_timber production</t>
  </si>
  <si>
    <t>span * (span / depth_ratio) * ((span / depth_ratio) / width_ratio) * density</t>
  </si>
  <si>
    <t>check with Amin and Nadja dimensions and density: kg product = span * depth (span/20) * width (depth/3) * density (480kg/m3)</t>
  </si>
  <si>
    <t>RAW coreless filament winding (beam)</t>
  </si>
  <si>
    <t>raw_cfw production</t>
  </si>
  <si>
    <t>span * fibre_length_per_span * fibre_mass_per_length</t>
  </si>
  <si>
    <t>check with Fabian and Otto numbers from Suttgart paper, seems ridiculously light: kg = span * fiber_length_perSpan (550m / span) * fiber_density (0.006 kg / m_fiber)</t>
  </si>
  <si>
    <t>RAW biopol (3D-printed wall)</t>
  </si>
  <si>
    <t>raw_biopol production</t>
  </si>
  <si>
    <t>check with Carl wall thickness and density: kg = wall length * height (3m) * thickness (height/10) * density (350 kg/m3)</t>
  </si>
  <si>
    <t>RAW knitted hemp (membrane)</t>
  </si>
  <si>
    <t>raw_knit production</t>
  </si>
  <si>
    <t>check with Yulia formula and density: kg = coverage (m2) * density (0.4 kg/m2)</t>
  </si>
  <si>
    <t>material_source</t>
  </si>
  <si>
    <t>ecoinventDataset_name</t>
  </si>
  <si>
    <t>geographicalCoverage</t>
  </si>
  <si>
    <t>referenceProduct</t>
  </si>
  <si>
    <t>alternative_data_source</t>
  </si>
  <si>
    <t>eol_type</t>
  </si>
  <si>
    <t>Bio-based materials</t>
  </si>
  <si>
    <t>Peas</t>
  </si>
  <si>
    <t>market for protein pea</t>
  </si>
  <si>
    <t xml:space="preserve">GLO </t>
  </si>
  <si>
    <t>protein pea</t>
  </si>
  <si>
    <t>Cotton fiber</t>
  </si>
  <si>
    <t>market for seed-cotton</t>
  </si>
  <si>
    <t>seed-cotton</t>
  </si>
  <si>
    <t>decorticated fibre production, hemp</t>
  </si>
  <si>
    <t>FR</t>
  </si>
  <si>
    <t>decorticated fibre, hemp</t>
  </si>
  <si>
    <t>market for sawnwood, hardwood, raw</t>
  </si>
  <si>
    <t>GLO</t>
  </si>
  <si>
    <t>sawnwood, hardwood, raw</t>
  </si>
  <si>
    <t>Soft wood</t>
  </si>
  <si>
    <t>market for sawnwood, softwood, raw</t>
  </si>
  <si>
    <t>sawnwood, softwood, raw</t>
  </si>
  <si>
    <t>RER</t>
  </si>
  <si>
    <t>biopol_lca_database</t>
  </si>
  <si>
    <t>Hemp dust</t>
  </si>
  <si>
    <t>co-product</t>
  </si>
  <si>
    <t>hemp residues</t>
  </si>
  <si>
    <t>Bark chips</t>
  </si>
  <si>
    <t>market for bark chips, green, measured as dry mass</t>
  </si>
  <si>
    <t>Europe without Switzerland</t>
  </si>
  <si>
    <t>bark chips, green, measured as dry mass</t>
  </si>
  <si>
    <t>Sawdust</t>
  </si>
  <si>
    <t>market for sawdust, green, collected, measured as dry mass</t>
  </si>
  <si>
    <t>sawdust, green, collected, measured as dry mass</t>
  </si>
  <si>
    <t>Cellulose reject fibers</t>
  </si>
  <si>
    <t>road transport</t>
  </si>
  <si>
    <t>distance: transport_distance_km on the constants tab</t>
  </si>
  <si>
    <t>market for waste yarn and waste textile</t>
  </si>
  <si>
    <t>RoW</t>
  </si>
  <si>
    <t>waste yarn and waste textile</t>
  </si>
  <si>
    <t>market group for waste wood, untreated</t>
  </si>
  <si>
    <t>waste wood, untreated</t>
  </si>
  <si>
    <t>Seagrass</t>
  </si>
  <si>
    <t>wild-harvested</t>
  </si>
  <si>
    <t>Baseline cases</t>
  </si>
  <si>
    <t>m3</t>
  </si>
  <si>
    <t>market for glued laminated timber, PUR-glue</t>
  </si>
  <si>
    <t>CH</t>
  </si>
  <si>
    <t>glued laminated timber, PUR-glue</t>
  </si>
  <si>
    <t>market for concrete, medium strength</t>
  </si>
  <si>
    <t>concrete, medium strength</t>
  </si>
  <si>
    <t>market for reinforcing steel</t>
  </si>
  <si>
    <t>reinforcing steel</t>
  </si>
  <si>
    <t>market for plywood</t>
  </si>
  <si>
    <t>plywood</t>
  </si>
  <si>
    <t>market for glass fibre</t>
  </si>
  <si>
    <t>placeholder material of the 'traditional' CFW baseline - rebuild the background data (pipeline/02_background_lci.ipynb) before using it</t>
  </si>
  <si>
    <t>market for adobe brick</t>
  </si>
  <si>
    <t>market for clay brick</t>
  </si>
  <si>
    <t>market for lime mortar</t>
  </si>
  <si>
    <t>market for fibre, polyester</t>
  </si>
  <si>
    <t>fibre, polyester</t>
  </si>
  <si>
    <t>market for weaving, synthetic fibre</t>
  </si>
  <si>
    <t>weaving, synthetic fibre</t>
  </si>
  <si>
    <t>Binding materials</t>
  </si>
  <si>
    <t xml:space="preserve">Mechanical fastener (screws, nails, brackets) </t>
  </si>
  <si>
    <t>market for steel, low-alloyed, hot rolled</t>
  </si>
  <si>
    <t>steel, low-alloyed, hot rolled</t>
  </si>
  <si>
    <t>Wood glue</t>
  </si>
  <si>
    <t>market for melamine urea formaldehyde adhesive</t>
  </si>
  <si>
    <t>melamine urea formaldehyde adhesive</t>
  </si>
  <si>
    <t>MUF is usually used for gluing wood in engineered timber products</t>
  </si>
  <si>
    <t>market for epoxy resin, liquid</t>
  </si>
  <si>
    <t>epoxy resin, liquid</t>
  </si>
  <si>
    <t>Most commonly used in natural-fiber composite research</t>
  </si>
  <si>
    <t>Cement</t>
  </si>
  <si>
    <t>market for cement, Portland</t>
  </si>
  <si>
    <t>cement, Portland</t>
  </si>
  <si>
    <t>Lime</t>
  </si>
  <si>
    <t>market for hydraulic lime</t>
  </si>
  <si>
    <t>hydraulic lime</t>
  </si>
  <si>
    <t>Transportation</t>
  </si>
  <si>
    <t xml:space="preserve">Road transport </t>
  </si>
  <si>
    <t>ton km</t>
  </si>
  <si>
    <t>market for transport, freight, lorry, unspecified</t>
  </si>
  <si>
    <t>transport, freight, lorry, diesel, unspecified</t>
  </si>
  <si>
    <t>Processes</t>
  </si>
  <si>
    <t>energy use</t>
  </si>
  <si>
    <t>kwh</t>
  </si>
  <si>
    <t>market for electricity, low voltage</t>
  </si>
  <si>
    <t>lookup: all european countries</t>
  </si>
  <si>
    <t>electricity, low voltage</t>
  </si>
  <si>
    <t>machine wear</t>
  </si>
  <si>
    <t>market for industrial machine, heavy, unspecified</t>
  </si>
  <si>
    <t>industrial machine, heavy, unspecified</t>
  </si>
  <si>
    <t>waste composting</t>
  </si>
  <si>
    <t>treatment of biowaste, industrial composting</t>
  </si>
  <si>
    <t>biowaste</t>
  </si>
  <si>
    <t>composting</t>
  </si>
  <si>
    <t>treatment of waste wood, post-consumer, sorting and shredding</t>
  </si>
  <si>
    <t>wood chips, from post-consumer wood, dry, measured as dry mass</t>
  </si>
  <si>
    <t>recycling</t>
  </si>
  <si>
    <t>treatment of biowaste, municipal incineration</t>
  </si>
  <si>
    <t>incineration</t>
  </si>
  <si>
    <t>treatment of biowaste, open dump</t>
  </si>
  <si>
    <t>landfill</t>
  </si>
  <si>
    <t>Avoided burdens</t>
  </si>
  <si>
    <t>avoided burden - composting</t>
  </si>
  <si>
    <t>market for compost</t>
  </si>
  <si>
    <t>compost</t>
  </si>
  <si>
    <t>avoided burden - open loop recycling</t>
  </si>
  <si>
    <t>market for wood chips, dry, measured as dry mass</t>
  </si>
  <si>
    <t>wood chips, dry, measured as dry mass</t>
  </si>
  <si>
    <t>avoided burden - incineration, heat</t>
  </si>
  <si>
    <t>market group for heat, district or industrial, natural gas</t>
  </si>
  <si>
    <t>heat, district or industrial, natural gas</t>
  </si>
  <si>
    <t>avoided burden - incineration, electricity</t>
  </si>
  <si>
    <t>End-of-life datasets for baseline products</t>
  </si>
  <si>
    <t>treatment of inert waste, inert material landfill</t>
  </si>
  <si>
    <t>inert waste, for final disposal</t>
  </si>
  <si>
    <t>EoL of brick/mortar/adobe baselines</t>
  </si>
  <si>
    <t>treatment of waste concrete, inert material landfill</t>
  </si>
  <si>
    <t>waste concrete</t>
  </si>
  <si>
    <t>EoL of reinforced concrete beam baseline</t>
  </si>
  <si>
    <t>treatment of waste reinforced concrete, recycling</t>
  </si>
  <si>
    <t>waste reinforced concrete</t>
  </si>
  <si>
    <t>EoL of reinforced concrete beam baseline, applied to concrete + steel mass</t>
  </si>
  <si>
    <t>treatment of waste brick, recycling</t>
  </si>
  <si>
    <t>waste brick</t>
  </si>
  <si>
    <t>EoL of clay brick baseline</t>
  </si>
  <si>
    <t>treatment of waste plastic, mixture, municipal incineration FAE</t>
  </si>
  <si>
    <t>waste plastic, mixture</t>
  </si>
  <si>
    <t>EoL of polyester membrane baseline</t>
  </si>
  <si>
    <t>treatment of waste plastic, mixture, sanitary landfill</t>
  </si>
  <si>
    <t>material_name</t>
  </si>
  <si>
    <t>carbonContent_dryWeight_kg</t>
  </si>
  <si>
    <t>carbonContent_source</t>
  </si>
  <si>
    <t>rotationPeriod_yr</t>
  </si>
  <si>
    <t>rotationPeriod_source</t>
  </si>
  <si>
    <t xml:space="preserve">1 kg </t>
  </si>
  <si>
    <t>to extract w/ bw</t>
  </si>
  <si>
    <t>ecoinvent</t>
  </si>
  <si>
    <t>Cherubini et al. 2011 (GWPbio methodology)</t>
  </si>
  <si>
    <t>average between soft and hard wood</t>
  </si>
  <si>
    <t>Beech rotation (110–140 yr, or 80–100 yr in some countries): Analysis and evaluation of the impact of stand age on the occurrence and metamorphosis of red heartwood — iForest, 2017 (https://iforest.sisef.org/contents/?id=ifor2116-010)</t>
  </si>
  <si>
    <t>There is a large range for hardwood rotation periods. Normally they are 100+ years, but optimized forests can be as quick as 20 years. See Short-rotation hardwood paper (8–20 yr): Fuels of the Future for Renewable Energy Sources review (https://arxiv.org/pdf/2102.00439)</t>
  </si>
  <si>
    <t>Softwood CORRIM figure: Cradle-to-gate LCA of softwood lumber production, NE-NC region (https://corrim.org/wp-content/uploads/2018/06/NENC-Lumber-LCA-final-May-2013.pdf)</t>
  </si>
  <si>
    <t>market for waste paper, sorted</t>
  </si>
  <si>
    <t>waste paper, sorted</t>
  </si>
  <si>
    <t>The seagrass carbon content of 0.336 of dry weight can be applied in Indonesian seagrasses — Rahmawati, Hernawan &amp; Rustam, AIP Conference Proceedings, 2019 (https://pubs.aip.org/aip/acp/article/2120/1/030012/1024597/The-seagrass-carbon-content-of-0-336-of-dry-weight)</t>
  </si>
  <si>
    <t>Added for the variable biopolymer recipe (Hemp dust is a possible filler); same crop as Hemp fiber</t>
  </si>
  <si>
    <t xml:space="preserve">note: </t>
  </si>
  <si>
    <t xml:space="preserve">If the material is a (co-) product, then the benefit is carbon sequestration (GWPbio method that includes both storage and rotation period) </t>
  </si>
  <si>
    <t>If material is a waste / wild-harvested product, then the benefit is delayed carbon emissions (GWPbio method that only includes storage period)</t>
  </si>
  <si>
    <t>on carbon content: beware that it is dry weight, so you need to take into account the water content. this info is available in ecoinvent.</t>
  </si>
  <si>
    <t>fossil/mineral material: no biogenic carbon</t>
  </si>
  <si>
    <t>n/a</t>
  </si>
  <si>
    <t>Mechanical fastener (screws, nails, brackets)</t>
  </si>
  <si>
    <t>derived: 0.45 kgC per kg pea (IPCC Tier 1 / Lal 2004) x 0.5893 kg peas per kg binder (biopol_lca LCI: peas -&gt; isolate -&gt; binder)</t>
  </si>
  <si>
    <t>Annual crop, same as peas</t>
  </si>
  <si>
    <t>1 m3</t>
  </si>
  <si>
    <t>Softwood CORRIM figure, same as Soft wood</t>
  </si>
  <si>
    <t>allocation_factor</t>
  </si>
  <si>
    <t>quality_ratio</t>
  </si>
  <si>
    <t>lower_heating_value_MJperKgDry</t>
  </si>
  <si>
    <t>LHV_basis</t>
  </si>
  <si>
    <t>conversionEfficiency_heat</t>
  </si>
  <si>
    <t>conversionEfficiency_electricity</t>
  </si>
  <si>
    <t>recycling_credit_activity</t>
  </si>
  <si>
    <t>Bomb-calorimetry data across nine protein samples found heat of combustion for protein varying between 22.0 and 24.6 kJ/g PubMed — directly supports this estimate</t>
  </si>
  <si>
    <t>Phyllis2 dataset - bean plant (#2888)</t>
  </si>
  <si>
    <t>Phyllis2 dataset - cotton, values between 15 and 17</t>
  </si>
  <si>
    <t>Within the confirmed dry-matter wood range of 18.7–21.9 MJ/kg, slightly lower for deciduous species than coniferous due to lower lignin/resin content Woodenergy</t>
  </si>
  <si>
    <t>Same source — coniferous species run slightly higher than deciduous because of higher lignin and resin content Woodenergy</t>
  </si>
  <si>
    <t>Phyllis2 dataset - hemp (#398, 399)</t>
  </si>
  <si>
    <t>Placed within the general wood dry-matter range; no bark-specific literature value found</t>
  </si>
  <si>
    <t>Paper mill reject/sludge values in the literature range widely — 8.38 MJ/kg for primary recycled-fiber sludge, ResearchGate 6.4 MJ/kg for high-ash (51.6%) de-inking sludge, ScienceDirect up to 14.31 MJ/kg for OCC papermaking sludge with 58.84% ash. ResearchGate Mineral fillers like calcium carbonate, titanium dioxide, and silica increase ash content while not contributing to combustion, lowering total calorific value. ResearchGate I picked a midpoint, but this one is genuinely uncertain without knowing your specific reject stream's filler load</t>
  </si>
  <si>
    <t>Posidonia oceanica (Mediterranean seagrass) studies found heating values around 9–11 MJ/kg with very high ash content (16–36%); ResearchGate leaf debris specifically was around 10 MJ/kg, versus 13.6–15.7 MJ/kg for the more fibrous portion. ScienceDirect</t>
  </si>
  <si>
    <t>RAW product</t>
  </si>
  <si>
    <t>conservative average of input ingredients</t>
  </si>
  <si>
    <t>previous baseline_eol_setup (glulam timber)</t>
  </si>
  <si>
    <t>previous baseline_eol_setup (plywood formwork)</t>
  </si>
  <si>
    <t>previous baseline_eol_setup (polyester)</t>
  </si>
  <si>
    <t xml:space="preserve">source for allocation factors: </t>
  </si>
  <si>
    <t>https://eplca.jrc.ec.europa.eu/permalink/Annex_C_V2.1_May2020.xlsx</t>
  </si>
  <si>
    <t>note: a high allocation factor (e.g. A = 0.8) means recycling rate is low, suggested less well established recycling infrastructure.</t>
  </si>
  <si>
    <t>note: the JRC uses three possible allocation factors: 0.2, 0.5, and 0.8.</t>
  </si>
  <si>
    <t>route</t>
  </si>
  <si>
    <t>treatment_activity</t>
  </si>
  <si>
    <t>cff_factor_applies</t>
  </si>
  <si>
    <t>material_credit_activity</t>
  </si>
  <si>
    <t>energy_credit_heat_activity</t>
  </si>
  <si>
    <t>energy_credit_electricity_activity</t>
  </si>
  <si>
    <t>constant</t>
  </si>
  <si>
    <t>time_horizon_yr</t>
  </si>
  <si>
    <t>Time horizon of the GWP_bio and dynamic characterisation factors</t>
  </si>
  <si>
    <t>Guest et al. 2012; Levasseur et al. 2010</t>
  </si>
  <si>
    <t>transport_distance_km</t>
  </si>
  <si>
    <t>km</t>
  </si>
  <si>
    <t>Road-transport distance for collected (co-product, recycled, wild-harvested) materials</t>
  </si>
  <si>
    <t>assumption</t>
  </si>
  <si>
    <t>quality_ratio_primary</t>
  </si>
  <si>
    <t>Quality of primary (virgin) material in the circular footprint formula (Qp)</t>
  </si>
  <si>
    <t>assumption, no data</t>
  </si>
  <si>
    <t>co2_c_molar_ratio</t>
  </si>
  <si>
    <t>kg CO2 / kg C</t>
  </si>
  <si>
    <t>Molar mass ratio CO2 to C (44 / 12)</t>
  </si>
  <si>
    <t>physical constant</t>
  </si>
  <si>
    <t>mj_per_kwh</t>
  </si>
  <si>
    <t>MJ/kWh</t>
  </si>
  <si>
    <t>Unit conversion for the incineration electricity credit</t>
  </si>
  <si>
    <t>machine_wear_activity</t>
  </si>
  <si>
    <t>Activity (in unit_burdens_dataSources) that gives the burden of one kg of machine wear</t>
  </si>
  <si>
    <t>electricity_activity</t>
  </si>
  <si>
    <t>Activity (in unit_burdens_dataSources) that gives the burden of one kWh of electricity, per country</t>
  </si>
  <si>
    <t>raw_product_eol_row</t>
  </si>
  <si>
    <t>Row of the EoL_constants tab that gives the allocation factor, quality ratio, LHV and conversion efficiencies used for RAW products</t>
  </si>
  <si>
    <t>rotation_period_yr</t>
  </si>
  <si>
    <t>storage_0yr</t>
  </si>
  <si>
    <t>storage_10yr</t>
  </si>
  <si>
    <t>storage_20yr</t>
  </si>
  <si>
    <t>storage_30yr</t>
  </si>
  <si>
    <t>storage_40yr</t>
  </si>
  <si>
    <t>storage_50yr</t>
  </si>
  <si>
    <t>storage_60yr</t>
  </si>
  <si>
    <t>storage_70yr</t>
  </si>
  <si>
    <t>storage_80yr</t>
  </si>
  <si>
    <t>storage_90yr</t>
  </si>
  <si>
    <t>storage_100yr</t>
  </si>
  <si>
    <t>Guest et al. (2012), Table 1, 100-yr time horizon</t>
  </si>
  <si>
    <t>term</t>
  </si>
  <si>
    <t>coefficient_a</t>
  </si>
  <si>
    <t>time_constant_tau_yr</t>
  </si>
  <si>
    <t>a0</t>
  </si>
  <si>
    <t>Bern carbon cycle model, Forster et al. 2007 via Levasseur et al. 2010 eq. 3</t>
  </si>
  <si>
    <t>a1</t>
  </si>
  <si>
    <t>a2</t>
  </si>
  <si>
    <t>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</si>
</sst>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14">
    <fill>
      <patternFill patternType="none"/>
    </fill>
    <fill>
      <patternFill patternType="gray125"/>
    </fill>
    <fill>
      <patternFill patternType="solid">
        <fgColor rgb="FFB7B7B7"/>
      </patternFill>
    </fill>
    <fill>
      <patternFill patternType="solid">
        <fgColor rgb="FFF3F3F3"/>
      </patternFill>
    </fill>
    <fill>
      <patternFill patternType="solid">
        <fgColor rgb="FFB4A7D6"/>
      </patternFill>
    </fill>
    <fill>
      <patternFill patternType="solid">
        <fgColor rgb="FFEFEBF7"/>
      </patternFill>
    </fill>
    <fill>
      <patternFill patternType="solid">
        <fgColor rgb="FF76A5AF"/>
      </patternFill>
    </fill>
    <fill>
      <patternFill patternType="solid">
        <fgColor rgb="FFE3EFF1"/>
      </patternFill>
    </fill>
    <fill>
      <patternFill patternType="solid">
        <fgColor rgb="FF93C47D"/>
      </patternFill>
    </fill>
    <fill>
      <patternFill patternType="solid">
        <fgColor rgb="FFE8F3E3"/>
      </patternFill>
    </fill>
    <fill>
      <patternFill patternType="solid">
        <fgColor rgb="FF9FC5E8"/>
      </patternFill>
    </fill>
    <fill>
      <patternFill patternType="solid">
        <fgColor rgb="FFEAF2FB"/>
      </patternFill>
    </fill>
    <fill>
      <patternFill patternType="solid">
        <fgColor rgb="FFF6B26B"/>
      </patternFill>
    </fill>
    <fill>
      <patternFill patternType="solid">
        <fgColor rgb="FFFDF0E3"/>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0" fontId="1" fillId="3" borderId="0" xfId="0" applyFont="1" applyFill="1" applyAlignment="1">
      <alignment vertical="top"/>
    </xf>
    <xf numFmtId="0" fontId="0" fillId="3" borderId="0" xfId="0" applyFill="1" applyAlignment="1">
      <alignment vertical="top" wrapText="1"/>
    </xf>
    <xf numFmtId="0" fontId="1" fillId="4" borderId="0" xfId="0" applyFont="1" applyFill="1"/>
    <xf numFmtId="0" fontId="0" fillId="5" borderId="0" xfId="0" applyFill="1"/>
    <xf numFmtId="0" fontId="1" fillId="6" borderId="0" xfId="0" applyFont="1" applyFill="1"/>
    <xf numFmtId="0" fontId="0" fillId="7" borderId="0" xfId="0" applyFill="1"/>
    <xf numFmtId="0" fontId="0" fillId="7" borderId="0" xfId="0" applyFill="1" applyAlignment="1">
      <alignment vertical="top" wrapText="1"/>
    </xf>
    <xf numFmtId="0" fontId="1" fillId="8" borderId="0" xfId="0" applyFont="1" applyFill="1"/>
    <xf numFmtId="0" fontId="0" fillId="9" borderId="0" xfId="0" applyFill="1"/>
    <xf numFmtId="0" fontId="1" fillId="10" borderId="0" xfId="0" applyFont="1" applyFill="1"/>
    <xf numFmtId="0" fontId="0" fillId="11" borderId="0" xfId="0" applyFill="1"/>
    <xf numFmtId="0" fontId="1" fillId="12" borderId="0" xfId="0" applyFont="1" applyFill="1"/>
    <xf numFmtId="0" fontId="0" fillId="13" borderId="0" xfId="0" applyFill="1"/>
  </cellXfs>
  <cellStyles count="1">
    <cellStyle name="Normal" xfId="0" builtinId="0"/>
  </cellStyles>
  <dxfs count="15">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7B7B7"/>
  </sheetPr>
  <dimension ref="A1:B24"/>
  <sheetViews>
    <sheetView zoomScale="120" zoomScaleNormal="120" workbookViewId="0">
      <pane ySplit="1" topLeftCell="A2" activePane="bottomLeft" state="frozen"/>
      <selection pane="bottomLeft"/>
    </sheetView>
  </sheetViews>
  <sheetFormatPr baseColWidth="10" defaultColWidth="8.83203125" defaultRowHeight="15" x14ac:dyDescent="0.2"/>
  <cols>
    <col min="1" max="1" width="24" customWidth="1"/>
    <col min="2" max="2" width="130" customWidth="1"/>
  </cols>
  <sheetData>
    <row r="1" spans="1:2" x14ac:dyDescent="0.2">
      <c r="A1" s="1" t="s">
        <v>92</v>
      </c>
      <c r="B1" s="1" t="s">
        <v>93</v>
      </c>
    </row>
    <row r="2" spans="1:2" ht="32" customHeight="1" x14ac:dyDescent="0.2">
      <c r="A2" s="2" t="s">
        <v>94</v>
      </c>
      <c r="B2" s="3" t="s">
        <v>95</v>
      </c>
    </row>
    <row r="3" spans="1:2" ht="16" customHeight="1" x14ac:dyDescent="0.2">
      <c r="A3" s="2" t="s">
        <v>96</v>
      </c>
      <c r="B3" s="3" t="s">
        <v>97</v>
      </c>
    </row>
    <row r="4" spans="1:2" ht="16" customHeight="1" x14ac:dyDescent="0.2">
      <c r="A4" s="2" t="s">
        <v>98</v>
      </c>
      <c r="B4" s="3" t="s">
        <v>99</v>
      </c>
    </row>
    <row r="5" spans="1:2" ht="32" customHeight="1" x14ac:dyDescent="0.2">
      <c r="A5" s="2" t="s">
        <v>100</v>
      </c>
      <c r="B5" s="3" t="s">
        <v>101</v>
      </c>
    </row>
    <row r="6" spans="1:2" ht="32" customHeight="1" x14ac:dyDescent="0.2">
      <c r="A6" s="2" t="s">
        <v>102</v>
      </c>
      <c r="B6" s="3" t="s">
        <v>103</v>
      </c>
    </row>
    <row r="7" spans="1:2" ht="16" customHeight="1" x14ac:dyDescent="0.2">
      <c r="A7" s="2" t="s">
        <v>104</v>
      </c>
      <c r="B7" s="3" t="s">
        <v>105</v>
      </c>
    </row>
    <row r="8" spans="1:2" ht="32" customHeight="1" x14ac:dyDescent="0.2">
      <c r="A8" s="2" t="s">
        <v>106</v>
      </c>
      <c r="B8" s="3" t="s">
        <v>107</v>
      </c>
    </row>
    <row r="9" spans="1:2" ht="32" customHeight="1" x14ac:dyDescent="0.2">
      <c r="A9" s="2" t="s">
        <v>108</v>
      </c>
      <c r="B9" s="3" t="s">
        <v>109</v>
      </c>
    </row>
    <row r="10" spans="1:2" ht="16" customHeight="1" x14ac:dyDescent="0.2">
      <c r="A10" s="2" t="s">
        <v>110</v>
      </c>
      <c r="B10" s="3" t="s">
        <v>111</v>
      </c>
    </row>
    <row r="11" spans="1:2" ht="16" customHeight="1" x14ac:dyDescent="0.2">
      <c r="A11" s="2" t="s">
        <v>112</v>
      </c>
      <c r="B11" s="3" t="s">
        <v>113</v>
      </c>
    </row>
    <row r="12" spans="1:2" ht="32" customHeight="1" x14ac:dyDescent="0.2">
      <c r="A12" s="2" t="s">
        <v>114</v>
      </c>
      <c r="B12" s="3" t="s">
        <v>115</v>
      </c>
    </row>
    <row r="13" spans="1:2" ht="32" customHeight="1" x14ac:dyDescent="0.2">
      <c r="A13" s="2" t="s">
        <v>1</v>
      </c>
      <c r="B13" s="3" t="s">
        <v>116</v>
      </c>
    </row>
    <row r="14" spans="1:2" ht="32" customHeight="1" x14ac:dyDescent="0.2">
      <c r="A14" s="2" t="s">
        <v>117</v>
      </c>
      <c r="B14" s="3" t="s">
        <v>118</v>
      </c>
    </row>
    <row r="15" spans="1:2" ht="64" customHeight="1" x14ac:dyDescent="0.2">
      <c r="A15" s="2" t="s">
        <v>12</v>
      </c>
      <c r="B15" s="3" t="s">
        <v>119</v>
      </c>
    </row>
    <row r="16" spans="1:2" ht="32" customHeight="1" x14ac:dyDescent="0.2">
      <c r="A16" s="2" t="s">
        <v>120</v>
      </c>
      <c r="B16" s="3" t="s">
        <v>121</v>
      </c>
    </row>
    <row r="17" spans="1:2" ht="32" customHeight="1" x14ac:dyDescent="0.2">
      <c r="A17" s="2" t="s">
        <v>122</v>
      </c>
      <c r="B17" s="3" t="s">
        <v>123</v>
      </c>
    </row>
    <row r="18" spans="1:2" ht="16" customHeight="1" x14ac:dyDescent="0.2">
      <c r="A18" s="2" t="s">
        <v>124</v>
      </c>
      <c r="B18" s="3" t="s">
        <v>125</v>
      </c>
    </row>
    <row r="19" spans="1:2" ht="16" customHeight="1" x14ac:dyDescent="0.2">
      <c r="A19" s="2" t="s">
        <v>126</v>
      </c>
      <c r="B19" s="3" t="s">
        <v>127</v>
      </c>
    </row>
    <row r="20" spans="1:2" ht="32" customHeight="1" x14ac:dyDescent="0.2">
      <c r="A20" s="2" t="s">
        <v>128</v>
      </c>
      <c r="B20" s="3" t="s">
        <v>129</v>
      </c>
    </row>
    <row r="21" spans="1:2" ht="32" customHeight="1" x14ac:dyDescent="0.2">
      <c r="A21" s="2" t="s">
        <v>130</v>
      </c>
      <c r="B21" s="3" t="s">
        <v>131</v>
      </c>
    </row>
    <row r="22" spans="1:2" ht="32" customHeight="1" x14ac:dyDescent="0.2">
      <c r="A22" s="2" t="s">
        <v>132</v>
      </c>
      <c r="B22" s="3" t="s">
        <v>133</v>
      </c>
    </row>
    <row r="23" spans="1:2" ht="32" customHeight="1" x14ac:dyDescent="0.2">
      <c r="A23" s="2" t="s">
        <v>134</v>
      </c>
      <c r="B23" s="3" t="s">
        <v>135</v>
      </c>
    </row>
    <row r="24" spans="1:2" ht="32" x14ac:dyDescent="0.2">
      <c r="A24" s="2" t="s">
        <v>136</v>
      </c>
      <c r="B24" s="3" t="s">
        <v>137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A7D6"/>
  </sheetPr>
  <dimension ref="A1:I5"/>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59" customWidth="1"/>
    <col min="3" max="3" width="47" customWidth="1"/>
    <col min="4" max="4" width="14" customWidth="1"/>
    <col min="5" max="6" width="19" customWidth="1"/>
    <col min="7" max="7" width="17" customWidth="1"/>
    <col min="8" max="8" width="31" customWidth="1"/>
    <col min="9" max="9" width="42" customWidth="1"/>
  </cols>
  <sheetData>
    <row r="1" spans="1:9" x14ac:dyDescent="0.2">
      <c r="A1" s="4" t="s">
        <v>138</v>
      </c>
      <c r="B1" s="4" t="s">
        <v>139</v>
      </c>
      <c r="C1" s="4" t="s">
        <v>140</v>
      </c>
      <c r="D1" s="4" t="s">
        <v>141</v>
      </c>
      <c r="E1" s="4" t="s">
        <v>142</v>
      </c>
      <c r="F1" s="4" t="s">
        <v>143</v>
      </c>
      <c r="G1" s="4" t="s">
        <v>144</v>
      </c>
      <c r="H1" s="4" t="s">
        <v>145</v>
      </c>
      <c r="I1" s="4" t="s">
        <v>146</v>
      </c>
    </row>
    <row r="2" spans="1:9" x14ac:dyDescent="0.2">
      <c r="A2" s="5" t="s">
        <v>17</v>
      </c>
      <c r="B2" s="5" t="s">
        <v>147</v>
      </c>
      <c r="C2" s="5" t="s">
        <v>148</v>
      </c>
      <c r="D2" s="5">
        <v>50</v>
      </c>
      <c r="E2" s="5" t="s">
        <v>67</v>
      </c>
      <c r="F2" s="5" t="s">
        <v>149</v>
      </c>
      <c r="G2" s="5" t="s">
        <v>150</v>
      </c>
      <c r="H2" s="5" t="s">
        <v>151</v>
      </c>
      <c r="I2" s="5" t="s">
        <v>152</v>
      </c>
    </row>
    <row r="3" spans="1:9" x14ac:dyDescent="0.2">
      <c r="A3" s="5" t="s">
        <v>153</v>
      </c>
      <c r="B3" s="5" t="s">
        <v>154</v>
      </c>
      <c r="C3" s="5" t="s">
        <v>148</v>
      </c>
      <c r="D3" s="5">
        <v>50</v>
      </c>
      <c r="E3" s="5" t="s">
        <v>67</v>
      </c>
      <c r="F3" s="5" t="s">
        <v>149</v>
      </c>
      <c r="G3" s="5" t="s">
        <v>150</v>
      </c>
      <c r="H3" s="5" t="s">
        <v>151</v>
      </c>
      <c r="I3" s="5" t="s">
        <v>152</v>
      </c>
    </row>
    <row r="4" spans="1:9" x14ac:dyDescent="0.2">
      <c r="A4" s="5" t="s">
        <v>155</v>
      </c>
      <c r="B4" s="5" t="s">
        <v>156</v>
      </c>
      <c r="C4" s="5" t="s">
        <v>157</v>
      </c>
      <c r="D4" s="5">
        <v>50</v>
      </c>
      <c r="E4" s="5" t="s">
        <v>67</v>
      </c>
      <c r="F4" s="5" t="s">
        <v>158</v>
      </c>
      <c r="G4" s="5" t="s">
        <v>150</v>
      </c>
      <c r="H4" s="5" t="s">
        <v>159</v>
      </c>
      <c r="I4" s="5" t="s">
        <v>160</v>
      </c>
    </row>
    <row r="5" spans="1:9" x14ac:dyDescent="0.2">
      <c r="A5" s="5" t="s">
        <v>161</v>
      </c>
      <c r="B5" s="5" t="s">
        <v>162</v>
      </c>
      <c r="C5" s="5" t="s">
        <v>163</v>
      </c>
      <c r="D5" s="5">
        <v>50</v>
      </c>
      <c r="E5" s="5" t="s">
        <v>67</v>
      </c>
      <c r="F5" s="5" t="s">
        <v>164</v>
      </c>
      <c r="G5" s="5" t="s">
        <v>165</v>
      </c>
      <c r="H5" s="5"/>
      <c r="I5" s="5" t="s">
        <v>166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sheetPr>
  <dimension ref="A1:D16"/>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22" customWidth="1"/>
    <col min="3" max="3" width="20" customWidth="1"/>
    <col min="4" max="4" width="45" customWidth="1"/>
  </cols>
  <sheetData>
    <row r="1" spans="1:4" x14ac:dyDescent="0.2">
      <c r="A1" s="4" t="s">
        <v>5</v>
      </c>
      <c r="B1" s="4" t="s">
        <v>167</v>
      </c>
      <c r="C1" s="4" t="s">
        <v>7</v>
      </c>
      <c r="D1" s="4" t="s">
        <v>6</v>
      </c>
    </row>
    <row r="2" spans="1:4" x14ac:dyDescent="0.2">
      <c r="A2" s="5" t="s">
        <v>168</v>
      </c>
      <c r="B2" s="5">
        <v>6</v>
      </c>
      <c r="C2" s="5" t="s">
        <v>150</v>
      </c>
      <c r="D2" s="5" t="s">
        <v>169</v>
      </c>
    </row>
    <row r="3" spans="1:4" x14ac:dyDescent="0.2">
      <c r="A3" s="5" t="s">
        <v>170</v>
      </c>
      <c r="B3" s="5">
        <v>4</v>
      </c>
      <c r="C3" s="5" t="s">
        <v>150</v>
      </c>
      <c r="D3" s="5" t="s">
        <v>171</v>
      </c>
    </row>
    <row r="4" spans="1:4" x14ac:dyDescent="0.2">
      <c r="A4" s="5" t="s">
        <v>172</v>
      </c>
      <c r="B4" s="5">
        <v>100</v>
      </c>
      <c r="C4" s="5" t="s">
        <v>165</v>
      </c>
      <c r="D4" s="5" t="s">
        <v>173</v>
      </c>
    </row>
    <row r="5" spans="1:4" x14ac:dyDescent="0.2">
      <c r="A5" s="5" t="s">
        <v>174</v>
      </c>
      <c r="B5" s="5" t="s">
        <v>175</v>
      </c>
      <c r="C5" s="5" t="s">
        <v>176</v>
      </c>
      <c r="D5" s="5" t="s">
        <v>177</v>
      </c>
    </row>
    <row r="6" spans="1:4" x14ac:dyDescent="0.2">
      <c r="A6" s="5" t="s">
        <v>178</v>
      </c>
      <c r="B6" s="5" t="s">
        <v>179</v>
      </c>
      <c r="C6" s="5" t="s">
        <v>176</v>
      </c>
      <c r="D6" s="5" t="s">
        <v>180</v>
      </c>
    </row>
    <row r="7" spans="1:4" x14ac:dyDescent="0.2">
      <c r="A7" s="5" t="s">
        <v>181</v>
      </c>
      <c r="B7" s="5" t="s">
        <v>182</v>
      </c>
      <c r="C7" s="5" t="s">
        <v>183</v>
      </c>
      <c r="D7" s="5" t="s">
        <v>184</v>
      </c>
    </row>
    <row r="8" spans="1:4" x14ac:dyDescent="0.2">
      <c r="A8" s="5" t="s">
        <v>185</v>
      </c>
      <c r="B8" s="5" t="s">
        <v>186</v>
      </c>
      <c r="C8" s="5" t="s">
        <v>187</v>
      </c>
      <c r="D8" s="5" t="s">
        <v>188</v>
      </c>
    </row>
    <row r="9" spans="1:4" x14ac:dyDescent="0.2">
      <c r="A9" s="5" t="s">
        <v>189</v>
      </c>
      <c r="B9" s="5">
        <v>2000</v>
      </c>
      <c r="C9" s="5" t="s">
        <v>190</v>
      </c>
      <c r="D9" s="5" t="s">
        <v>191</v>
      </c>
    </row>
    <row r="10" spans="1:4" x14ac:dyDescent="0.2">
      <c r="A10" s="5" t="s">
        <v>192</v>
      </c>
      <c r="B10" s="5" t="s">
        <v>193</v>
      </c>
      <c r="C10" s="5" t="s">
        <v>194</v>
      </c>
      <c r="D10" s="5" t="s">
        <v>195</v>
      </c>
    </row>
    <row r="11" spans="1:4" x14ac:dyDescent="0.2">
      <c r="A11" s="5" t="s">
        <v>196</v>
      </c>
      <c r="B11" s="5">
        <v>3.12</v>
      </c>
      <c r="C11" s="5" t="s">
        <v>23</v>
      </c>
      <c r="D11" s="5" t="s">
        <v>197</v>
      </c>
    </row>
    <row r="12" spans="1:4" x14ac:dyDescent="0.2">
      <c r="A12" s="5" t="s">
        <v>198</v>
      </c>
      <c r="B12" s="5" t="s">
        <v>199</v>
      </c>
      <c r="C12" s="5" t="s">
        <v>23</v>
      </c>
      <c r="D12" s="5" t="s">
        <v>200</v>
      </c>
    </row>
    <row r="13" spans="1:4" x14ac:dyDescent="0.2">
      <c r="A13" s="5" t="s">
        <v>201</v>
      </c>
      <c r="B13" s="5" t="s">
        <v>202</v>
      </c>
      <c r="C13" s="5" t="s">
        <v>23</v>
      </c>
      <c r="D13" s="5" t="s">
        <v>203</v>
      </c>
    </row>
    <row r="14" spans="1:4" x14ac:dyDescent="0.2">
      <c r="A14" s="5" t="s">
        <v>204</v>
      </c>
      <c r="B14" s="5">
        <v>42</v>
      </c>
      <c r="C14" s="5" t="s">
        <v>23</v>
      </c>
      <c r="D14" s="5" t="s">
        <v>205</v>
      </c>
    </row>
    <row r="15" spans="1:4" x14ac:dyDescent="0.2">
      <c r="A15" s="5" t="s">
        <v>206</v>
      </c>
      <c r="B15" s="5">
        <v>500</v>
      </c>
      <c r="C15" s="5" t="s">
        <v>190</v>
      </c>
      <c r="D15" s="5" t="s">
        <v>207</v>
      </c>
    </row>
    <row r="16" spans="1:4" x14ac:dyDescent="0.2">
      <c r="A16" s="5" t="s">
        <v>208</v>
      </c>
      <c r="B16" s="5">
        <v>512</v>
      </c>
      <c r="C16" s="5" t="s">
        <v>190</v>
      </c>
      <c r="D16" s="5" t="s">
        <v>209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A7D6"/>
  </sheetPr>
  <dimension ref="A1:D26"/>
  <sheetViews>
    <sheetView workbookViewId="0">
      <pane ySplit="1" topLeftCell="A2" activePane="bottomLeft" state="frozen"/>
      <selection pane="bottomLeft"/>
    </sheetView>
  </sheetViews>
  <sheetFormatPr baseColWidth="10" defaultColWidth="8.83203125" defaultRowHeight="15" x14ac:dyDescent="0.2"/>
  <cols>
    <col min="1" max="3" width="45" customWidth="1"/>
    <col min="4" max="4" width="20" customWidth="1"/>
  </cols>
  <sheetData>
    <row r="1" spans="1:4" x14ac:dyDescent="0.2">
      <c r="A1" s="4" t="s">
        <v>210</v>
      </c>
      <c r="B1" s="4" t="s">
        <v>7</v>
      </c>
      <c r="C1" s="4" t="s">
        <v>211</v>
      </c>
      <c r="D1" s="4" t="s">
        <v>212</v>
      </c>
    </row>
    <row r="2" spans="1:4" x14ac:dyDescent="0.2">
      <c r="A2" s="5" t="s">
        <v>213</v>
      </c>
      <c r="B2" s="5" t="s">
        <v>214</v>
      </c>
      <c r="C2" s="5" t="s">
        <v>213</v>
      </c>
      <c r="D2" s="5" t="s">
        <v>215</v>
      </c>
    </row>
    <row r="3" spans="1:4" x14ac:dyDescent="0.2">
      <c r="A3" s="5" t="s">
        <v>216</v>
      </c>
      <c r="B3" s="5" t="s">
        <v>217</v>
      </c>
      <c r="C3" s="5" t="s">
        <v>216</v>
      </c>
      <c r="D3" s="5" t="s">
        <v>215</v>
      </c>
    </row>
    <row r="4" spans="1:4" x14ac:dyDescent="0.2">
      <c r="A4" s="5" t="s">
        <v>218</v>
      </c>
      <c r="B4" s="5" t="s">
        <v>219</v>
      </c>
      <c r="C4" s="5" t="s">
        <v>218</v>
      </c>
      <c r="D4" s="5" t="s">
        <v>215</v>
      </c>
    </row>
    <row r="5" spans="1:4" x14ac:dyDescent="0.2">
      <c r="A5" s="5" t="s">
        <v>220</v>
      </c>
      <c r="B5" s="5" t="s">
        <v>221</v>
      </c>
      <c r="C5" s="5" t="s">
        <v>220</v>
      </c>
      <c r="D5" s="5" t="s">
        <v>215</v>
      </c>
    </row>
    <row r="6" spans="1:4" x14ac:dyDescent="0.2">
      <c r="A6" s="5" t="s">
        <v>222</v>
      </c>
      <c r="B6" s="5" t="s">
        <v>223</v>
      </c>
      <c r="C6" s="5" t="s">
        <v>224</v>
      </c>
      <c r="D6" s="5" t="s">
        <v>215</v>
      </c>
    </row>
    <row r="7" spans="1:4" x14ac:dyDescent="0.2">
      <c r="A7" s="5" t="s">
        <v>225</v>
      </c>
      <c r="B7" s="5" t="s">
        <v>226</v>
      </c>
      <c r="C7" s="5" t="s">
        <v>225</v>
      </c>
      <c r="D7" s="5" t="s">
        <v>215</v>
      </c>
    </row>
    <row r="8" spans="1:4" x14ac:dyDescent="0.2">
      <c r="A8" s="5" t="s">
        <v>227</v>
      </c>
      <c r="B8" s="5" t="s">
        <v>228</v>
      </c>
      <c r="C8" s="5" t="s">
        <v>227</v>
      </c>
      <c r="D8" s="5" t="s">
        <v>215</v>
      </c>
    </row>
    <row r="9" spans="1:4" x14ac:dyDescent="0.2">
      <c r="A9" s="5" t="s">
        <v>229</v>
      </c>
      <c r="B9" s="5" t="s">
        <v>230</v>
      </c>
      <c r="C9" s="5" t="s">
        <v>231</v>
      </c>
      <c r="D9" s="5" t="s">
        <v>215</v>
      </c>
    </row>
    <row r="10" spans="1:4" x14ac:dyDescent="0.2">
      <c r="A10" s="5" t="s">
        <v>232</v>
      </c>
      <c r="B10" s="5" t="s">
        <v>214</v>
      </c>
      <c r="C10" s="5" t="s">
        <v>232</v>
      </c>
      <c r="D10" s="5" t="s">
        <v>233</v>
      </c>
    </row>
    <row r="11" spans="1:4" x14ac:dyDescent="0.2">
      <c r="A11" s="5" t="s">
        <v>234</v>
      </c>
      <c r="B11" s="5" t="s">
        <v>214</v>
      </c>
      <c r="C11" s="5" t="s">
        <v>234</v>
      </c>
      <c r="D11" s="5" t="s">
        <v>233</v>
      </c>
    </row>
    <row r="12" spans="1:4" x14ac:dyDescent="0.2">
      <c r="A12" s="5" t="s">
        <v>235</v>
      </c>
      <c r="B12" s="5" t="s">
        <v>214</v>
      </c>
      <c r="C12" s="5" t="s">
        <v>235</v>
      </c>
      <c r="D12" s="5" t="s">
        <v>233</v>
      </c>
    </row>
    <row r="13" spans="1:4" x14ac:dyDescent="0.2">
      <c r="A13" s="5" t="s">
        <v>236</v>
      </c>
      <c r="B13" s="5" t="s">
        <v>237</v>
      </c>
      <c r="C13" s="5" t="s">
        <v>236</v>
      </c>
      <c r="D13" s="5" t="s">
        <v>233</v>
      </c>
    </row>
    <row r="14" spans="1:4" x14ac:dyDescent="0.2">
      <c r="A14" s="5" t="s">
        <v>238</v>
      </c>
      <c r="B14" s="5" t="s">
        <v>237</v>
      </c>
      <c r="C14" s="5" t="s">
        <v>238</v>
      </c>
      <c r="D14" s="5" t="s">
        <v>233</v>
      </c>
    </row>
    <row r="15" spans="1:4" x14ac:dyDescent="0.2">
      <c r="A15" s="5" t="s">
        <v>239</v>
      </c>
      <c r="B15" s="5" t="s">
        <v>237</v>
      </c>
      <c r="C15" s="5" t="s">
        <v>239</v>
      </c>
      <c r="D15" s="5" t="s">
        <v>233</v>
      </c>
    </row>
    <row r="16" spans="1:4" x14ac:dyDescent="0.2">
      <c r="A16" s="5" t="s">
        <v>240</v>
      </c>
      <c r="B16" s="5" t="s">
        <v>241</v>
      </c>
      <c r="C16" s="5" t="s">
        <v>240</v>
      </c>
      <c r="D16" s="5" t="s">
        <v>233</v>
      </c>
    </row>
    <row r="17" spans="1:4" x14ac:dyDescent="0.2">
      <c r="A17" s="5" t="s">
        <v>242</v>
      </c>
      <c r="B17" s="5" t="s">
        <v>243</v>
      </c>
      <c r="C17" s="5" t="s">
        <v>242</v>
      </c>
      <c r="D17" s="5" t="s">
        <v>233</v>
      </c>
    </row>
    <row r="18" spans="1:4" x14ac:dyDescent="0.2">
      <c r="A18" s="5" t="s">
        <v>244</v>
      </c>
      <c r="B18" s="5" t="s">
        <v>245</v>
      </c>
      <c r="C18" s="5" t="s">
        <v>244</v>
      </c>
      <c r="D18" s="5" t="s">
        <v>233</v>
      </c>
    </row>
    <row r="19" spans="1:4" x14ac:dyDescent="0.2">
      <c r="A19" s="5" t="s">
        <v>246</v>
      </c>
      <c r="B19" s="5" t="s">
        <v>247</v>
      </c>
      <c r="C19" s="5" t="s">
        <v>246</v>
      </c>
      <c r="D19" s="5" t="s">
        <v>233</v>
      </c>
    </row>
    <row r="20" spans="1:4" x14ac:dyDescent="0.2">
      <c r="A20" s="5" t="s">
        <v>248</v>
      </c>
      <c r="B20" s="5" t="s">
        <v>247</v>
      </c>
      <c r="C20" s="5" t="s">
        <v>248</v>
      </c>
      <c r="D20" s="5" t="s">
        <v>233</v>
      </c>
    </row>
    <row r="21" spans="1:4" x14ac:dyDescent="0.2">
      <c r="A21" s="5" t="s">
        <v>249</v>
      </c>
      <c r="B21" s="5" t="s">
        <v>247</v>
      </c>
      <c r="C21" s="5" t="s">
        <v>249</v>
      </c>
      <c r="D21" s="5" t="s">
        <v>233</v>
      </c>
    </row>
    <row r="22" spans="1:4" x14ac:dyDescent="0.2">
      <c r="A22" s="5" t="s">
        <v>250</v>
      </c>
      <c r="B22" s="5" t="s">
        <v>247</v>
      </c>
      <c r="C22" s="5" t="s">
        <v>250</v>
      </c>
      <c r="D22" s="5" t="s">
        <v>233</v>
      </c>
    </row>
    <row r="23" spans="1:4" x14ac:dyDescent="0.2">
      <c r="A23" s="5" t="s">
        <v>251</v>
      </c>
      <c r="B23" s="5" t="s">
        <v>247</v>
      </c>
      <c r="C23" s="5" t="s">
        <v>251</v>
      </c>
      <c r="D23" s="5" t="s">
        <v>233</v>
      </c>
    </row>
    <row r="24" spans="1:4" x14ac:dyDescent="0.2">
      <c r="A24" s="5" t="s">
        <v>252</v>
      </c>
      <c r="B24" s="5" t="s">
        <v>247</v>
      </c>
      <c r="C24" s="5" t="s">
        <v>252</v>
      </c>
      <c r="D24" s="5" t="s">
        <v>233</v>
      </c>
    </row>
    <row r="25" spans="1:4" x14ac:dyDescent="0.2">
      <c r="A25" s="5" t="s">
        <v>253</v>
      </c>
      <c r="B25" s="5" t="s">
        <v>254</v>
      </c>
      <c r="C25" s="5" t="s">
        <v>253</v>
      </c>
      <c r="D25" s="5" t="s">
        <v>233</v>
      </c>
    </row>
    <row r="26" spans="1:4" x14ac:dyDescent="0.2">
      <c r="A26" s="5" t="s">
        <v>255</v>
      </c>
      <c r="B26" s="5" t="s">
        <v>256</v>
      </c>
      <c r="C26" s="5" t="s">
        <v>255</v>
      </c>
      <c r="D26" s="5" t="s">
        <v>233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A7D6"/>
  </sheetPr>
  <dimension ref="A1:G4"/>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3" width="15" customWidth="1"/>
    <col min="4" max="4" width="17" customWidth="1"/>
    <col min="5" max="5" width="14" customWidth="1"/>
    <col min="6" max="6" width="44" customWidth="1"/>
    <col min="7" max="7" width="12" customWidth="1"/>
  </cols>
  <sheetData>
    <row r="1" spans="1:7" x14ac:dyDescent="0.2">
      <c r="A1" s="4" t="s">
        <v>257</v>
      </c>
      <c r="B1" s="4" t="s">
        <v>211</v>
      </c>
      <c r="C1" s="4" t="s">
        <v>258</v>
      </c>
      <c r="D1" s="4" t="s">
        <v>259</v>
      </c>
      <c r="E1" s="4" t="s">
        <v>260</v>
      </c>
      <c r="F1" s="4" t="s">
        <v>16</v>
      </c>
      <c r="G1" s="4" t="s">
        <v>261</v>
      </c>
    </row>
    <row r="2" spans="1:7" x14ac:dyDescent="0.2">
      <c r="A2" s="5" t="s">
        <v>262</v>
      </c>
      <c r="B2" s="5" t="s">
        <v>263</v>
      </c>
      <c r="C2" s="5"/>
      <c r="D2" s="5"/>
      <c r="E2" s="5"/>
      <c r="F2" s="5" t="s">
        <v>264</v>
      </c>
      <c r="G2" s="5" t="s">
        <v>215</v>
      </c>
    </row>
    <row r="3" spans="1:7" x14ac:dyDescent="0.2">
      <c r="A3" s="5" t="s">
        <v>265</v>
      </c>
      <c r="B3" s="5" t="s">
        <v>266</v>
      </c>
      <c r="C3" s="5" t="s">
        <v>267</v>
      </c>
      <c r="D3" s="5" t="s">
        <v>268</v>
      </c>
      <c r="E3" s="5">
        <v>2050</v>
      </c>
      <c r="F3" s="5" t="s">
        <v>269</v>
      </c>
      <c r="G3" s="5" t="s">
        <v>233</v>
      </c>
    </row>
    <row r="4" spans="1:7" x14ac:dyDescent="0.2">
      <c r="A4" s="5" t="s">
        <v>270</v>
      </c>
      <c r="B4" s="5">
        <v>2050</v>
      </c>
      <c r="C4" s="5" t="s">
        <v>267</v>
      </c>
      <c r="D4" s="5" t="s">
        <v>271</v>
      </c>
      <c r="E4" s="5">
        <v>2050</v>
      </c>
      <c r="F4" s="5" t="s">
        <v>272</v>
      </c>
      <c r="G4" s="5" t="s">
        <v>215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A5AF"/>
  </sheetPr>
  <dimension ref="A1:P54"/>
  <sheetViews>
    <sheetView zoomScale="110" zoomScaleNormal="110" workbookViewId="0">
      <pane xSplit="5" ySplit="1" topLeftCell="L2" activePane="bottomRight" state="frozen"/>
      <selection activeCell="G13" sqref="G13"/>
      <selection pane="topRight" activeCell="G13" sqref="G13"/>
      <selection pane="bottomLeft" activeCell="G13" sqref="G13"/>
      <selection pane="bottomRight" activeCell="P23" sqref="P23"/>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6" t="s">
        <v>0</v>
      </c>
      <c r="B1" s="6" t="s">
        <v>2</v>
      </c>
      <c r="C1" s="6" t="s">
        <v>3</v>
      </c>
      <c r="D1" s="6" t="s">
        <v>4</v>
      </c>
      <c r="E1" s="6" t="s">
        <v>5</v>
      </c>
      <c r="F1" s="6" t="s">
        <v>6</v>
      </c>
      <c r="G1" s="6" t="s">
        <v>7</v>
      </c>
      <c r="H1" s="6" t="s">
        <v>8</v>
      </c>
      <c r="I1" s="6" t="s">
        <v>9</v>
      </c>
      <c r="J1" s="6" t="s">
        <v>10</v>
      </c>
      <c r="K1" s="6" t="s">
        <v>11</v>
      </c>
      <c r="L1" s="6" t="s">
        <v>12</v>
      </c>
      <c r="M1" s="6" t="s">
        <v>13</v>
      </c>
      <c r="N1" s="6" t="s">
        <v>14</v>
      </c>
      <c r="O1" s="6" t="s">
        <v>15</v>
      </c>
      <c r="P1" s="6" t="s">
        <v>16</v>
      </c>
    </row>
    <row r="2" spans="1:16" ht="16" customHeight="1" x14ac:dyDescent="0.2">
      <c r="A2" s="7" t="s">
        <v>151</v>
      </c>
      <c r="B2" s="7" t="s">
        <v>19</v>
      </c>
      <c r="C2" s="7" t="s">
        <v>20</v>
      </c>
      <c r="D2" s="7"/>
      <c r="E2" s="7" t="s">
        <v>21</v>
      </c>
      <c r="F2" s="7" t="s">
        <v>22</v>
      </c>
      <c r="G2" s="7" t="s">
        <v>23</v>
      </c>
      <c r="H2" s="7">
        <v>20</v>
      </c>
      <c r="I2" s="7">
        <v>16</v>
      </c>
      <c r="J2" s="7">
        <v>24</v>
      </c>
      <c r="K2" s="7"/>
      <c r="L2" s="7" t="s">
        <v>24</v>
      </c>
      <c r="M2" s="7"/>
      <c r="N2" s="7" t="s">
        <v>273</v>
      </c>
      <c r="O2" s="7" t="s">
        <v>274</v>
      </c>
      <c r="P2" s="7" t="s">
        <v>275</v>
      </c>
    </row>
    <row r="3" spans="1:16" ht="16" customHeight="1" x14ac:dyDescent="0.2">
      <c r="A3" s="7" t="s">
        <v>151</v>
      </c>
      <c r="B3" s="7" t="s">
        <v>19</v>
      </c>
      <c r="C3" s="7" t="s">
        <v>20</v>
      </c>
      <c r="D3" s="7"/>
      <c r="E3" s="7" t="s">
        <v>27</v>
      </c>
      <c r="F3" s="7" t="s">
        <v>28</v>
      </c>
      <c r="G3" s="7" t="s">
        <v>23</v>
      </c>
      <c r="H3" s="7">
        <v>3.5</v>
      </c>
      <c r="I3" s="7">
        <v>3</v>
      </c>
      <c r="J3" s="7">
        <v>4</v>
      </c>
      <c r="K3" s="7"/>
      <c r="L3" s="7" t="s">
        <v>24</v>
      </c>
      <c r="M3" s="7"/>
      <c r="N3" s="7" t="s">
        <v>276</v>
      </c>
      <c r="O3" s="7" t="s">
        <v>274</v>
      </c>
      <c r="P3" s="7" t="s">
        <v>277</v>
      </c>
    </row>
    <row r="4" spans="1:16" ht="16" customHeight="1" x14ac:dyDescent="0.2">
      <c r="A4" s="7" t="s">
        <v>151</v>
      </c>
      <c r="B4" s="7" t="s">
        <v>19</v>
      </c>
      <c r="C4" s="7" t="s">
        <v>20</v>
      </c>
      <c r="D4" s="7"/>
      <c r="E4" s="7" t="s">
        <v>29</v>
      </c>
      <c r="F4" s="7" t="s">
        <v>278</v>
      </c>
      <c r="G4" s="7" t="s">
        <v>31</v>
      </c>
      <c r="H4" s="7">
        <v>439</v>
      </c>
      <c r="I4" s="7">
        <v>439</v>
      </c>
      <c r="J4" s="7">
        <v>439</v>
      </c>
      <c r="K4" s="7"/>
      <c r="L4" s="7" t="s">
        <v>78</v>
      </c>
      <c r="M4" s="7"/>
      <c r="N4" s="7" t="s">
        <v>279</v>
      </c>
      <c r="O4" s="7" t="s">
        <v>280</v>
      </c>
      <c r="P4" s="7" t="s">
        <v>281</v>
      </c>
    </row>
    <row r="5" spans="1:16" ht="16" customHeight="1" x14ac:dyDescent="0.2">
      <c r="A5" s="7" t="s">
        <v>151</v>
      </c>
      <c r="B5" s="7" t="s">
        <v>32</v>
      </c>
      <c r="C5" s="7" t="s">
        <v>282</v>
      </c>
      <c r="D5" s="7"/>
      <c r="E5" s="7" t="s">
        <v>283</v>
      </c>
      <c r="F5" s="7" t="s">
        <v>284</v>
      </c>
      <c r="G5" s="7" t="s">
        <v>285</v>
      </c>
      <c r="H5" s="7">
        <v>2.2779043280182231E-3</v>
      </c>
      <c r="I5" s="7">
        <v>2.2779043280182231E-3</v>
      </c>
      <c r="J5" s="7">
        <v>2.2779043280182231E-3</v>
      </c>
      <c r="K5" s="7"/>
      <c r="L5" s="7" t="s">
        <v>78</v>
      </c>
      <c r="M5" s="7"/>
      <c r="N5" s="7" t="s">
        <v>286</v>
      </c>
      <c r="O5" s="7" t="s">
        <v>280</v>
      </c>
      <c r="P5" s="7" t="s">
        <v>287</v>
      </c>
    </row>
    <row r="6" spans="1:16" ht="16" customHeight="1" x14ac:dyDescent="0.2">
      <c r="A6" s="7" t="s">
        <v>151</v>
      </c>
      <c r="B6" s="7" t="s">
        <v>64</v>
      </c>
      <c r="C6" s="7" t="s">
        <v>20</v>
      </c>
      <c r="D6" s="7"/>
      <c r="E6" s="7" t="s">
        <v>288</v>
      </c>
      <c r="F6" s="7" t="s">
        <v>289</v>
      </c>
      <c r="G6" s="7" t="s">
        <v>67</v>
      </c>
      <c r="H6" s="7">
        <v>75</v>
      </c>
      <c r="I6" s="7">
        <v>50</v>
      </c>
      <c r="J6" s="7">
        <v>100</v>
      </c>
      <c r="K6" s="7"/>
      <c r="L6" s="7" t="s">
        <v>24</v>
      </c>
      <c r="M6" s="7"/>
      <c r="N6" s="7" t="s">
        <v>290</v>
      </c>
      <c r="O6" s="7" t="s">
        <v>280</v>
      </c>
      <c r="P6" s="7" t="s">
        <v>291</v>
      </c>
    </row>
    <row r="7" spans="1:16" ht="16" customHeight="1" x14ac:dyDescent="0.2">
      <c r="A7" s="7" t="s">
        <v>151</v>
      </c>
      <c r="B7" s="7" t="s">
        <v>73</v>
      </c>
      <c r="C7" s="7" t="s">
        <v>292</v>
      </c>
      <c r="D7" s="7" t="s">
        <v>282</v>
      </c>
      <c r="E7" s="7" t="s">
        <v>283</v>
      </c>
      <c r="F7" s="7" t="s">
        <v>293</v>
      </c>
      <c r="G7" s="7" t="s">
        <v>294</v>
      </c>
      <c r="H7" s="7">
        <v>0.6</v>
      </c>
      <c r="I7" s="7">
        <v>0.48</v>
      </c>
      <c r="J7" s="7">
        <v>0.72</v>
      </c>
      <c r="K7" s="7"/>
      <c r="L7" s="7" t="s">
        <v>24</v>
      </c>
      <c r="M7" s="7"/>
      <c r="N7" s="7" t="s">
        <v>295</v>
      </c>
      <c r="O7" s="7" t="s">
        <v>280</v>
      </c>
      <c r="P7" s="7" t="s">
        <v>296</v>
      </c>
    </row>
    <row r="8" spans="1:16" ht="16" customHeight="1" x14ac:dyDescent="0.2">
      <c r="A8" s="7" t="s">
        <v>151</v>
      </c>
      <c r="B8" s="7" t="s">
        <v>73</v>
      </c>
      <c r="C8" s="7" t="s">
        <v>297</v>
      </c>
      <c r="D8" s="7" t="s">
        <v>282</v>
      </c>
      <c r="E8" s="7" t="s">
        <v>283</v>
      </c>
      <c r="F8" s="7" t="s">
        <v>298</v>
      </c>
      <c r="G8" s="7" t="s">
        <v>294</v>
      </c>
      <c r="H8" s="7">
        <v>0.3</v>
      </c>
      <c r="I8" s="7">
        <v>0.24</v>
      </c>
      <c r="J8" s="7">
        <v>0.36</v>
      </c>
      <c r="K8" s="7"/>
      <c r="L8" s="7" t="s">
        <v>24</v>
      </c>
      <c r="M8" s="7"/>
      <c r="N8" s="7" t="s">
        <v>295</v>
      </c>
      <c r="O8" s="7" t="s">
        <v>280</v>
      </c>
      <c r="P8" s="7" t="s">
        <v>299</v>
      </c>
    </row>
    <row r="9" spans="1:16" ht="16" customHeight="1" x14ac:dyDescent="0.2">
      <c r="A9" s="7" t="s">
        <v>151</v>
      </c>
      <c r="B9" s="7" t="s">
        <v>73</v>
      </c>
      <c r="C9" s="7" t="s">
        <v>300</v>
      </c>
      <c r="D9" s="7" t="s">
        <v>282</v>
      </c>
      <c r="E9" s="7" t="s">
        <v>283</v>
      </c>
      <c r="F9" s="7" t="s">
        <v>301</v>
      </c>
      <c r="G9" s="7" t="s">
        <v>294</v>
      </c>
      <c r="H9" s="7">
        <v>0.1</v>
      </c>
      <c r="I9" s="7">
        <v>0.08</v>
      </c>
      <c r="J9" s="7">
        <v>0.12</v>
      </c>
      <c r="K9" s="7"/>
      <c r="L9" s="7" t="s">
        <v>24</v>
      </c>
      <c r="M9" s="7"/>
      <c r="N9" s="7" t="s">
        <v>295</v>
      </c>
      <c r="O9" s="7" t="s">
        <v>280</v>
      </c>
      <c r="P9" s="7" t="s">
        <v>302</v>
      </c>
    </row>
    <row r="10" spans="1:16" ht="16" customHeight="1" x14ac:dyDescent="0.2">
      <c r="A10" s="7" t="s">
        <v>151</v>
      </c>
      <c r="B10" s="7" t="s">
        <v>88</v>
      </c>
      <c r="C10" s="7" t="s">
        <v>20</v>
      </c>
      <c r="D10" s="7"/>
      <c r="E10" s="7" t="s">
        <v>87</v>
      </c>
      <c r="F10" s="7" t="s">
        <v>303</v>
      </c>
      <c r="G10" s="7" t="s">
        <v>90</v>
      </c>
      <c r="H10" s="7" t="s">
        <v>91</v>
      </c>
      <c r="I10" s="7"/>
      <c r="J10" s="7"/>
      <c r="K10" s="7"/>
      <c r="L10" s="7" t="s">
        <v>60</v>
      </c>
      <c r="M10" s="7"/>
      <c r="N10" s="7" t="s">
        <v>304</v>
      </c>
      <c r="O10" s="7" t="s">
        <v>280</v>
      </c>
      <c r="P10" s="7" t="s">
        <v>305</v>
      </c>
    </row>
    <row r="11" spans="1:16" ht="16" customHeight="1" x14ac:dyDescent="0.2">
      <c r="A11" s="7" t="s">
        <v>152</v>
      </c>
      <c r="B11" s="7" t="s">
        <v>19</v>
      </c>
      <c r="C11" s="7" t="s">
        <v>20</v>
      </c>
      <c r="D11" s="7"/>
      <c r="E11" s="7" t="s">
        <v>21</v>
      </c>
      <c r="F11" s="7" t="s">
        <v>22</v>
      </c>
      <c r="G11" s="7" t="s">
        <v>23</v>
      </c>
      <c r="H11" s="7">
        <v>12</v>
      </c>
      <c r="I11" s="7">
        <v>9.6</v>
      </c>
      <c r="J11" s="7">
        <v>20</v>
      </c>
      <c r="K11" s="7"/>
      <c r="L11" s="7" t="s">
        <v>24</v>
      </c>
      <c r="M11" s="7"/>
      <c r="N11" s="7" t="s">
        <v>306</v>
      </c>
      <c r="O11" s="7" t="s">
        <v>274</v>
      </c>
      <c r="P11" s="7" t="s">
        <v>307</v>
      </c>
    </row>
    <row r="12" spans="1:16" ht="16" customHeight="1" x14ac:dyDescent="0.2">
      <c r="A12" s="7" t="s">
        <v>152</v>
      </c>
      <c r="B12" s="7" t="s">
        <v>19</v>
      </c>
      <c r="C12" s="7" t="s">
        <v>20</v>
      </c>
      <c r="D12" s="7"/>
      <c r="E12" s="7" t="s">
        <v>308</v>
      </c>
      <c r="F12" s="7" t="s">
        <v>309</v>
      </c>
      <c r="G12" s="7" t="s">
        <v>23</v>
      </c>
      <c r="H12" s="7">
        <v>0.5</v>
      </c>
      <c r="I12" s="7">
        <v>0.4</v>
      </c>
      <c r="J12" s="7">
        <v>0.6</v>
      </c>
      <c r="K12" s="7"/>
      <c r="L12" s="7" t="s">
        <v>24</v>
      </c>
      <c r="M12" s="7"/>
      <c r="N12" s="7" t="s">
        <v>310</v>
      </c>
      <c r="O12" s="7" t="s">
        <v>280</v>
      </c>
      <c r="P12" s="7" t="s">
        <v>311</v>
      </c>
    </row>
    <row r="13" spans="1:16" ht="16" customHeight="1" x14ac:dyDescent="0.2">
      <c r="A13" s="7" t="s">
        <v>152</v>
      </c>
      <c r="B13" s="7" t="s">
        <v>19</v>
      </c>
      <c r="C13" s="7" t="s">
        <v>20</v>
      </c>
      <c r="D13" s="7"/>
      <c r="E13" s="7" t="s">
        <v>312</v>
      </c>
      <c r="F13" s="7" t="s">
        <v>313</v>
      </c>
      <c r="G13" s="7" t="s">
        <v>31</v>
      </c>
      <c r="H13" s="7">
        <v>2500</v>
      </c>
      <c r="I13" s="7">
        <v>2300</v>
      </c>
      <c r="J13" s="7">
        <v>2600</v>
      </c>
      <c r="K13" s="7"/>
      <c r="L13" s="7" t="s">
        <v>24</v>
      </c>
      <c r="M13" s="7"/>
      <c r="N13" s="7" t="s">
        <v>314</v>
      </c>
      <c r="O13" s="7" t="s">
        <v>274</v>
      </c>
      <c r="P13" s="7" t="s">
        <v>315</v>
      </c>
    </row>
    <row r="14" spans="1:16" ht="16" customHeight="1" x14ac:dyDescent="0.2">
      <c r="A14" s="7" t="s">
        <v>152</v>
      </c>
      <c r="B14" s="7" t="s">
        <v>32</v>
      </c>
      <c r="C14" s="7" t="s">
        <v>316</v>
      </c>
      <c r="D14" s="7"/>
      <c r="E14" s="7" t="s">
        <v>283</v>
      </c>
      <c r="F14" s="7" t="s">
        <v>317</v>
      </c>
      <c r="G14" s="7" t="s">
        <v>294</v>
      </c>
      <c r="H14" s="7">
        <v>0.94</v>
      </c>
      <c r="I14" s="7">
        <v>0.9</v>
      </c>
      <c r="J14" s="7">
        <v>0.96</v>
      </c>
      <c r="K14" s="7"/>
      <c r="L14" s="7" t="s">
        <v>24</v>
      </c>
      <c r="M14" s="7"/>
      <c r="N14" s="7" t="s">
        <v>318</v>
      </c>
      <c r="O14" s="7" t="s">
        <v>280</v>
      </c>
      <c r="P14" s="7" t="s">
        <v>319</v>
      </c>
    </row>
    <row r="15" spans="1:16" ht="16" customHeight="1" x14ac:dyDescent="0.2">
      <c r="A15" s="7" t="s">
        <v>152</v>
      </c>
      <c r="B15" s="7" t="s">
        <v>32</v>
      </c>
      <c r="C15" s="7" t="s">
        <v>320</v>
      </c>
      <c r="D15" s="7"/>
      <c r="E15" s="7" t="s">
        <v>283</v>
      </c>
      <c r="F15" s="7" t="s">
        <v>321</v>
      </c>
      <c r="G15" s="7" t="s">
        <v>294</v>
      </c>
      <c r="H15" s="7">
        <v>0.06</v>
      </c>
      <c r="I15" s="7">
        <v>0.04</v>
      </c>
      <c r="J15" s="7">
        <v>0.1</v>
      </c>
      <c r="K15" s="7"/>
      <c r="L15" s="7" t="s">
        <v>24</v>
      </c>
      <c r="M15" s="7"/>
      <c r="N15" s="7" t="s">
        <v>318</v>
      </c>
      <c r="O15" s="7" t="s">
        <v>280</v>
      </c>
      <c r="P15" s="7" t="s">
        <v>322</v>
      </c>
    </row>
    <row r="16" spans="1:16" ht="16" customHeight="1" x14ac:dyDescent="0.2">
      <c r="A16" s="7" t="s">
        <v>152</v>
      </c>
      <c r="B16" s="7" t="s">
        <v>32</v>
      </c>
      <c r="C16" s="7" t="s">
        <v>323</v>
      </c>
      <c r="D16" s="7"/>
      <c r="E16" s="7" t="s">
        <v>283</v>
      </c>
      <c r="F16" s="7" t="s">
        <v>324</v>
      </c>
      <c r="G16" s="7" t="s">
        <v>294</v>
      </c>
      <c r="H16" s="7">
        <v>4.3200000000000001E-3</v>
      </c>
      <c r="I16" s="7">
        <v>4.3200000000000001E-3</v>
      </c>
      <c r="J16" s="7">
        <v>4.3200000000000001E-3</v>
      </c>
      <c r="K16" s="7"/>
      <c r="L16" s="7" t="s">
        <v>78</v>
      </c>
      <c r="M16" s="7"/>
      <c r="N16" s="7" t="s">
        <v>325</v>
      </c>
      <c r="O16" s="7" t="s">
        <v>280</v>
      </c>
      <c r="P16" s="7" t="s">
        <v>326</v>
      </c>
    </row>
    <row r="17" spans="1:16" ht="16" customHeight="1" x14ac:dyDescent="0.2">
      <c r="A17" s="7" t="s">
        <v>152</v>
      </c>
      <c r="B17" s="7" t="s">
        <v>64</v>
      </c>
      <c r="C17" s="7" t="s">
        <v>20</v>
      </c>
      <c r="D17" s="7"/>
      <c r="E17" s="7" t="s">
        <v>288</v>
      </c>
      <c r="F17" s="7" t="s">
        <v>289</v>
      </c>
      <c r="G17" s="7" t="s">
        <v>67</v>
      </c>
      <c r="H17" s="7">
        <v>75</v>
      </c>
      <c r="I17" s="7">
        <v>50</v>
      </c>
      <c r="J17" s="7">
        <v>100</v>
      </c>
      <c r="K17" s="7"/>
      <c r="L17" s="7" t="s">
        <v>24</v>
      </c>
      <c r="M17" s="7"/>
      <c r="N17" s="7" t="s">
        <v>327</v>
      </c>
      <c r="O17" s="7" t="s">
        <v>274</v>
      </c>
      <c r="P17" s="7" t="s">
        <v>328</v>
      </c>
    </row>
    <row r="18" spans="1:16" ht="16" customHeight="1" x14ac:dyDescent="0.2">
      <c r="A18" s="7" t="s">
        <v>152</v>
      </c>
      <c r="B18" s="7" t="s">
        <v>73</v>
      </c>
      <c r="C18" s="7" t="s">
        <v>329</v>
      </c>
      <c r="D18" s="7" t="s">
        <v>330</v>
      </c>
      <c r="E18" s="7" t="s">
        <v>283</v>
      </c>
      <c r="F18" s="7" t="s">
        <v>331</v>
      </c>
      <c r="G18" s="7" t="s">
        <v>294</v>
      </c>
      <c r="H18" s="7">
        <v>0.9</v>
      </c>
      <c r="I18" s="7">
        <v>0.8</v>
      </c>
      <c r="J18" s="7">
        <v>0.98</v>
      </c>
      <c r="K18" s="7"/>
      <c r="L18" s="7" t="s">
        <v>24</v>
      </c>
      <c r="M18" s="7"/>
      <c r="N18" s="7" t="s">
        <v>332</v>
      </c>
      <c r="O18" s="7" t="s">
        <v>274</v>
      </c>
      <c r="P18" s="7" t="s">
        <v>333</v>
      </c>
    </row>
    <row r="19" spans="1:16" ht="16" customHeight="1" x14ac:dyDescent="0.2">
      <c r="A19" s="7" t="s">
        <v>152</v>
      </c>
      <c r="B19" s="7" t="s">
        <v>73</v>
      </c>
      <c r="C19" s="7" t="s">
        <v>334</v>
      </c>
      <c r="D19" s="7" t="s">
        <v>330</v>
      </c>
      <c r="E19" s="7" t="s">
        <v>283</v>
      </c>
      <c r="F19" s="7" t="s">
        <v>335</v>
      </c>
      <c r="G19" s="7" t="s">
        <v>294</v>
      </c>
      <c r="H19" s="7">
        <v>0.1</v>
      </c>
      <c r="I19" s="7">
        <v>0.02</v>
      </c>
      <c r="J19" s="7">
        <v>0.2</v>
      </c>
      <c r="K19" s="7"/>
      <c r="L19" s="7" t="s">
        <v>24</v>
      </c>
      <c r="M19" s="7"/>
      <c r="N19" s="7" t="s">
        <v>332</v>
      </c>
      <c r="O19" s="7" t="s">
        <v>274</v>
      </c>
      <c r="P19" s="7" t="s">
        <v>336</v>
      </c>
    </row>
    <row r="20" spans="1:16" ht="16" customHeight="1" x14ac:dyDescent="0.2">
      <c r="A20" s="7" t="s">
        <v>152</v>
      </c>
      <c r="B20" s="7" t="s">
        <v>88</v>
      </c>
      <c r="C20" s="7" t="s">
        <v>20</v>
      </c>
      <c r="D20" s="7"/>
      <c r="E20" s="7" t="s">
        <v>87</v>
      </c>
      <c r="F20" s="7" t="s">
        <v>303</v>
      </c>
      <c r="G20" s="7" t="s">
        <v>90</v>
      </c>
      <c r="H20" s="7" t="s">
        <v>91</v>
      </c>
      <c r="I20" s="7"/>
      <c r="J20" s="7"/>
      <c r="K20" s="7"/>
      <c r="L20" s="7" t="s">
        <v>60</v>
      </c>
      <c r="M20" s="7"/>
      <c r="N20" s="7" t="s">
        <v>304</v>
      </c>
      <c r="O20" s="7" t="s">
        <v>280</v>
      </c>
      <c r="P20" s="7" t="s">
        <v>305</v>
      </c>
    </row>
    <row r="21" spans="1:16" ht="32" customHeight="1" x14ac:dyDescent="0.2">
      <c r="A21" s="7" t="s">
        <v>337</v>
      </c>
      <c r="B21" s="7" t="s">
        <v>19</v>
      </c>
      <c r="C21" s="7" t="s">
        <v>20</v>
      </c>
      <c r="D21" s="7"/>
      <c r="E21" s="7" t="s">
        <v>338</v>
      </c>
      <c r="F21" s="7" t="s">
        <v>339</v>
      </c>
      <c r="G21" s="7" t="s">
        <v>340</v>
      </c>
      <c r="H21" s="7">
        <v>550</v>
      </c>
      <c r="I21" s="7">
        <v>440</v>
      </c>
      <c r="J21" s="7">
        <v>660</v>
      </c>
      <c r="K21" s="7"/>
      <c r="L21" s="7" t="s">
        <v>24</v>
      </c>
      <c r="M21" s="7"/>
      <c r="N21" s="7" t="s">
        <v>341</v>
      </c>
      <c r="O21" s="7" t="s">
        <v>280</v>
      </c>
      <c r="P21" s="7" t="s">
        <v>342</v>
      </c>
    </row>
    <row r="22" spans="1:16" ht="32" customHeight="1" x14ac:dyDescent="0.2">
      <c r="A22" s="7" t="s">
        <v>337</v>
      </c>
      <c r="B22" s="7" t="s">
        <v>19</v>
      </c>
      <c r="C22" s="7" t="s">
        <v>20</v>
      </c>
      <c r="D22" s="7"/>
      <c r="E22" s="7" t="s">
        <v>343</v>
      </c>
      <c r="F22" s="7" t="s">
        <v>344</v>
      </c>
      <c r="G22" s="7" t="s">
        <v>345</v>
      </c>
      <c r="H22" s="7">
        <v>6.0000000000000001E-3</v>
      </c>
      <c r="I22" s="7">
        <v>4.7999999999999996E-3</v>
      </c>
      <c r="J22" s="7">
        <v>7.1999999999999998E-3</v>
      </c>
      <c r="K22" s="7"/>
      <c r="L22" s="7" t="s">
        <v>24</v>
      </c>
      <c r="M22" s="7"/>
      <c r="N22" s="7" t="s">
        <v>346</v>
      </c>
      <c r="O22" s="7" t="s">
        <v>280</v>
      </c>
      <c r="P22" s="7" t="s">
        <v>347</v>
      </c>
    </row>
    <row r="23" spans="1:16" ht="32" customHeight="1" x14ac:dyDescent="0.2">
      <c r="A23" s="7" t="s">
        <v>337</v>
      </c>
      <c r="B23" s="7" t="s">
        <v>19</v>
      </c>
      <c r="C23" s="7" t="s">
        <v>20</v>
      </c>
      <c r="D23" s="7"/>
      <c r="E23" s="7" t="s">
        <v>348</v>
      </c>
      <c r="F23" s="7" t="s">
        <v>349</v>
      </c>
      <c r="G23" s="7" t="s">
        <v>23</v>
      </c>
      <c r="H23" s="7">
        <v>0.6</v>
      </c>
      <c r="I23" s="7">
        <v>0.48</v>
      </c>
      <c r="J23" s="7">
        <v>0.72</v>
      </c>
      <c r="K23" s="7"/>
      <c r="L23" s="7" t="s">
        <v>24</v>
      </c>
      <c r="M23" s="7"/>
      <c r="N23" s="7" t="s">
        <v>350</v>
      </c>
      <c r="O23" s="7" t="s">
        <v>280</v>
      </c>
      <c r="P23" s="7" t="s">
        <v>351</v>
      </c>
    </row>
    <row r="24" spans="1:16" ht="16" customHeight="1" x14ac:dyDescent="0.2">
      <c r="A24" s="7" t="s">
        <v>337</v>
      </c>
      <c r="B24" s="7" t="s">
        <v>32</v>
      </c>
      <c r="C24" s="7" t="s">
        <v>352</v>
      </c>
      <c r="D24" s="7"/>
      <c r="E24" s="7" t="s">
        <v>283</v>
      </c>
      <c r="F24" s="7" t="s">
        <v>353</v>
      </c>
      <c r="G24" s="7" t="s">
        <v>294</v>
      </c>
      <c r="H24" s="7">
        <v>0.6</v>
      </c>
      <c r="I24" s="7">
        <v>0.6</v>
      </c>
      <c r="J24" s="7">
        <v>0.6</v>
      </c>
      <c r="K24" s="7"/>
      <c r="L24" s="7" t="s">
        <v>78</v>
      </c>
      <c r="M24" s="7"/>
      <c r="N24" s="7" t="s">
        <v>354</v>
      </c>
      <c r="O24" s="7" t="s">
        <v>280</v>
      </c>
      <c r="P24" s="7" t="s">
        <v>355</v>
      </c>
    </row>
    <row r="25" spans="1:16" ht="16" customHeight="1" x14ac:dyDescent="0.2">
      <c r="A25" s="7" t="s">
        <v>337</v>
      </c>
      <c r="B25" s="7" t="s">
        <v>32</v>
      </c>
      <c r="C25" s="7" t="s">
        <v>356</v>
      </c>
      <c r="D25" s="7"/>
      <c r="E25" s="7" t="s">
        <v>283</v>
      </c>
      <c r="F25" s="7" t="s">
        <v>357</v>
      </c>
      <c r="G25" s="7" t="s">
        <v>294</v>
      </c>
      <c r="H25" s="7">
        <v>0.4</v>
      </c>
      <c r="I25" s="7">
        <v>0.4</v>
      </c>
      <c r="J25" s="7">
        <v>0.4</v>
      </c>
      <c r="K25" s="7"/>
      <c r="L25" s="7" t="s">
        <v>78</v>
      </c>
      <c r="M25" s="7"/>
      <c r="N25" s="7" t="s">
        <v>358</v>
      </c>
      <c r="O25" s="7" t="s">
        <v>280</v>
      </c>
      <c r="P25" s="7" t="s">
        <v>359</v>
      </c>
    </row>
    <row r="26" spans="1:16" ht="32" customHeight="1" x14ac:dyDescent="0.2">
      <c r="A26" s="7" t="s">
        <v>337</v>
      </c>
      <c r="B26" s="7" t="s">
        <v>64</v>
      </c>
      <c r="C26" s="7" t="s">
        <v>20</v>
      </c>
      <c r="D26" s="7"/>
      <c r="E26" s="7" t="s">
        <v>288</v>
      </c>
      <c r="F26" s="7" t="s">
        <v>289</v>
      </c>
      <c r="G26" s="7" t="s">
        <v>67</v>
      </c>
      <c r="H26" s="7">
        <v>50</v>
      </c>
      <c r="I26" s="7">
        <v>40</v>
      </c>
      <c r="J26" s="7">
        <v>60</v>
      </c>
      <c r="K26" s="7"/>
      <c r="L26" s="7" t="s">
        <v>24</v>
      </c>
      <c r="M26" s="7"/>
      <c r="N26" s="7" t="s">
        <v>360</v>
      </c>
      <c r="O26" s="7" t="s">
        <v>280</v>
      </c>
      <c r="P26" s="7" t="s">
        <v>361</v>
      </c>
    </row>
    <row r="27" spans="1:16" ht="32" customHeight="1" x14ac:dyDescent="0.2">
      <c r="A27" s="7" t="s">
        <v>337</v>
      </c>
      <c r="B27" s="7" t="s">
        <v>73</v>
      </c>
      <c r="C27" s="7" t="s">
        <v>362</v>
      </c>
      <c r="D27" s="7" t="s">
        <v>352</v>
      </c>
      <c r="E27" s="7" t="s">
        <v>283</v>
      </c>
      <c r="F27" s="7" t="s">
        <v>363</v>
      </c>
      <c r="G27" s="7" t="s">
        <v>294</v>
      </c>
      <c r="H27" s="7">
        <v>0.6</v>
      </c>
      <c r="I27" s="7">
        <v>0.48</v>
      </c>
      <c r="J27" s="7">
        <v>0.72</v>
      </c>
      <c r="K27" s="7"/>
      <c r="L27" s="7" t="s">
        <v>24</v>
      </c>
      <c r="M27" s="7"/>
      <c r="N27" s="7" t="s">
        <v>364</v>
      </c>
      <c r="O27" s="7" t="s">
        <v>280</v>
      </c>
      <c r="P27" s="7" t="s">
        <v>365</v>
      </c>
    </row>
    <row r="28" spans="1:16" ht="32" customHeight="1" x14ac:dyDescent="0.2">
      <c r="A28" s="7" t="s">
        <v>337</v>
      </c>
      <c r="B28" s="7" t="s">
        <v>73</v>
      </c>
      <c r="C28" s="7" t="s">
        <v>366</v>
      </c>
      <c r="D28" s="7" t="s">
        <v>356</v>
      </c>
      <c r="E28" s="7" t="s">
        <v>283</v>
      </c>
      <c r="F28" s="7" t="s">
        <v>367</v>
      </c>
      <c r="G28" s="7" t="s">
        <v>294</v>
      </c>
      <c r="H28" s="7">
        <v>0.4</v>
      </c>
      <c r="I28" s="7">
        <v>0.32</v>
      </c>
      <c r="J28" s="7">
        <v>0.48</v>
      </c>
      <c r="K28" s="7"/>
      <c r="L28" s="7" t="s">
        <v>24</v>
      </c>
      <c r="M28" s="7"/>
      <c r="N28" s="7" t="s">
        <v>364</v>
      </c>
      <c r="O28" s="7" t="s">
        <v>280</v>
      </c>
      <c r="P28" s="7" t="s">
        <v>368</v>
      </c>
    </row>
    <row r="29" spans="1:16" ht="32" customHeight="1" x14ac:dyDescent="0.2">
      <c r="A29" s="7" t="s">
        <v>337</v>
      </c>
      <c r="B29" s="7" t="s">
        <v>88</v>
      </c>
      <c r="C29" s="7" t="s">
        <v>20</v>
      </c>
      <c r="D29" s="7"/>
      <c r="E29" s="7" t="s">
        <v>87</v>
      </c>
      <c r="F29" s="7" t="s">
        <v>303</v>
      </c>
      <c r="G29" s="7" t="s">
        <v>90</v>
      </c>
      <c r="H29" s="7" t="s">
        <v>91</v>
      </c>
      <c r="I29" s="7"/>
      <c r="J29" s="7"/>
      <c r="K29" s="7"/>
      <c r="L29" s="7" t="s">
        <v>60</v>
      </c>
      <c r="M29" s="7"/>
      <c r="N29" s="7" t="s">
        <v>304</v>
      </c>
      <c r="O29" s="7" t="s">
        <v>280</v>
      </c>
      <c r="P29" s="7" t="s">
        <v>305</v>
      </c>
    </row>
    <row r="30" spans="1:16" ht="32" customHeight="1" x14ac:dyDescent="0.2">
      <c r="A30" s="7" t="s">
        <v>159</v>
      </c>
      <c r="B30" s="7" t="s">
        <v>19</v>
      </c>
      <c r="C30" s="7" t="s">
        <v>20</v>
      </c>
      <c r="D30" s="7"/>
      <c r="E30" s="7" t="s">
        <v>369</v>
      </c>
      <c r="F30" s="7" t="s">
        <v>370</v>
      </c>
      <c r="G30" s="7" t="s">
        <v>150</v>
      </c>
      <c r="H30" s="7">
        <v>3</v>
      </c>
      <c r="I30" s="7">
        <v>3</v>
      </c>
      <c r="J30" s="7">
        <v>3</v>
      </c>
      <c r="K30" s="7"/>
      <c r="L30" s="7" t="s">
        <v>78</v>
      </c>
      <c r="M30" s="7"/>
      <c r="N30" s="7" t="s">
        <v>371</v>
      </c>
      <c r="O30" s="7" t="s">
        <v>280</v>
      </c>
      <c r="P30" s="7" t="s">
        <v>372</v>
      </c>
    </row>
    <row r="31" spans="1:16" ht="16" customHeight="1" x14ac:dyDescent="0.2">
      <c r="A31" s="7" t="s">
        <v>159</v>
      </c>
      <c r="B31" s="7" t="s">
        <v>19</v>
      </c>
      <c r="C31" s="7" t="s">
        <v>20</v>
      </c>
      <c r="D31" s="7"/>
      <c r="E31" s="7" t="s">
        <v>373</v>
      </c>
      <c r="F31" s="7" t="s">
        <v>374</v>
      </c>
      <c r="G31" s="7" t="s">
        <v>23</v>
      </c>
      <c r="H31" s="7">
        <v>10</v>
      </c>
      <c r="I31" s="7">
        <v>8</v>
      </c>
      <c r="J31" s="7">
        <v>12</v>
      </c>
      <c r="K31" s="7"/>
      <c r="L31" s="7" t="s">
        <v>24</v>
      </c>
      <c r="M31" s="7"/>
      <c r="N31" s="7" t="s">
        <v>375</v>
      </c>
      <c r="O31" s="7" t="s">
        <v>280</v>
      </c>
      <c r="P31" s="7" t="s">
        <v>376</v>
      </c>
    </row>
    <row r="32" spans="1:16" ht="16" customHeight="1" x14ac:dyDescent="0.2">
      <c r="A32" s="7" t="s">
        <v>159</v>
      </c>
      <c r="B32" s="7" t="s">
        <v>19</v>
      </c>
      <c r="C32" s="7" t="s">
        <v>20</v>
      </c>
      <c r="D32" s="7"/>
      <c r="E32" s="7" t="s">
        <v>29</v>
      </c>
      <c r="F32" s="7" t="s">
        <v>377</v>
      </c>
      <c r="G32" s="7" t="s">
        <v>31</v>
      </c>
      <c r="H32" s="7">
        <v>1700</v>
      </c>
      <c r="I32" s="7">
        <v>1300</v>
      </c>
      <c r="J32" s="7">
        <v>1900</v>
      </c>
      <c r="K32" s="7"/>
      <c r="L32" s="7" t="s">
        <v>24</v>
      </c>
      <c r="M32" s="7"/>
      <c r="N32" s="7" t="s">
        <v>378</v>
      </c>
      <c r="O32" s="7" t="s">
        <v>280</v>
      </c>
      <c r="P32" s="7" t="s">
        <v>379</v>
      </c>
    </row>
    <row r="33" spans="1:16" ht="16" customHeight="1" x14ac:dyDescent="0.2">
      <c r="A33" s="7" t="s">
        <v>159</v>
      </c>
      <c r="B33" s="7" t="s">
        <v>32</v>
      </c>
      <c r="C33" s="7" t="s">
        <v>380</v>
      </c>
      <c r="D33" s="7"/>
      <c r="E33" s="7" t="s">
        <v>283</v>
      </c>
      <c r="F33" s="7" t="s">
        <v>381</v>
      </c>
      <c r="G33" s="7" t="s">
        <v>294</v>
      </c>
      <c r="H33" s="7">
        <v>1</v>
      </c>
      <c r="I33" s="7">
        <v>1</v>
      </c>
      <c r="J33" s="7">
        <v>1</v>
      </c>
      <c r="K33" s="7"/>
      <c r="L33" s="7" t="s">
        <v>78</v>
      </c>
      <c r="M33" s="7"/>
      <c r="N33" s="7" t="s">
        <v>382</v>
      </c>
      <c r="O33" s="7" t="s">
        <v>280</v>
      </c>
      <c r="P33" s="7" t="s">
        <v>383</v>
      </c>
    </row>
    <row r="34" spans="1:16" ht="16" customHeight="1" x14ac:dyDescent="0.2">
      <c r="A34" s="7" t="s">
        <v>159</v>
      </c>
      <c r="B34" s="7" t="s">
        <v>64</v>
      </c>
      <c r="C34" s="7" t="s">
        <v>20</v>
      </c>
      <c r="D34" s="7"/>
      <c r="E34" s="7" t="s">
        <v>288</v>
      </c>
      <c r="F34" s="7" t="s">
        <v>289</v>
      </c>
      <c r="G34" s="7" t="s">
        <v>67</v>
      </c>
      <c r="H34" s="7">
        <v>60</v>
      </c>
      <c r="I34" s="7">
        <v>40</v>
      </c>
      <c r="J34" s="7">
        <v>100</v>
      </c>
      <c r="K34" s="7"/>
      <c r="L34" s="7" t="s">
        <v>24</v>
      </c>
      <c r="M34" s="7"/>
      <c r="N34" s="7" t="s">
        <v>384</v>
      </c>
      <c r="O34" s="7" t="s">
        <v>280</v>
      </c>
      <c r="P34" s="7" t="s">
        <v>385</v>
      </c>
    </row>
    <row r="35" spans="1:16" ht="32" customHeight="1" x14ac:dyDescent="0.2">
      <c r="A35" s="7" t="s">
        <v>159</v>
      </c>
      <c r="B35" s="7" t="s">
        <v>73</v>
      </c>
      <c r="C35" s="7" t="s">
        <v>362</v>
      </c>
      <c r="D35" s="7" t="s">
        <v>380</v>
      </c>
      <c r="E35" s="7" t="s">
        <v>283</v>
      </c>
      <c r="F35" s="7" t="s">
        <v>386</v>
      </c>
      <c r="G35" s="7" t="s">
        <v>294</v>
      </c>
      <c r="H35" s="7">
        <v>0.5</v>
      </c>
      <c r="I35" s="7">
        <v>0.25</v>
      </c>
      <c r="J35" s="7">
        <v>0.75</v>
      </c>
      <c r="K35" s="7"/>
      <c r="L35" s="7" t="s">
        <v>24</v>
      </c>
      <c r="M35" s="7"/>
      <c r="N35" s="7" t="s">
        <v>387</v>
      </c>
      <c r="O35" s="7" t="s">
        <v>280</v>
      </c>
      <c r="P35" s="7" t="s">
        <v>388</v>
      </c>
    </row>
    <row r="36" spans="1:16" ht="32" customHeight="1" x14ac:dyDescent="0.2">
      <c r="A36" s="7" t="s">
        <v>159</v>
      </c>
      <c r="B36" s="7" t="s">
        <v>88</v>
      </c>
      <c r="C36" s="7" t="s">
        <v>20</v>
      </c>
      <c r="D36" s="7"/>
      <c r="E36" s="7" t="s">
        <v>87</v>
      </c>
      <c r="F36" s="7" t="s">
        <v>303</v>
      </c>
      <c r="G36" s="7" t="s">
        <v>90</v>
      </c>
      <c r="H36" s="7" t="s">
        <v>91</v>
      </c>
      <c r="I36" s="7"/>
      <c r="J36" s="7"/>
      <c r="K36" s="7"/>
      <c r="L36" s="7" t="s">
        <v>60</v>
      </c>
      <c r="M36" s="7"/>
      <c r="N36" s="7" t="s">
        <v>304</v>
      </c>
      <c r="O36" s="7" t="s">
        <v>280</v>
      </c>
      <c r="P36" s="7" t="s">
        <v>305</v>
      </c>
    </row>
    <row r="37" spans="1:16" ht="16" customHeight="1" x14ac:dyDescent="0.2">
      <c r="A37" s="7" t="s">
        <v>160</v>
      </c>
      <c r="B37" s="7" t="s">
        <v>19</v>
      </c>
      <c r="C37" s="7" t="s">
        <v>20</v>
      </c>
      <c r="D37" s="7"/>
      <c r="E37" s="7" t="s">
        <v>369</v>
      </c>
      <c r="F37" s="7" t="s">
        <v>370</v>
      </c>
      <c r="G37" s="7" t="s">
        <v>150</v>
      </c>
      <c r="H37" s="7">
        <v>3</v>
      </c>
      <c r="I37" s="7">
        <v>3</v>
      </c>
      <c r="J37" s="7">
        <v>3</v>
      </c>
      <c r="K37" s="7"/>
      <c r="L37" s="7" t="s">
        <v>78</v>
      </c>
      <c r="M37" s="7"/>
      <c r="N37" s="7" t="s">
        <v>371</v>
      </c>
      <c r="O37" s="7" t="s">
        <v>280</v>
      </c>
      <c r="P37" s="7" t="s">
        <v>389</v>
      </c>
    </row>
    <row r="38" spans="1:16" ht="16" customHeight="1" x14ac:dyDescent="0.2">
      <c r="A38" s="7" t="s">
        <v>160</v>
      </c>
      <c r="B38" s="7" t="s">
        <v>19</v>
      </c>
      <c r="C38" s="7" t="s">
        <v>20</v>
      </c>
      <c r="D38" s="7"/>
      <c r="E38" s="7" t="s">
        <v>390</v>
      </c>
      <c r="F38" s="7" t="s">
        <v>391</v>
      </c>
      <c r="G38" s="7" t="s">
        <v>150</v>
      </c>
      <c r="H38" s="7">
        <v>0.115</v>
      </c>
      <c r="I38" s="7">
        <v>9.1999999999999998E-2</v>
      </c>
      <c r="J38" s="7">
        <v>0.13800000000000001</v>
      </c>
      <c r="K38" s="7"/>
      <c r="L38" s="7" t="s">
        <v>24</v>
      </c>
      <c r="M38" s="7"/>
      <c r="N38" s="7" t="s">
        <v>392</v>
      </c>
      <c r="O38" s="7" t="s">
        <v>280</v>
      </c>
      <c r="P38" s="7" t="s">
        <v>393</v>
      </c>
    </row>
    <row r="39" spans="1:16" ht="32" customHeight="1" x14ac:dyDescent="0.2">
      <c r="A39" s="7" t="s">
        <v>160</v>
      </c>
      <c r="B39" s="7" t="s">
        <v>19</v>
      </c>
      <c r="C39" s="7" t="s">
        <v>20</v>
      </c>
      <c r="D39" s="7"/>
      <c r="E39" s="7" t="s">
        <v>29</v>
      </c>
      <c r="F39" s="7" t="s">
        <v>394</v>
      </c>
      <c r="G39" s="7" t="s">
        <v>31</v>
      </c>
      <c r="H39" s="7">
        <v>1900</v>
      </c>
      <c r="I39" s="7">
        <v>1600</v>
      </c>
      <c r="J39" s="7">
        <v>2100</v>
      </c>
      <c r="K39" s="7"/>
      <c r="L39" s="7" t="s">
        <v>24</v>
      </c>
      <c r="M39" s="7"/>
      <c r="N39" s="7" t="s">
        <v>395</v>
      </c>
      <c r="O39" s="7" t="s">
        <v>280</v>
      </c>
      <c r="P39" s="7" t="s">
        <v>396</v>
      </c>
    </row>
    <row r="40" spans="1:16" ht="32" customHeight="1" x14ac:dyDescent="0.2">
      <c r="A40" s="7" t="s">
        <v>160</v>
      </c>
      <c r="B40" s="7" t="s">
        <v>32</v>
      </c>
      <c r="C40" s="7" t="s">
        <v>397</v>
      </c>
      <c r="D40" s="7"/>
      <c r="E40" s="7" t="s">
        <v>283</v>
      </c>
      <c r="F40" s="7" t="s">
        <v>398</v>
      </c>
      <c r="G40" s="7" t="s">
        <v>294</v>
      </c>
      <c r="H40" s="7">
        <v>0.8</v>
      </c>
      <c r="I40" s="7">
        <v>0.8</v>
      </c>
      <c r="J40" s="7">
        <v>0.8</v>
      </c>
      <c r="K40" s="7"/>
      <c r="L40" s="7" t="s">
        <v>78</v>
      </c>
      <c r="M40" s="7"/>
      <c r="N40" s="7" t="s">
        <v>399</v>
      </c>
      <c r="O40" s="7" t="s">
        <v>280</v>
      </c>
      <c r="P40" s="7" t="s">
        <v>400</v>
      </c>
    </row>
    <row r="41" spans="1:16" ht="32" customHeight="1" x14ac:dyDescent="0.2">
      <c r="A41" s="7" t="s">
        <v>160</v>
      </c>
      <c r="B41" s="7" t="s">
        <v>32</v>
      </c>
      <c r="C41" s="7" t="s">
        <v>401</v>
      </c>
      <c r="D41" s="7"/>
      <c r="E41" s="7" t="s">
        <v>283</v>
      </c>
      <c r="F41" s="7" t="s">
        <v>402</v>
      </c>
      <c r="G41" s="7" t="s">
        <v>294</v>
      </c>
      <c r="H41" s="7">
        <v>0.2</v>
      </c>
      <c r="I41" s="7">
        <v>0.2</v>
      </c>
      <c r="J41" s="7">
        <v>0.2</v>
      </c>
      <c r="K41" s="7"/>
      <c r="L41" s="7" t="s">
        <v>78</v>
      </c>
      <c r="M41" s="7"/>
      <c r="N41" s="7" t="s">
        <v>403</v>
      </c>
      <c r="O41" s="7" t="s">
        <v>280</v>
      </c>
      <c r="P41" s="7" t="s">
        <v>404</v>
      </c>
    </row>
    <row r="42" spans="1:16" ht="16" customHeight="1" x14ac:dyDescent="0.2">
      <c r="A42" s="7" t="s">
        <v>160</v>
      </c>
      <c r="B42" s="7" t="s">
        <v>64</v>
      </c>
      <c r="C42" s="7" t="s">
        <v>20</v>
      </c>
      <c r="D42" s="7"/>
      <c r="E42" s="7" t="s">
        <v>288</v>
      </c>
      <c r="F42" s="7" t="s">
        <v>289</v>
      </c>
      <c r="G42" s="7" t="s">
        <v>67</v>
      </c>
      <c r="H42" s="7">
        <v>75</v>
      </c>
      <c r="I42" s="7">
        <v>60</v>
      </c>
      <c r="J42" s="7">
        <v>100</v>
      </c>
      <c r="K42" s="7"/>
      <c r="L42" s="7" t="s">
        <v>24</v>
      </c>
      <c r="M42" s="7"/>
      <c r="N42" s="7" t="s">
        <v>405</v>
      </c>
      <c r="O42" s="7" t="s">
        <v>274</v>
      </c>
      <c r="P42" s="7" t="s">
        <v>406</v>
      </c>
    </row>
    <row r="43" spans="1:16" ht="16" customHeight="1" x14ac:dyDescent="0.2">
      <c r="A43" s="7" t="s">
        <v>160</v>
      </c>
      <c r="B43" s="7" t="s">
        <v>73</v>
      </c>
      <c r="C43" s="7" t="s">
        <v>407</v>
      </c>
      <c r="D43" s="7" t="s">
        <v>397</v>
      </c>
      <c r="E43" s="7" t="s">
        <v>283</v>
      </c>
      <c r="F43" s="7" t="s">
        <v>408</v>
      </c>
      <c r="G43" s="7" t="s">
        <v>294</v>
      </c>
      <c r="H43" s="7">
        <v>0.72</v>
      </c>
      <c r="I43" s="7">
        <v>0.64</v>
      </c>
      <c r="J43" s="7">
        <v>0.78400000000000003</v>
      </c>
      <c r="K43" s="7"/>
      <c r="L43" s="7" t="s">
        <v>24</v>
      </c>
      <c r="M43" s="7"/>
      <c r="N43" s="7" t="s">
        <v>409</v>
      </c>
      <c r="O43" s="7" t="s">
        <v>274</v>
      </c>
      <c r="P43" s="7" t="s">
        <v>410</v>
      </c>
    </row>
    <row r="44" spans="1:16" ht="32" customHeight="1" x14ac:dyDescent="0.2">
      <c r="A44" s="7" t="s">
        <v>160</v>
      </c>
      <c r="B44" s="7" t="s">
        <v>73</v>
      </c>
      <c r="C44" s="7" t="s">
        <v>362</v>
      </c>
      <c r="D44" s="7" t="s">
        <v>397</v>
      </c>
      <c r="E44" s="7" t="s">
        <v>283</v>
      </c>
      <c r="F44" s="7" t="s">
        <v>411</v>
      </c>
      <c r="G44" s="7" t="s">
        <v>294</v>
      </c>
      <c r="H44" s="7">
        <v>0.08</v>
      </c>
      <c r="I44" s="7">
        <v>1.6E-2</v>
      </c>
      <c r="J44" s="7">
        <v>0.16</v>
      </c>
      <c r="K44" s="7"/>
      <c r="L44" s="7" t="s">
        <v>24</v>
      </c>
      <c r="M44" s="7"/>
      <c r="N44" s="7" t="s">
        <v>409</v>
      </c>
      <c r="O44" s="7" t="s">
        <v>274</v>
      </c>
      <c r="P44" s="7" t="s">
        <v>412</v>
      </c>
    </row>
    <row r="45" spans="1:16" ht="32" customHeight="1" x14ac:dyDescent="0.2">
      <c r="A45" s="7" t="s">
        <v>160</v>
      </c>
      <c r="B45" s="7" t="s">
        <v>73</v>
      </c>
      <c r="C45" s="7" t="s">
        <v>362</v>
      </c>
      <c r="D45" s="7" t="s">
        <v>401</v>
      </c>
      <c r="E45" s="7" t="s">
        <v>283</v>
      </c>
      <c r="F45" s="7" t="s">
        <v>413</v>
      </c>
      <c r="G45" s="7" t="s">
        <v>294</v>
      </c>
      <c r="H45" s="7">
        <v>0.02</v>
      </c>
      <c r="I45" s="7">
        <v>4.0000000000000001E-3</v>
      </c>
      <c r="J45" s="7">
        <v>0.04</v>
      </c>
      <c r="K45" s="7"/>
      <c r="L45" s="7" t="s">
        <v>24</v>
      </c>
      <c r="M45" s="7"/>
      <c r="N45" s="7" t="s">
        <v>409</v>
      </c>
      <c r="O45" s="7" t="s">
        <v>274</v>
      </c>
      <c r="P45" s="7" t="s">
        <v>414</v>
      </c>
    </row>
    <row r="46" spans="1:16" ht="32" customHeight="1" x14ac:dyDescent="0.2">
      <c r="A46" s="7" t="s">
        <v>160</v>
      </c>
      <c r="B46" s="7" t="s">
        <v>73</v>
      </c>
      <c r="C46" s="7" t="s">
        <v>407</v>
      </c>
      <c r="D46" s="7" t="s">
        <v>401</v>
      </c>
      <c r="E46" s="7" t="s">
        <v>283</v>
      </c>
      <c r="F46" s="7" t="s">
        <v>415</v>
      </c>
      <c r="G46" s="7" t="s">
        <v>294</v>
      </c>
      <c r="H46" s="7">
        <v>0.18</v>
      </c>
      <c r="I46" s="7">
        <v>0.16</v>
      </c>
      <c r="J46" s="7">
        <v>0.19600000000000001</v>
      </c>
      <c r="K46" s="7"/>
      <c r="L46" s="7" t="s">
        <v>24</v>
      </c>
      <c r="M46" s="7"/>
      <c r="N46" s="7" t="s">
        <v>409</v>
      </c>
      <c r="O46" s="7" t="s">
        <v>274</v>
      </c>
      <c r="P46" s="7" t="s">
        <v>416</v>
      </c>
    </row>
    <row r="47" spans="1:16" ht="16" customHeight="1" x14ac:dyDescent="0.2">
      <c r="A47" s="7" t="s">
        <v>160</v>
      </c>
      <c r="B47" s="7" t="s">
        <v>88</v>
      </c>
      <c r="C47" s="7" t="s">
        <v>20</v>
      </c>
      <c r="D47" s="7"/>
      <c r="E47" s="7" t="s">
        <v>87</v>
      </c>
      <c r="F47" s="7" t="s">
        <v>303</v>
      </c>
      <c r="G47" s="7" t="s">
        <v>90</v>
      </c>
      <c r="H47" s="7" t="s">
        <v>91</v>
      </c>
      <c r="I47" s="7"/>
      <c r="J47" s="7"/>
      <c r="K47" s="7"/>
      <c r="L47" s="7" t="s">
        <v>60</v>
      </c>
      <c r="M47" s="7"/>
      <c r="N47" s="7" t="s">
        <v>304</v>
      </c>
      <c r="O47" s="7" t="s">
        <v>280</v>
      </c>
      <c r="P47" s="7" t="s">
        <v>305</v>
      </c>
    </row>
    <row r="48" spans="1:16" x14ac:dyDescent="0.2">
      <c r="A48" s="7" t="s">
        <v>166</v>
      </c>
      <c r="B48" s="7" t="s">
        <v>19</v>
      </c>
      <c r="C48" s="7" t="s">
        <v>20</v>
      </c>
      <c r="D48" s="7"/>
      <c r="E48" s="7" t="s">
        <v>417</v>
      </c>
      <c r="F48" s="7" t="s">
        <v>418</v>
      </c>
      <c r="G48" s="7" t="s">
        <v>419</v>
      </c>
      <c r="H48" s="7">
        <v>0.3</v>
      </c>
      <c r="I48" s="7">
        <v>0.24</v>
      </c>
      <c r="J48" s="7">
        <v>0.36</v>
      </c>
      <c r="K48" s="7"/>
      <c r="L48" s="7" t="s">
        <v>24</v>
      </c>
      <c r="M48" s="7"/>
      <c r="N48" s="7" t="s">
        <v>420</v>
      </c>
      <c r="O48" s="7" t="s">
        <v>280</v>
      </c>
      <c r="P48" s="7" t="s">
        <v>421</v>
      </c>
    </row>
    <row r="49" spans="1:16" x14ac:dyDescent="0.2">
      <c r="A49" s="7" t="s">
        <v>166</v>
      </c>
      <c r="B49" s="7" t="s">
        <v>32</v>
      </c>
      <c r="C49" s="7" t="s">
        <v>422</v>
      </c>
      <c r="D49" s="7"/>
      <c r="E49" s="7" t="s">
        <v>283</v>
      </c>
      <c r="F49" s="7" t="s">
        <v>423</v>
      </c>
      <c r="G49" s="7" t="s">
        <v>294</v>
      </c>
      <c r="H49" s="7">
        <v>1</v>
      </c>
      <c r="I49" s="7">
        <v>1</v>
      </c>
      <c r="J49" s="7">
        <v>1</v>
      </c>
      <c r="K49" s="7"/>
      <c r="L49" s="7" t="s">
        <v>78</v>
      </c>
      <c r="M49" s="7"/>
      <c r="N49" s="7" t="s">
        <v>382</v>
      </c>
      <c r="O49" s="7" t="s">
        <v>280</v>
      </c>
      <c r="P49" s="7" t="s">
        <v>424</v>
      </c>
    </row>
    <row r="50" spans="1:16" x14ac:dyDescent="0.2">
      <c r="A50" s="7" t="s">
        <v>166</v>
      </c>
      <c r="B50" s="7" t="s">
        <v>32</v>
      </c>
      <c r="C50" s="7" t="s">
        <v>425</v>
      </c>
      <c r="D50" s="7"/>
      <c r="E50" s="7" t="s">
        <v>283</v>
      </c>
      <c r="F50" s="7" t="s">
        <v>426</v>
      </c>
      <c r="G50" s="7" t="s">
        <v>294</v>
      </c>
      <c r="H50" s="7">
        <v>1</v>
      </c>
      <c r="I50" s="7">
        <v>1</v>
      </c>
      <c r="J50" s="7">
        <v>1</v>
      </c>
      <c r="K50" s="7"/>
      <c r="L50" s="7" t="s">
        <v>78</v>
      </c>
      <c r="M50" s="7"/>
      <c r="N50" s="7" t="s">
        <v>382</v>
      </c>
      <c r="O50" s="7" t="s">
        <v>280</v>
      </c>
      <c r="P50" s="7" t="s">
        <v>427</v>
      </c>
    </row>
    <row r="51" spans="1:16" x14ac:dyDescent="0.2">
      <c r="A51" s="7" t="s">
        <v>166</v>
      </c>
      <c r="B51" s="7" t="s">
        <v>64</v>
      </c>
      <c r="C51" s="7" t="s">
        <v>20</v>
      </c>
      <c r="D51" s="7"/>
      <c r="E51" s="7" t="s">
        <v>288</v>
      </c>
      <c r="F51" s="7" t="s">
        <v>289</v>
      </c>
      <c r="G51" s="7" t="s">
        <v>67</v>
      </c>
      <c r="H51" s="7">
        <v>17.5</v>
      </c>
      <c r="I51" s="7">
        <v>10</v>
      </c>
      <c r="J51" s="7">
        <v>20</v>
      </c>
      <c r="K51" s="7"/>
      <c r="L51" s="7" t="s">
        <v>24</v>
      </c>
      <c r="M51" s="7"/>
      <c r="N51" s="7" t="s">
        <v>428</v>
      </c>
      <c r="O51" s="7" t="s">
        <v>274</v>
      </c>
      <c r="P51" s="7" t="s">
        <v>429</v>
      </c>
    </row>
    <row r="52" spans="1:16" x14ac:dyDescent="0.2">
      <c r="A52" s="7" t="s">
        <v>166</v>
      </c>
      <c r="B52" s="7" t="s">
        <v>73</v>
      </c>
      <c r="C52" s="7" t="s">
        <v>430</v>
      </c>
      <c r="D52" s="7" t="s">
        <v>422</v>
      </c>
      <c r="E52" s="7" t="s">
        <v>283</v>
      </c>
      <c r="F52" s="7" t="s">
        <v>431</v>
      </c>
      <c r="G52" s="7" t="s">
        <v>294</v>
      </c>
      <c r="H52" s="7">
        <v>0.57999999999999996</v>
      </c>
      <c r="I52" s="7">
        <v>0.4</v>
      </c>
      <c r="J52" s="7">
        <v>0.95</v>
      </c>
      <c r="K52" s="7"/>
      <c r="L52" s="7" t="s">
        <v>24</v>
      </c>
      <c r="M52" s="7"/>
      <c r="N52" s="7" t="s">
        <v>432</v>
      </c>
      <c r="O52" s="7" t="s">
        <v>274</v>
      </c>
      <c r="P52" s="7" t="s">
        <v>433</v>
      </c>
    </row>
    <row r="53" spans="1:16" x14ac:dyDescent="0.2">
      <c r="A53" s="7" t="s">
        <v>166</v>
      </c>
      <c r="B53" s="7" t="s">
        <v>73</v>
      </c>
      <c r="C53" s="7" t="s">
        <v>366</v>
      </c>
      <c r="D53" s="7" t="s">
        <v>422</v>
      </c>
      <c r="E53" s="7" t="s">
        <v>283</v>
      </c>
      <c r="F53" s="7" t="s">
        <v>434</v>
      </c>
      <c r="G53" s="7" t="s">
        <v>294</v>
      </c>
      <c r="H53" s="7">
        <v>0.42</v>
      </c>
      <c r="I53" s="7">
        <v>0.05</v>
      </c>
      <c r="J53" s="7">
        <v>0.6</v>
      </c>
      <c r="K53" s="7"/>
      <c r="L53" s="7" t="s">
        <v>24</v>
      </c>
      <c r="M53" s="7"/>
      <c r="N53" s="7" t="s">
        <v>432</v>
      </c>
      <c r="O53" s="7" t="s">
        <v>274</v>
      </c>
      <c r="P53" s="7" t="s">
        <v>435</v>
      </c>
    </row>
    <row r="54" spans="1:16" x14ac:dyDescent="0.2">
      <c r="A54" s="7" t="s">
        <v>166</v>
      </c>
      <c r="B54" s="7" t="s">
        <v>88</v>
      </c>
      <c r="C54" s="7" t="s">
        <v>20</v>
      </c>
      <c r="D54" s="7"/>
      <c r="E54" s="7" t="s">
        <v>87</v>
      </c>
      <c r="F54" s="7" t="s">
        <v>303</v>
      </c>
      <c r="G54" s="7" t="s">
        <v>90</v>
      </c>
      <c r="H54" s="7" t="s">
        <v>91</v>
      </c>
      <c r="I54" s="7"/>
      <c r="J54" s="7"/>
      <c r="K54" s="7"/>
      <c r="L54" s="7" t="s">
        <v>60</v>
      </c>
      <c r="M54" s="7"/>
      <c r="N54" s="7" t="s">
        <v>304</v>
      </c>
      <c r="O54" s="7" t="s">
        <v>280</v>
      </c>
      <c r="P54" s="7" t="s">
        <v>305</v>
      </c>
    </row>
  </sheetData>
  <conditionalFormatting sqref="H2:H247">
    <cfRule type="expression" dxfId="14" priority="1">
      <formula>AND($E2&lt;&gt;"",$H2="")</formula>
    </cfRule>
  </conditionalFormatting>
  <conditionalFormatting sqref="H2:O247">
    <cfRule type="expression" dxfId="13" priority="2">
      <formula>$O2="placeholder"</formula>
    </cfRule>
  </conditionalFormatting>
  <conditionalFormatting sqref="I2:J247">
    <cfRule type="expression" dxfId="12" priority="3">
      <formula>AND(OR($L2="triangular",$L2="uniform"),OR($I2="",$J2=""))</formula>
    </cfRule>
  </conditionalFormatting>
  <dataValidations count="3">
    <dataValidation type="list" allowBlank="1" sqref="B2:B247" xr:uid="{00000000-0002-0000-0500-000000000000}">
      <formula1>"product size,production,repair,use,end-of-life,general"</formula1>
    </dataValidation>
    <dataValidation type="list" allowBlank="1" sqref="L2:L247" xr:uid="{00000000-0002-0000-0500-000001000000}">
      <formula1>"fixed,triangular,uniform,choice,combination"</formula1>
    </dataValidation>
    <dataValidation type="list" allowBlank="1" sqref="O2:O247" xr:uid="{00000000-0002-0000-0500-000002000000}">
      <formula1>"placeholder,partner estimate,measured,literature"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6A5AF"/>
  </sheetPr>
  <dimension ref="A1:Q56"/>
  <sheetViews>
    <sheetView workbookViewId="0">
      <pane xSplit="6" ySplit="1" topLeftCell="H2" activePane="bottomRight" state="frozen"/>
      <selection pane="topRight"/>
      <selection pane="bottomLeft"/>
      <selection pane="bottomRight" activeCell="I6" sqref="I6"/>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1" width="10.5" customWidth="1"/>
    <col min="12" max="12" width="13" customWidth="1"/>
    <col min="13" max="13" width="17" customWidth="1"/>
    <col min="14" max="14" width="40" customWidth="1"/>
    <col min="15" max="15" width="13" customWidth="1"/>
    <col min="16" max="16" width="13.6640625"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155</v>
      </c>
      <c r="B2" s="7" t="s">
        <v>18</v>
      </c>
      <c r="C2" s="7" t="s">
        <v>19</v>
      </c>
      <c r="D2" s="7" t="s">
        <v>20</v>
      </c>
      <c r="E2" s="7"/>
      <c r="F2" s="7" t="s">
        <v>369</v>
      </c>
      <c r="G2" s="7" t="s">
        <v>370</v>
      </c>
      <c r="H2" s="7" t="s">
        <v>150</v>
      </c>
      <c r="I2" s="7">
        <v>3</v>
      </c>
      <c r="J2" s="7">
        <v>3</v>
      </c>
      <c r="K2" s="7">
        <v>3</v>
      </c>
      <c r="L2" s="7"/>
      <c r="M2" s="7" t="s">
        <v>78</v>
      </c>
      <c r="N2" s="7"/>
      <c r="O2" s="7" t="s">
        <v>436</v>
      </c>
      <c r="P2" s="7" t="s">
        <v>280</v>
      </c>
      <c r="Q2" s="7" t="s">
        <v>437</v>
      </c>
    </row>
    <row r="3" spans="1:17" ht="16" customHeight="1" x14ac:dyDescent="0.2">
      <c r="A3" s="7" t="s">
        <v>155</v>
      </c>
      <c r="B3" s="7" t="s">
        <v>18</v>
      </c>
      <c r="C3" s="7" t="s">
        <v>19</v>
      </c>
      <c r="D3" s="7" t="s">
        <v>20</v>
      </c>
      <c r="E3" s="7"/>
      <c r="F3" s="7" t="s">
        <v>373</v>
      </c>
      <c r="G3" s="7" t="s">
        <v>374</v>
      </c>
      <c r="H3" s="7" t="s">
        <v>23</v>
      </c>
      <c r="I3" s="7">
        <v>10</v>
      </c>
      <c r="J3" s="7">
        <v>8</v>
      </c>
      <c r="K3" s="7">
        <v>12</v>
      </c>
      <c r="L3" s="7"/>
      <c r="M3" s="7" t="s">
        <v>24</v>
      </c>
      <c r="N3" s="7"/>
      <c r="O3" s="7" t="s">
        <v>438</v>
      </c>
      <c r="P3" s="7" t="s">
        <v>280</v>
      </c>
      <c r="Q3" s="7" t="s">
        <v>439</v>
      </c>
    </row>
    <row r="4" spans="1:17" ht="16" customHeight="1" x14ac:dyDescent="0.2">
      <c r="A4" s="7" t="s">
        <v>155</v>
      </c>
      <c r="B4" s="7" t="s">
        <v>18</v>
      </c>
      <c r="C4" s="7" t="s">
        <v>19</v>
      </c>
      <c r="D4" s="7" t="s">
        <v>20</v>
      </c>
      <c r="E4" s="7"/>
      <c r="F4" s="7" t="s">
        <v>29</v>
      </c>
      <c r="G4" s="7" t="s">
        <v>440</v>
      </c>
      <c r="H4" s="7" t="s">
        <v>31</v>
      </c>
      <c r="I4" s="7">
        <v>350</v>
      </c>
      <c r="J4" s="7">
        <v>280</v>
      </c>
      <c r="K4" s="7">
        <v>420</v>
      </c>
      <c r="L4" s="7"/>
      <c r="M4" s="7" t="s">
        <v>24</v>
      </c>
      <c r="N4" s="7"/>
      <c r="O4" s="7" t="s">
        <v>441</v>
      </c>
      <c r="P4" s="7" t="s">
        <v>280</v>
      </c>
      <c r="Q4" s="7" t="s">
        <v>442</v>
      </c>
    </row>
    <row r="5" spans="1:17" ht="32" customHeight="1" x14ac:dyDescent="0.2">
      <c r="A5" s="7" t="s">
        <v>155</v>
      </c>
      <c r="B5" s="7" t="s">
        <v>18</v>
      </c>
      <c r="C5" s="7" t="s">
        <v>32</v>
      </c>
      <c r="D5" s="7" t="s">
        <v>443</v>
      </c>
      <c r="E5" s="7" t="s">
        <v>59</v>
      </c>
      <c r="F5" s="7" t="s">
        <v>35</v>
      </c>
      <c r="G5" s="8" t="s">
        <v>444</v>
      </c>
      <c r="H5" s="7" t="s">
        <v>37</v>
      </c>
      <c r="I5" s="7">
        <v>70</v>
      </c>
      <c r="J5" s="7">
        <v>70</v>
      </c>
      <c r="K5" s="7">
        <v>90</v>
      </c>
      <c r="L5" s="7"/>
      <c r="M5" s="7" t="s">
        <v>24</v>
      </c>
      <c r="N5" s="7"/>
      <c r="O5" s="7" t="s">
        <v>445</v>
      </c>
      <c r="P5" s="7" t="s">
        <v>280</v>
      </c>
      <c r="Q5" s="7" t="s">
        <v>446</v>
      </c>
    </row>
    <row r="6" spans="1:17" ht="32" customHeight="1" x14ac:dyDescent="0.2">
      <c r="A6" s="7" t="s">
        <v>155</v>
      </c>
      <c r="B6" s="7" t="s">
        <v>18</v>
      </c>
      <c r="C6" s="7" t="s">
        <v>32</v>
      </c>
      <c r="D6" s="7" t="s">
        <v>447</v>
      </c>
      <c r="E6" s="7"/>
      <c r="F6" s="7" t="s">
        <v>448</v>
      </c>
      <c r="G6" s="8" t="s">
        <v>449</v>
      </c>
      <c r="H6" s="7" t="s">
        <v>447</v>
      </c>
      <c r="I6" s="7" t="s">
        <v>450</v>
      </c>
      <c r="J6" s="7">
        <v>1</v>
      </c>
      <c r="K6" s="7">
        <v>2</v>
      </c>
      <c r="L6" s="7"/>
      <c r="M6" s="7" t="s">
        <v>451</v>
      </c>
      <c r="N6" s="7" t="s">
        <v>452</v>
      </c>
      <c r="O6" s="7" t="s">
        <v>445</v>
      </c>
      <c r="P6" s="7" t="s">
        <v>280</v>
      </c>
      <c r="Q6" s="7" t="s">
        <v>453</v>
      </c>
    </row>
    <row r="7" spans="1:17" ht="32" customHeight="1" x14ac:dyDescent="0.2">
      <c r="A7" s="7" t="s">
        <v>155</v>
      </c>
      <c r="B7" s="7" t="s">
        <v>18</v>
      </c>
      <c r="C7" s="7" t="s">
        <v>32</v>
      </c>
      <c r="D7" s="7" t="s">
        <v>447</v>
      </c>
      <c r="E7" s="7"/>
      <c r="F7" s="7" t="s">
        <v>454</v>
      </c>
      <c r="G7" s="8" t="s">
        <v>455</v>
      </c>
      <c r="H7" s="7" t="s">
        <v>456</v>
      </c>
      <c r="I7" s="7">
        <v>66.666666666666671</v>
      </c>
      <c r="J7" s="7">
        <v>50</v>
      </c>
      <c r="K7" s="7">
        <v>100</v>
      </c>
      <c r="L7" s="7"/>
      <c r="M7" s="7" t="s">
        <v>24</v>
      </c>
      <c r="N7" s="7"/>
      <c r="O7" s="7" t="s">
        <v>445</v>
      </c>
      <c r="P7" s="7" t="s">
        <v>280</v>
      </c>
      <c r="Q7" s="7" t="s">
        <v>457</v>
      </c>
    </row>
    <row r="8" spans="1:17" ht="32" customHeight="1" x14ac:dyDescent="0.2">
      <c r="A8" s="7" t="s">
        <v>155</v>
      </c>
      <c r="B8" s="7" t="s">
        <v>18</v>
      </c>
      <c r="C8" s="7" t="s">
        <v>38</v>
      </c>
      <c r="D8" s="7" t="s">
        <v>443</v>
      </c>
      <c r="E8" s="7" t="s">
        <v>59</v>
      </c>
      <c r="F8" s="7" t="s">
        <v>35</v>
      </c>
      <c r="G8" s="8" t="s">
        <v>458</v>
      </c>
      <c r="H8" s="7" t="s">
        <v>37</v>
      </c>
      <c r="I8" s="7">
        <v>80</v>
      </c>
      <c r="J8" s="7">
        <v>70</v>
      </c>
      <c r="K8" s="7">
        <v>90</v>
      </c>
      <c r="L8" s="7"/>
      <c r="M8" s="7" t="s">
        <v>24</v>
      </c>
      <c r="N8" s="7"/>
      <c r="O8" s="7" t="s">
        <v>459</v>
      </c>
      <c r="P8" s="7" t="s">
        <v>280</v>
      </c>
      <c r="Q8" s="7" t="s">
        <v>460</v>
      </c>
    </row>
    <row r="9" spans="1:17" ht="32" customHeight="1" x14ac:dyDescent="0.2">
      <c r="A9" s="7" t="s">
        <v>155</v>
      </c>
      <c r="B9" s="7" t="s">
        <v>18</v>
      </c>
      <c r="C9" s="7" t="s">
        <v>38</v>
      </c>
      <c r="D9" s="7" t="s">
        <v>447</v>
      </c>
      <c r="E9" s="7"/>
      <c r="F9" s="7" t="s">
        <v>448</v>
      </c>
      <c r="G9" s="8" t="s">
        <v>461</v>
      </c>
      <c r="H9" s="7" t="s">
        <v>447</v>
      </c>
      <c r="I9" s="7" t="s">
        <v>450</v>
      </c>
      <c r="J9" s="7">
        <v>1</v>
      </c>
      <c r="K9" s="7">
        <v>2</v>
      </c>
      <c r="L9" s="7"/>
      <c r="M9" s="7" t="s">
        <v>451</v>
      </c>
      <c r="N9" s="7" t="s">
        <v>452</v>
      </c>
      <c r="O9" s="7" t="s">
        <v>459</v>
      </c>
      <c r="P9" s="7" t="s">
        <v>280</v>
      </c>
      <c r="Q9" s="7" t="s">
        <v>453</v>
      </c>
    </row>
    <row r="10" spans="1:17" ht="32" customHeight="1" x14ac:dyDescent="0.2">
      <c r="A10" s="7" t="s">
        <v>155</v>
      </c>
      <c r="B10" s="7" t="s">
        <v>18</v>
      </c>
      <c r="C10" s="7" t="s">
        <v>38</v>
      </c>
      <c r="D10" s="7" t="s">
        <v>447</v>
      </c>
      <c r="E10" s="7"/>
      <c r="F10" s="7" t="s">
        <v>454</v>
      </c>
      <c r="G10" s="8" t="s">
        <v>455</v>
      </c>
      <c r="H10" s="7" t="s">
        <v>456</v>
      </c>
      <c r="I10" s="7">
        <v>50</v>
      </c>
      <c r="J10" s="7">
        <v>50</v>
      </c>
      <c r="K10" s="7">
        <v>100</v>
      </c>
      <c r="L10" s="7"/>
      <c r="M10" s="7" t="s">
        <v>24</v>
      </c>
      <c r="N10" s="7"/>
      <c r="O10" s="7" t="s">
        <v>459</v>
      </c>
      <c r="P10" s="7" t="s">
        <v>280</v>
      </c>
      <c r="Q10" s="7" t="s">
        <v>462</v>
      </c>
    </row>
    <row r="11" spans="1:17" ht="16" customHeight="1" x14ac:dyDescent="0.2">
      <c r="A11" s="7" t="s">
        <v>155</v>
      </c>
      <c r="B11" s="7" t="s">
        <v>40</v>
      </c>
      <c r="C11" s="7" t="s">
        <v>32</v>
      </c>
      <c r="D11" s="7" t="s">
        <v>463</v>
      </c>
      <c r="E11" s="7"/>
      <c r="F11" s="7" t="s">
        <v>42</v>
      </c>
      <c r="G11" s="8" t="s">
        <v>43</v>
      </c>
      <c r="H11" s="7" t="s">
        <v>44</v>
      </c>
      <c r="I11" s="7">
        <v>160</v>
      </c>
      <c r="J11" s="7">
        <v>140</v>
      </c>
      <c r="K11" s="7">
        <v>180</v>
      </c>
      <c r="L11" s="7">
        <v>1500</v>
      </c>
      <c r="M11" s="7" t="s">
        <v>24</v>
      </c>
      <c r="N11" s="7"/>
      <c r="O11" s="7" t="s">
        <v>464</v>
      </c>
      <c r="P11" s="7" t="s">
        <v>274</v>
      </c>
      <c r="Q11" s="7" t="s">
        <v>465</v>
      </c>
    </row>
    <row r="12" spans="1:17" ht="16" customHeight="1" x14ac:dyDescent="0.2">
      <c r="A12" s="7" t="s">
        <v>155</v>
      </c>
      <c r="B12" s="7" t="s">
        <v>40</v>
      </c>
      <c r="C12" s="7" t="s">
        <v>32</v>
      </c>
      <c r="D12" s="7" t="s">
        <v>463</v>
      </c>
      <c r="E12" s="7"/>
      <c r="F12" s="7" t="s">
        <v>46</v>
      </c>
      <c r="G12" s="8" t="s">
        <v>47</v>
      </c>
      <c r="H12" s="7" t="s">
        <v>48</v>
      </c>
      <c r="I12" s="7">
        <v>2</v>
      </c>
      <c r="J12" s="7">
        <v>1.5</v>
      </c>
      <c r="K12" s="7">
        <v>3</v>
      </c>
      <c r="L12" s="7">
        <v>30</v>
      </c>
      <c r="M12" s="7" t="s">
        <v>24</v>
      </c>
      <c r="N12" s="7"/>
      <c r="O12" s="7" t="s">
        <v>466</v>
      </c>
      <c r="P12" s="7" t="s">
        <v>280</v>
      </c>
      <c r="Q12" s="7" t="s">
        <v>467</v>
      </c>
    </row>
    <row r="13" spans="1:17" ht="16" customHeight="1" x14ac:dyDescent="0.2">
      <c r="A13" s="7" t="s">
        <v>155</v>
      </c>
      <c r="B13" s="7" t="s">
        <v>40</v>
      </c>
      <c r="C13" s="7" t="s">
        <v>32</v>
      </c>
      <c r="D13" s="7" t="s">
        <v>463</v>
      </c>
      <c r="E13" s="7"/>
      <c r="F13" s="7" t="s">
        <v>49</v>
      </c>
      <c r="G13" s="8" t="s">
        <v>50</v>
      </c>
      <c r="H13" s="7" t="s">
        <v>51</v>
      </c>
      <c r="I13" s="7">
        <v>3</v>
      </c>
      <c r="J13" s="7">
        <v>1.5</v>
      </c>
      <c r="K13" s="7">
        <v>6</v>
      </c>
      <c r="L13" s="7">
        <v>1000</v>
      </c>
      <c r="M13" s="7" t="s">
        <v>24</v>
      </c>
      <c r="N13" s="7"/>
      <c r="O13" s="7" t="s">
        <v>468</v>
      </c>
      <c r="P13" s="7" t="s">
        <v>280</v>
      </c>
      <c r="Q13" s="7" t="s">
        <v>469</v>
      </c>
    </row>
    <row r="14" spans="1:17" ht="16" customHeight="1" x14ac:dyDescent="0.2">
      <c r="A14" s="7" t="s">
        <v>155</v>
      </c>
      <c r="B14" s="7" t="s">
        <v>40</v>
      </c>
      <c r="C14" s="7" t="s">
        <v>32</v>
      </c>
      <c r="D14" s="7" t="s">
        <v>463</v>
      </c>
      <c r="E14" s="7"/>
      <c r="F14" s="7" t="s">
        <v>52</v>
      </c>
      <c r="G14" s="8" t="s">
        <v>53</v>
      </c>
      <c r="H14" s="7" t="s">
        <v>54</v>
      </c>
      <c r="I14" s="7">
        <v>5000</v>
      </c>
      <c r="J14" s="7">
        <v>2500</v>
      </c>
      <c r="K14" s="7">
        <v>10000</v>
      </c>
      <c r="L14" s="7">
        <v>30000</v>
      </c>
      <c r="M14" s="7" t="s">
        <v>24</v>
      </c>
      <c r="N14" s="7"/>
      <c r="O14" s="7" t="s">
        <v>470</v>
      </c>
      <c r="P14" s="7" t="s">
        <v>280</v>
      </c>
      <c r="Q14" s="7" t="s">
        <v>471</v>
      </c>
    </row>
    <row r="15" spans="1:17" ht="32" customHeight="1" x14ac:dyDescent="0.2">
      <c r="A15" s="7" t="s">
        <v>155</v>
      </c>
      <c r="B15" s="7" t="s">
        <v>40</v>
      </c>
      <c r="C15" s="7" t="s">
        <v>32</v>
      </c>
      <c r="D15" s="7" t="s">
        <v>463</v>
      </c>
      <c r="E15" s="7"/>
      <c r="F15" s="7" t="s">
        <v>55</v>
      </c>
      <c r="G15" s="8" t="s">
        <v>56</v>
      </c>
      <c r="H15" s="7" t="s">
        <v>37</v>
      </c>
      <c r="I15" s="7">
        <v>95</v>
      </c>
      <c r="J15" s="7">
        <v>85</v>
      </c>
      <c r="K15" s="7">
        <v>100</v>
      </c>
      <c r="L15" s="7"/>
      <c r="M15" s="7" t="s">
        <v>24</v>
      </c>
      <c r="N15" s="7"/>
      <c r="O15" s="7" t="s">
        <v>472</v>
      </c>
      <c r="P15" s="7" t="s">
        <v>280</v>
      </c>
      <c r="Q15" s="7" t="s">
        <v>473</v>
      </c>
    </row>
    <row r="16" spans="1:17" ht="16" customHeight="1" x14ac:dyDescent="0.2">
      <c r="A16" s="7" t="s">
        <v>155</v>
      </c>
      <c r="B16" s="7" t="s">
        <v>40</v>
      </c>
      <c r="C16" s="7" t="s">
        <v>32</v>
      </c>
      <c r="D16" s="7" t="s">
        <v>463</v>
      </c>
      <c r="E16" s="7"/>
      <c r="F16" s="7" t="s">
        <v>57</v>
      </c>
      <c r="G16" s="8" t="s">
        <v>58</v>
      </c>
      <c r="H16" s="7" t="s">
        <v>23</v>
      </c>
      <c r="I16" s="7" t="s">
        <v>59</v>
      </c>
      <c r="J16" s="7"/>
      <c r="K16" s="7"/>
      <c r="L16" s="7"/>
      <c r="M16" s="7" t="s">
        <v>60</v>
      </c>
      <c r="N16" s="7" t="s">
        <v>61</v>
      </c>
      <c r="O16" s="7" t="s">
        <v>474</v>
      </c>
      <c r="P16" s="7" t="s">
        <v>280</v>
      </c>
      <c r="Q16" s="7"/>
    </row>
    <row r="17" spans="1:17" ht="16" customHeight="1" x14ac:dyDescent="0.2">
      <c r="A17" s="7" t="s">
        <v>155</v>
      </c>
      <c r="B17" s="7" t="s">
        <v>40</v>
      </c>
      <c r="C17" s="7" t="s">
        <v>32</v>
      </c>
      <c r="D17" s="7" t="s">
        <v>475</v>
      </c>
      <c r="E17" s="7"/>
      <c r="F17" s="7" t="s">
        <v>42</v>
      </c>
      <c r="G17" s="8" t="s">
        <v>43</v>
      </c>
      <c r="H17" s="7" t="s">
        <v>44</v>
      </c>
      <c r="I17" s="7">
        <v>120</v>
      </c>
      <c r="J17" s="7">
        <v>100</v>
      </c>
      <c r="K17" s="7">
        <v>150</v>
      </c>
      <c r="L17" s="7">
        <v>1000</v>
      </c>
      <c r="M17" s="7" t="s">
        <v>24</v>
      </c>
      <c r="N17" s="7"/>
      <c r="O17" s="7" t="s">
        <v>476</v>
      </c>
      <c r="P17" s="7" t="s">
        <v>280</v>
      </c>
      <c r="Q17" s="7" t="s">
        <v>477</v>
      </c>
    </row>
    <row r="18" spans="1:17" ht="16" customHeight="1" x14ac:dyDescent="0.2">
      <c r="A18" s="7" t="s">
        <v>155</v>
      </c>
      <c r="B18" s="7" t="s">
        <v>40</v>
      </c>
      <c r="C18" s="7" t="s">
        <v>32</v>
      </c>
      <c r="D18" s="7" t="s">
        <v>475</v>
      </c>
      <c r="E18" s="7"/>
      <c r="F18" s="7" t="s">
        <v>46</v>
      </c>
      <c r="G18" s="8" t="s">
        <v>47</v>
      </c>
      <c r="H18" s="7" t="s">
        <v>48</v>
      </c>
      <c r="I18" s="7">
        <v>1.5</v>
      </c>
      <c r="J18" s="7">
        <v>1.2</v>
      </c>
      <c r="K18" s="7">
        <v>1.8</v>
      </c>
      <c r="L18" s="7">
        <v>11</v>
      </c>
      <c r="M18" s="7" t="s">
        <v>24</v>
      </c>
      <c r="N18" s="7"/>
      <c r="O18" s="7" t="s">
        <v>478</v>
      </c>
      <c r="P18" s="7" t="s">
        <v>280</v>
      </c>
      <c r="Q18" s="7" t="s">
        <v>479</v>
      </c>
    </row>
    <row r="19" spans="1:17" ht="16" customHeight="1" x14ac:dyDescent="0.2">
      <c r="A19" s="7" t="s">
        <v>155</v>
      </c>
      <c r="B19" s="7" t="s">
        <v>40</v>
      </c>
      <c r="C19" s="7" t="s">
        <v>32</v>
      </c>
      <c r="D19" s="7" t="s">
        <v>475</v>
      </c>
      <c r="E19" s="7"/>
      <c r="F19" s="7" t="s">
        <v>49</v>
      </c>
      <c r="G19" s="8" t="s">
        <v>50</v>
      </c>
      <c r="H19" s="7" t="s">
        <v>51</v>
      </c>
      <c r="I19" s="7">
        <v>10</v>
      </c>
      <c r="J19" s="7">
        <v>6</v>
      </c>
      <c r="K19" s="7">
        <v>15</v>
      </c>
      <c r="L19" s="7">
        <v>1000</v>
      </c>
      <c r="M19" s="7" t="s">
        <v>24</v>
      </c>
      <c r="N19" s="7"/>
      <c r="O19" s="7" t="s">
        <v>480</v>
      </c>
      <c r="P19" s="7" t="s">
        <v>280</v>
      </c>
      <c r="Q19" s="7" t="s">
        <v>481</v>
      </c>
    </row>
    <row r="20" spans="1:17" ht="16" customHeight="1" x14ac:dyDescent="0.2">
      <c r="A20" s="7" t="s">
        <v>155</v>
      </c>
      <c r="B20" s="7" t="s">
        <v>40</v>
      </c>
      <c r="C20" s="7" t="s">
        <v>32</v>
      </c>
      <c r="D20" s="7" t="s">
        <v>475</v>
      </c>
      <c r="E20" s="7"/>
      <c r="F20" s="7" t="s">
        <v>52</v>
      </c>
      <c r="G20" s="8" t="s">
        <v>53</v>
      </c>
      <c r="H20" s="7" t="s">
        <v>54</v>
      </c>
      <c r="I20" s="7">
        <v>5000</v>
      </c>
      <c r="J20" s="7">
        <v>2500</v>
      </c>
      <c r="K20" s="7">
        <v>10000</v>
      </c>
      <c r="L20" s="7">
        <v>30000</v>
      </c>
      <c r="M20" s="7" t="s">
        <v>24</v>
      </c>
      <c r="N20" s="7"/>
      <c r="O20" s="7" t="s">
        <v>482</v>
      </c>
      <c r="P20" s="7" t="s">
        <v>280</v>
      </c>
      <c r="Q20" s="7" t="s">
        <v>471</v>
      </c>
    </row>
    <row r="21" spans="1:17" ht="32" customHeight="1" x14ac:dyDescent="0.2">
      <c r="A21" s="7" t="s">
        <v>155</v>
      </c>
      <c r="B21" s="7" t="s">
        <v>40</v>
      </c>
      <c r="C21" s="7" t="s">
        <v>32</v>
      </c>
      <c r="D21" s="7" t="s">
        <v>475</v>
      </c>
      <c r="E21" s="7"/>
      <c r="F21" s="7" t="s">
        <v>55</v>
      </c>
      <c r="G21" s="8" t="s">
        <v>56</v>
      </c>
      <c r="H21" s="7" t="s">
        <v>37</v>
      </c>
      <c r="I21" s="7">
        <v>95</v>
      </c>
      <c r="J21" s="7">
        <v>85</v>
      </c>
      <c r="K21" s="7">
        <v>100</v>
      </c>
      <c r="L21" s="7"/>
      <c r="M21" s="7" t="s">
        <v>24</v>
      </c>
      <c r="N21" s="7"/>
      <c r="O21" s="7" t="s">
        <v>483</v>
      </c>
      <c r="P21" s="7" t="s">
        <v>280</v>
      </c>
      <c r="Q21" s="7" t="s">
        <v>484</v>
      </c>
    </row>
    <row r="22" spans="1:17" ht="16" customHeight="1" x14ac:dyDescent="0.2">
      <c r="A22" s="7" t="s">
        <v>155</v>
      </c>
      <c r="B22" s="7" t="s">
        <v>40</v>
      </c>
      <c r="C22" s="7" t="s">
        <v>32</v>
      </c>
      <c r="D22" s="7" t="s">
        <v>475</v>
      </c>
      <c r="E22" s="7"/>
      <c r="F22" s="7" t="s">
        <v>57</v>
      </c>
      <c r="G22" s="8" t="s">
        <v>58</v>
      </c>
      <c r="H22" s="7" t="s">
        <v>23</v>
      </c>
      <c r="I22" s="7" t="s">
        <v>59</v>
      </c>
      <c r="J22" s="7"/>
      <c r="K22" s="7"/>
      <c r="L22" s="7"/>
      <c r="M22" s="7" t="s">
        <v>60</v>
      </c>
      <c r="N22" s="7" t="s">
        <v>61</v>
      </c>
      <c r="O22" s="7" t="s">
        <v>474</v>
      </c>
      <c r="P22" s="7" t="s">
        <v>280</v>
      </c>
      <c r="Q22" s="7"/>
    </row>
    <row r="23" spans="1:17" ht="16" customHeight="1" x14ac:dyDescent="0.2">
      <c r="A23" s="7" t="s">
        <v>155</v>
      </c>
      <c r="B23" s="7" t="s">
        <v>40</v>
      </c>
      <c r="C23" s="7" t="s">
        <v>32</v>
      </c>
      <c r="D23" s="7" t="s">
        <v>485</v>
      </c>
      <c r="E23" s="7"/>
      <c r="F23" s="7" t="s">
        <v>42</v>
      </c>
      <c r="G23" s="8" t="s">
        <v>43</v>
      </c>
      <c r="H23" s="7" t="s">
        <v>44</v>
      </c>
      <c r="I23" s="7">
        <v>650</v>
      </c>
      <c r="J23" s="7">
        <v>520</v>
      </c>
      <c r="K23" s="7">
        <v>800</v>
      </c>
      <c r="L23" s="7">
        <v>700</v>
      </c>
      <c r="M23" s="7" t="s">
        <v>24</v>
      </c>
      <c r="N23" s="7"/>
      <c r="O23" s="7" t="s">
        <v>486</v>
      </c>
      <c r="P23" s="7" t="s">
        <v>280</v>
      </c>
      <c r="Q23" s="7" t="s">
        <v>487</v>
      </c>
    </row>
    <row r="24" spans="1:17" ht="16" customHeight="1" x14ac:dyDescent="0.2">
      <c r="A24" s="7" t="s">
        <v>155</v>
      </c>
      <c r="B24" s="7" t="s">
        <v>40</v>
      </c>
      <c r="C24" s="7" t="s">
        <v>32</v>
      </c>
      <c r="D24" s="7" t="s">
        <v>485</v>
      </c>
      <c r="E24" s="7"/>
      <c r="F24" s="7" t="s">
        <v>46</v>
      </c>
      <c r="G24" s="8" t="s">
        <v>47</v>
      </c>
      <c r="H24" s="7" t="s">
        <v>48</v>
      </c>
      <c r="I24" s="7">
        <v>2</v>
      </c>
      <c r="J24" s="7">
        <v>1.6</v>
      </c>
      <c r="K24" s="7">
        <v>2.4</v>
      </c>
      <c r="L24" s="7">
        <v>2.5</v>
      </c>
      <c r="M24" s="7" t="s">
        <v>24</v>
      </c>
      <c r="N24" s="7"/>
      <c r="O24" s="7" t="s">
        <v>488</v>
      </c>
      <c r="P24" s="7" t="s">
        <v>280</v>
      </c>
      <c r="Q24" s="7" t="s">
        <v>489</v>
      </c>
    </row>
    <row r="25" spans="1:17" ht="16" customHeight="1" x14ac:dyDescent="0.2">
      <c r="A25" s="7" t="s">
        <v>155</v>
      </c>
      <c r="B25" s="7" t="s">
        <v>40</v>
      </c>
      <c r="C25" s="7" t="s">
        <v>32</v>
      </c>
      <c r="D25" s="7" t="s">
        <v>485</v>
      </c>
      <c r="E25" s="7"/>
      <c r="F25" s="7" t="s">
        <v>49</v>
      </c>
      <c r="G25" s="8" t="s">
        <v>50</v>
      </c>
      <c r="H25" s="7" t="s">
        <v>51</v>
      </c>
      <c r="I25" s="7">
        <v>5</v>
      </c>
      <c r="J25" s="7">
        <v>2.5</v>
      </c>
      <c r="K25" s="7">
        <v>8</v>
      </c>
      <c r="L25" s="7">
        <v>30</v>
      </c>
      <c r="M25" s="7" t="s">
        <v>24</v>
      </c>
      <c r="N25" s="7"/>
      <c r="O25" s="7" t="s">
        <v>490</v>
      </c>
      <c r="P25" s="7" t="s">
        <v>280</v>
      </c>
      <c r="Q25" s="7" t="s">
        <v>491</v>
      </c>
    </row>
    <row r="26" spans="1:17" ht="16" customHeight="1" x14ac:dyDescent="0.2">
      <c r="A26" s="7" t="s">
        <v>155</v>
      </c>
      <c r="B26" s="7" t="s">
        <v>40</v>
      </c>
      <c r="C26" s="7" t="s">
        <v>32</v>
      </c>
      <c r="D26" s="7" t="s">
        <v>485</v>
      </c>
      <c r="E26" s="7"/>
      <c r="F26" s="7" t="s">
        <v>52</v>
      </c>
      <c r="G26" s="8" t="s">
        <v>53</v>
      </c>
      <c r="H26" s="7" t="s">
        <v>54</v>
      </c>
      <c r="I26" s="7">
        <v>10000</v>
      </c>
      <c r="J26" s="7">
        <v>5000</v>
      </c>
      <c r="K26" s="7">
        <v>20000</v>
      </c>
      <c r="L26" s="7">
        <v>36000</v>
      </c>
      <c r="M26" s="7" t="s">
        <v>24</v>
      </c>
      <c r="N26" s="7"/>
      <c r="O26" s="7" t="s">
        <v>492</v>
      </c>
      <c r="P26" s="7" t="s">
        <v>280</v>
      </c>
      <c r="Q26" s="7" t="s">
        <v>493</v>
      </c>
    </row>
    <row r="27" spans="1:17" ht="32" customHeight="1" x14ac:dyDescent="0.2">
      <c r="A27" s="7" t="s">
        <v>155</v>
      </c>
      <c r="B27" s="7" t="s">
        <v>40</v>
      </c>
      <c r="C27" s="7" t="s">
        <v>32</v>
      </c>
      <c r="D27" s="7" t="s">
        <v>485</v>
      </c>
      <c r="E27" s="7"/>
      <c r="F27" s="7" t="s">
        <v>55</v>
      </c>
      <c r="G27" s="8" t="s">
        <v>56</v>
      </c>
      <c r="H27" s="7" t="s">
        <v>37</v>
      </c>
      <c r="I27" s="7">
        <v>90</v>
      </c>
      <c r="J27" s="7">
        <v>75</v>
      </c>
      <c r="K27" s="7">
        <v>100</v>
      </c>
      <c r="L27" s="7"/>
      <c r="M27" s="7" t="s">
        <v>24</v>
      </c>
      <c r="N27" s="7"/>
      <c r="O27" s="7" t="s">
        <v>494</v>
      </c>
      <c r="P27" s="7" t="s">
        <v>280</v>
      </c>
      <c r="Q27" s="7" t="s">
        <v>484</v>
      </c>
    </row>
    <row r="28" spans="1:17" ht="16" customHeight="1" x14ac:dyDescent="0.2">
      <c r="A28" s="7" t="s">
        <v>155</v>
      </c>
      <c r="B28" s="7" t="s">
        <v>40</v>
      </c>
      <c r="C28" s="7" t="s">
        <v>32</v>
      </c>
      <c r="D28" s="7" t="s">
        <v>485</v>
      </c>
      <c r="E28" s="7"/>
      <c r="F28" s="7" t="s">
        <v>57</v>
      </c>
      <c r="G28" s="8" t="s">
        <v>58</v>
      </c>
      <c r="H28" s="7" t="s">
        <v>23</v>
      </c>
      <c r="I28" s="7" t="s">
        <v>59</v>
      </c>
      <c r="J28" s="7"/>
      <c r="K28" s="7"/>
      <c r="L28" s="7"/>
      <c r="M28" s="7" t="s">
        <v>60</v>
      </c>
      <c r="N28" s="7" t="s">
        <v>61</v>
      </c>
      <c r="O28" s="7" t="s">
        <v>474</v>
      </c>
      <c r="P28" s="7" t="s">
        <v>280</v>
      </c>
      <c r="Q28" s="7"/>
    </row>
    <row r="29" spans="1:17" ht="16" customHeight="1" x14ac:dyDescent="0.2">
      <c r="A29" s="7" t="s">
        <v>155</v>
      </c>
      <c r="B29" s="7" t="s">
        <v>40</v>
      </c>
      <c r="C29" s="7" t="s">
        <v>32</v>
      </c>
      <c r="D29" s="7" t="s">
        <v>495</v>
      </c>
      <c r="E29" s="7"/>
      <c r="F29" s="7" t="s">
        <v>42</v>
      </c>
      <c r="G29" s="8" t="s">
        <v>43</v>
      </c>
      <c r="H29" s="7" t="s">
        <v>44</v>
      </c>
      <c r="I29" s="7">
        <v>252</v>
      </c>
      <c r="J29" s="7">
        <v>200</v>
      </c>
      <c r="K29" s="7">
        <v>320</v>
      </c>
      <c r="L29" s="7">
        <v>3000</v>
      </c>
      <c r="M29" s="7" t="s">
        <v>24</v>
      </c>
      <c r="N29" s="7"/>
      <c r="O29" s="7" t="s">
        <v>496</v>
      </c>
      <c r="P29" s="7" t="s">
        <v>274</v>
      </c>
      <c r="Q29" s="7" t="s">
        <v>497</v>
      </c>
    </row>
    <row r="30" spans="1:17" ht="16" customHeight="1" x14ac:dyDescent="0.2">
      <c r="A30" s="7" t="s">
        <v>155</v>
      </c>
      <c r="B30" s="7" t="s">
        <v>40</v>
      </c>
      <c r="C30" s="7" t="s">
        <v>32</v>
      </c>
      <c r="D30" s="7" t="s">
        <v>495</v>
      </c>
      <c r="E30" s="7"/>
      <c r="F30" s="7" t="s">
        <v>46</v>
      </c>
      <c r="G30" s="8" t="s">
        <v>47</v>
      </c>
      <c r="H30" s="7" t="s">
        <v>48</v>
      </c>
      <c r="I30" s="7">
        <v>4</v>
      </c>
      <c r="J30" s="7">
        <v>3</v>
      </c>
      <c r="K30" s="7">
        <v>7</v>
      </c>
      <c r="L30" s="7">
        <v>30</v>
      </c>
      <c r="M30" s="7" t="s">
        <v>24</v>
      </c>
      <c r="N30" s="7"/>
      <c r="O30" s="7" t="s">
        <v>498</v>
      </c>
      <c r="P30" s="7" t="s">
        <v>280</v>
      </c>
      <c r="Q30" s="7" t="s">
        <v>499</v>
      </c>
    </row>
    <row r="31" spans="1:17" ht="16" customHeight="1" x14ac:dyDescent="0.2">
      <c r="A31" s="7" t="s">
        <v>155</v>
      </c>
      <c r="B31" s="7" t="s">
        <v>40</v>
      </c>
      <c r="C31" s="7" t="s">
        <v>32</v>
      </c>
      <c r="D31" s="7" t="s">
        <v>495</v>
      </c>
      <c r="E31" s="7"/>
      <c r="F31" s="7" t="s">
        <v>49</v>
      </c>
      <c r="G31" s="8" t="s">
        <v>50</v>
      </c>
      <c r="H31" s="7" t="s">
        <v>51</v>
      </c>
      <c r="I31" s="7">
        <v>5</v>
      </c>
      <c r="J31" s="7">
        <v>3</v>
      </c>
      <c r="K31" s="7">
        <v>8</v>
      </c>
      <c r="L31" s="7">
        <v>60</v>
      </c>
      <c r="M31" s="7" t="s">
        <v>24</v>
      </c>
      <c r="N31" s="7"/>
      <c r="O31" s="7" t="s">
        <v>500</v>
      </c>
      <c r="P31" s="7" t="s">
        <v>280</v>
      </c>
      <c r="Q31" s="7" t="s">
        <v>501</v>
      </c>
    </row>
    <row r="32" spans="1:17" ht="16" customHeight="1" x14ac:dyDescent="0.2">
      <c r="A32" s="7" t="s">
        <v>155</v>
      </c>
      <c r="B32" s="7" t="s">
        <v>40</v>
      </c>
      <c r="C32" s="7" t="s">
        <v>32</v>
      </c>
      <c r="D32" s="7" t="s">
        <v>495</v>
      </c>
      <c r="E32" s="7"/>
      <c r="F32" s="7" t="s">
        <v>52</v>
      </c>
      <c r="G32" s="8" t="s">
        <v>53</v>
      </c>
      <c r="H32" s="7" t="s">
        <v>54</v>
      </c>
      <c r="I32" s="7">
        <v>10000</v>
      </c>
      <c r="J32" s="7">
        <v>5000</v>
      </c>
      <c r="K32" s="7">
        <v>20000</v>
      </c>
      <c r="L32" s="7">
        <v>40000</v>
      </c>
      <c r="M32" s="7" t="s">
        <v>24</v>
      </c>
      <c r="N32" s="7"/>
      <c r="O32" s="7" t="s">
        <v>502</v>
      </c>
      <c r="P32" s="7" t="s">
        <v>280</v>
      </c>
      <c r="Q32" s="7" t="s">
        <v>503</v>
      </c>
    </row>
    <row r="33" spans="1:17" ht="32" customHeight="1" x14ac:dyDescent="0.2">
      <c r="A33" s="7" t="s">
        <v>155</v>
      </c>
      <c r="B33" s="7" t="s">
        <v>40</v>
      </c>
      <c r="C33" s="7" t="s">
        <v>32</v>
      </c>
      <c r="D33" s="7" t="s">
        <v>495</v>
      </c>
      <c r="E33" s="7"/>
      <c r="F33" s="7" t="s">
        <v>55</v>
      </c>
      <c r="G33" s="8" t="s">
        <v>56</v>
      </c>
      <c r="H33" s="7" t="s">
        <v>37</v>
      </c>
      <c r="I33" s="7">
        <v>50</v>
      </c>
      <c r="J33" s="7">
        <v>30</v>
      </c>
      <c r="K33" s="7">
        <v>75</v>
      </c>
      <c r="L33" s="7"/>
      <c r="M33" s="7" t="s">
        <v>24</v>
      </c>
      <c r="N33" s="7"/>
      <c r="O33" s="7" t="s">
        <v>504</v>
      </c>
      <c r="P33" s="7" t="s">
        <v>280</v>
      </c>
      <c r="Q33" s="7" t="s">
        <v>505</v>
      </c>
    </row>
    <row r="34" spans="1:17" ht="16" customHeight="1" x14ac:dyDescent="0.2">
      <c r="A34" s="7" t="s">
        <v>155</v>
      </c>
      <c r="B34" s="7" t="s">
        <v>40</v>
      </c>
      <c r="C34" s="7" t="s">
        <v>32</v>
      </c>
      <c r="D34" s="7" t="s">
        <v>495</v>
      </c>
      <c r="E34" s="7"/>
      <c r="F34" s="7" t="s">
        <v>57</v>
      </c>
      <c r="G34" s="8" t="s">
        <v>58</v>
      </c>
      <c r="H34" s="7" t="s">
        <v>23</v>
      </c>
      <c r="I34" s="7" t="s">
        <v>59</v>
      </c>
      <c r="J34" s="7"/>
      <c r="K34" s="7"/>
      <c r="L34" s="7"/>
      <c r="M34" s="7" t="s">
        <v>60</v>
      </c>
      <c r="N34" s="7" t="s">
        <v>61</v>
      </c>
      <c r="O34" s="7" t="s">
        <v>474</v>
      </c>
      <c r="P34" s="7" t="s">
        <v>280</v>
      </c>
      <c r="Q34" s="7"/>
    </row>
    <row r="35" spans="1:17" ht="16" customHeight="1" x14ac:dyDescent="0.2">
      <c r="A35" s="7" t="s">
        <v>155</v>
      </c>
      <c r="B35" s="7" t="s">
        <v>40</v>
      </c>
      <c r="C35" s="7" t="s">
        <v>38</v>
      </c>
      <c r="D35" s="7" t="s">
        <v>475</v>
      </c>
      <c r="E35" s="7"/>
      <c r="F35" s="7" t="s">
        <v>42</v>
      </c>
      <c r="G35" s="8" t="s">
        <v>43</v>
      </c>
      <c r="H35" s="7" t="s">
        <v>44</v>
      </c>
      <c r="I35" s="7">
        <v>80</v>
      </c>
      <c r="J35" s="7">
        <v>64</v>
      </c>
      <c r="K35" s="7">
        <v>96</v>
      </c>
      <c r="L35" s="7"/>
      <c r="M35" s="7" t="s">
        <v>24</v>
      </c>
      <c r="N35" s="7"/>
      <c r="O35" s="7" t="s">
        <v>506</v>
      </c>
      <c r="P35" s="7" t="s">
        <v>280</v>
      </c>
      <c r="Q35" s="7" t="s">
        <v>507</v>
      </c>
    </row>
    <row r="36" spans="1:17" ht="16" customHeight="1" x14ac:dyDescent="0.2">
      <c r="A36" s="7" t="s">
        <v>155</v>
      </c>
      <c r="B36" s="7" t="s">
        <v>40</v>
      </c>
      <c r="C36" s="7" t="s">
        <v>38</v>
      </c>
      <c r="D36" s="7" t="s">
        <v>475</v>
      </c>
      <c r="E36" s="7"/>
      <c r="F36" s="7" t="s">
        <v>46</v>
      </c>
      <c r="G36" s="8" t="s">
        <v>47</v>
      </c>
      <c r="H36" s="7" t="s">
        <v>48</v>
      </c>
      <c r="I36" s="7">
        <v>1.5</v>
      </c>
      <c r="J36" s="7">
        <v>1.2</v>
      </c>
      <c r="K36" s="7">
        <v>1.8</v>
      </c>
      <c r="L36" s="7"/>
      <c r="M36" s="7" t="s">
        <v>24</v>
      </c>
      <c r="N36" s="7"/>
      <c r="O36" s="7" t="s">
        <v>508</v>
      </c>
      <c r="P36" s="7" t="s">
        <v>280</v>
      </c>
      <c r="Q36" s="7" t="s">
        <v>509</v>
      </c>
    </row>
    <row r="37" spans="1:17" ht="16" customHeight="1" x14ac:dyDescent="0.2">
      <c r="A37" s="7" t="s">
        <v>155</v>
      </c>
      <c r="B37" s="7" t="s">
        <v>40</v>
      </c>
      <c r="C37" s="7" t="s">
        <v>38</v>
      </c>
      <c r="D37" s="7" t="s">
        <v>475</v>
      </c>
      <c r="E37" s="7"/>
      <c r="F37" s="7" t="s">
        <v>49</v>
      </c>
      <c r="G37" s="8" t="s">
        <v>50</v>
      </c>
      <c r="H37" s="7" t="s">
        <v>51</v>
      </c>
      <c r="I37" s="7">
        <v>15</v>
      </c>
      <c r="J37" s="7">
        <v>10</v>
      </c>
      <c r="K37" s="7">
        <v>20</v>
      </c>
      <c r="L37" s="7"/>
      <c r="M37" s="7" t="s">
        <v>24</v>
      </c>
      <c r="N37" s="7"/>
      <c r="O37" s="7" t="s">
        <v>510</v>
      </c>
      <c r="P37" s="7" t="s">
        <v>280</v>
      </c>
      <c r="Q37" s="7" t="s">
        <v>511</v>
      </c>
    </row>
    <row r="38" spans="1:17" ht="16" customHeight="1" x14ac:dyDescent="0.2">
      <c r="A38" s="7" t="s">
        <v>155</v>
      </c>
      <c r="B38" s="7" t="s">
        <v>40</v>
      </c>
      <c r="C38" s="7" t="s">
        <v>38</v>
      </c>
      <c r="D38" s="7" t="s">
        <v>475</v>
      </c>
      <c r="E38" s="7"/>
      <c r="F38" s="7" t="s">
        <v>52</v>
      </c>
      <c r="G38" s="8" t="s">
        <v>53</v>
      </c>
      <c r="H38" s="7" t="s">
        <v>54</v>
      </c>
      <c r="I38" s="7">
        <v>8000</v>
      </c>
      <c r="J38" s="7">
        <v>5000</v>
      </c>
      <c r="K38" s="7">
        <v>10000</v>
      </c>
      <c r="L38" s="7"/>
      <c r="M38" s="7" t="s">
        <v>24</v>
      </c>
      <c r="N38" s="7"/>
      <c r="O38" s="7" t="s">
        <v>512</v>
      </c>
      <c r="P38" s="7" t="s">
        <v>280</v>
      </c>
      <c r="Q38" s="7" t="s">
        <v>513</v>
      </c>
    </row>
    <row r="39" spans="1:17" ht="32" customHeight="1" x14ac:dyDescent="0.2">
      <c r="A39" s="7" t="s">
        <v>155</v>
      </c>
      <c r="B39" s="7" t="s">
        <v>40</v>
      </c>
      <c r="C39" s="7" t="s">
        <v>38</v>
      </c>
      <c r="D39" s="7" t="s">
        <v>475</v>
      </c>
      <c r="E39" s="7"/>
      <c r="F39" s="7" t="s">
        <v>55</v>
      </c>
      <c r="G39" s="8" t="s">
        <v>56</v>
      </c>
      <c r="H39" s="7" t="s">
        <v>37</v>
      </c>
      <c r="I39" s="7">
        <v>95</v>
      </c>
      <c r="J39" s="7">
        <v>85</v>
      </c>
      <c r="K39" s="7">
        <v>100</v>
      </c>
      <c r="L39" s="7"/>
      <c r="M39" s="7" t="s">
        <v>24</v>
      </c>
      <c r="N39" s="7"/>
      <c r="O39" s="7" t="s">
        <v>514</v>
      </c>
      <c r="P39" s="7" t="s">
        <v>280</v>
      </c>
      <c r="Q39" s="7" t="s">
        <v>515</v>
      </c>
    </row>
    <row r="40" spans="1:17" ht="16" customHeight="1" x14ac:dyDescent="0.2">
      <c r="A40" s="7" t="s">
        <v>155</v>
      </c>
      <c r="B40" s="7" t="s">
        <v>40</v>
      </c>
      <c r="C40" s="7" t="s">
        <v>38</v>
      </c>
      <c r="D40" s="7" t="s">
        <v>475</v>
      </c>
      <c r="E40" s="7"/>
      <c r="F40" s="7" t="s">
        <v>57</v>
      </c>
      <c r="G40" s="8" t="s">
        <v>58</v>
      </c>
      <c r="H40" s="7" t="s">
        <v>23</v>
      </c>
      <c r="I40" s="7" t="s">
        <v>59</v>
      </c>
      <c r="J40" s="7"/>
      <c r="K40" s="7"/>
      <c r="L40" s="7"/>
      <c r="M40" s="7" t="s">
        <v>60</v>
      </c>
      <c r="N40" s="7" t="s">
        <v>61</v>
      </c>
      <c r="O40" s="7" t="s">
        <v>474</v>
      </c>
      <c r="P40" s="7" t="s">
        <v>280</v>
      </c>
      <c r="Q40" s="7"/>
    </row>
    <row r="41" spans="1:17" ht="16" customHeight="1" x14ac:dyDescent="0.2">
      <c r="A41" s="7" t="s">
        <v>155</v>
      </c>
      <c r="B41" s="7" t="s">
        <v>40</v>
      </c>
      <c r="C41" s="7" t="s">
        <v>38</v>
      </c>
      <c r="D41" s="7" t="s">
        <v>485</v>
      </c>
      <c r="E41" s="7"/>
      <c r="F41" s="7" t="s">
        <v>42</v>
      </c>
      <c r="G41" s="8" t="s">
        <v>43</v>
      </c>
      <c r="H41" s="7" t="s">
        <v>44</v>
      </c>
      <c r="I41" s="7">
        <v>250</v>
      </c>
      <c r="J41" s="7">
        <v>200</v>
      </c>
      <c r="K41" s="7">
        <v>300</v>
      </c>
      <c r="L41" s="7"/>
      <c r="M41" s="7" t="s">
        <v>24</v>
      </c>
      <c r="N41" s="7"/>
      <c r="O41" s="7" t="s">
        <v>516</v>
      </c>
      <c r="P41" s="7" t="s">
        <v>280</v>
      </c>
      <c r="Q41" s="7" t="s">
        <v>509</v>
      </c>
    </row>
    <row r="42" spans="1:17" ht="16" customHeight="1" x14ac:dyDescent="0.2">
      <c r="A42" s="7" t="s">
        <v>155</v>
      </c>
      <c r="B42" s="7" t="s">
        <v>40</v>
      </c>
      <c r="C42" s="7" t="s">
        <v>38</v>
      </c>
      <c r="D42" s="7" t="s">
        <v>485</v>
      </c>
      <c r="E42" s="7"/>
      <c r="F42" s="7" t="s">
        <v>46</v>
      </c>
      <c r="G42" s="8" t="s">
        <v>47</v>
      </c>
      <c r="H42" s="7" t="s">
        <v>48</v>
      </c>
      <c r="I42" s="7">
        <v>1.5</v>
      </c>
      <c r="J42" s="7">
        <v>1.2</v>
      </c>
      <c r="K42" s="7">
        <v>1.8</v>
      </c>
      <c r="L42" s="7"/>
      <c r="M42" s="7" t="s">
        <v>24</v>
      </c>
      <c r="N42" s="7"/>
      <c r="O42" s="7" t="s">
        <v>517</v>
      </c>
      <c r="P42" s="7" t="s">
        <v>280</v>
      </c>
      <c r="Q42" s="7" t="s">
        <v>518</v>
      </c>
    </row>
    <row r="43" spans="1:17" ht="16" customHeight="1" x14ac:dyDescent="0.2">
      <c r="A43" s="7" t="s">
        <v>155</v>
      </c>
      <c r="B43" s="7" t="s">
        <v>40</v>
      </c>
      <c r="C43" s="7" t="s">
        <v>38</v>
      </c>
      <c r="D43" s="7" t="s">
        <v>485</v>
      </c>
      <c r="E43" s="7"/>
      <c r="F43" s="7" t="s">
        <v>49</v>
      </c>
      <c r="G43" s="8" t="s">
        <v>50</v>
      </c>
      <c r="H43" s="7" t="s">
        <v>51</v>
      </c>
      <c r="I43" s="7">
        <v>1</v>
      </c>
      <c r="J43" s="7">
        <v>0.5</v>
      </c>
      <c r="K43" s="7">
        <v>2</v>
      </c>
      <c r="L43" s="7"/>
      <c r="M43" s="7" t="s">
        <v>24</v>
      </c>
      <c r="N43" s="7"/>
      <c r="O43" s="7" t="s">
        <v>519</v>
      </c>
      <c r="P43" s="7" t="s">
        <v>280</v>
      </c>
      <c r="Q43" s="7" t="s">
        <v>520</v>
      </c>
    </row>
    <row r="44" spans="1:17" ht="16" customHeight="1" x14ac:dyDescent="0.2">
      <c r="A44" s="7" t="s">
        <v>155</v>
      </c>
      <c r="B44" s="7" t="s">
        <v>40</v>
      </c>
      <c r="C44" s="7" t="s">
        <v>38</v>
      </c>
      <c r="D44" s="7" t="s">
        <v>485</v>
      </c>
      <c r="E44" s="7"/>
      <c r="F44" s="7" t="s">
        <v>52</v>
      </c>
      <c r="G44" s="8" t="s">
        <v>53</v>
      </c>
      <c r="H44" s="7" t="s">
        <v>54</v>
      </c>
      <c r="I44" s="7">
        <v>8000</v>
      </c>
      <c r="J44" s="7">
        <v>5000</v>
      </c>
      <c r="K44" s="7">
        <v>10000</v>
      </c>
      <c r="L44" s="7"/>
      <c r="M44" s="7" t="s">
        <v>24</v>
      </c>
      <c r="N44" s="7"/>
      <c r="O44" s="7" t="s">
        <v>512</v>
      </c>
      <c r="P44" s="7" t="s">
        <v>280</v>
      </c>
      <c r="Q44" s="7" t="s">
        <v>521</v>
      </c>
    </row>
    <row r="45" spans="1:17" ht="32" customHeight="1" x14ac:dyDescent="0.2">
      <c r="A45" s="7" t="s">
        <v>155</v>
      </c>
      <c r="B45" s="7" t="s">
        <v>40</v>
      </c>
      <c r="C45" s="7" t="s">
        <v>38</v>
      </c>
      <c r="D45" s="7" t="s">
        <v>485</v>
      </c>
      <c r="E45" s="7"/>
      <c r="F45" s="7" t="s">
        <v>55</v>
      </c>
      <c r="G45" s="8" t="s">
        <v>56</v>
      </c>
      <c r="H45" s="7" t="s">
        <v>37</v>
      </c>
      <c r="I45" s="7">
        <v>90</v>
      </c>
      <c r="J45" s="7">
        <v>75</v>
      </c>
      <c r="K45" s="7">
        <v>100</v>
      </c>
      <c r="L45" s="7"/>
      <c r="M45" s="7" t="s">
        <v>24</v>
      </c>
      <c r="N45" s="7"/>
      <c r="O45" s="7" t="s">
        <v>522</v>
      </c>
      <c r="P45" s="7" t="s">
        <v>280</v>
      </c>
      <c r="Q45" s="7" t="s">
        <v>523</v>
      </c>
    </row>
    <row r="46" spans="1:17" ht="16" customHeight="1" x14ac:dyDescent="0.2">
      <c r="A46" s="7" t="s">
        <v>155</v>
      </c>
      <c r="B46" s="7" t="s">
        <v>40</v>
      </c>
      <c r="C46" s="7" t="s">
        <v>38</v>
      </c>
      <c r="D46" s="7" t="s">
        <v>485</v>
      </c>
      <c r="E46" s="7"/>
      <c r="F46" s="7" t="s">
        <v>57</v>
      </c>
      <c r="G46" s="8" t="s">
        <v>58</v>
      </c>
      <c r="H46" s="7" t="s">
        <v>23</v>
      </c>
      <c r="I46" s="7" t="s">
        <v>59</v>
      </c>
      <c r="J46" s="7"/>
      <c r="K46" s="7"/>
      <c r="L46" s="7"/>
      <c r="M46" s="7" t="s">
        <v>60</v>
      </c>
      <c r="N46" s="7" t="s">
        <v>61</v>
      </c>
      <c r="O46" s="7" t="s">
        <v>474</v>
      </c>
      <c r="P46" s="7" t="s">
        <v>280</v>
      </c>
      <c r="Q46" s="7"/>
    </row>
    <row r="47" spans="1:17" ht="16" customHeight="1" x14ac:dyDescent="0.2">
      <c r="A47" s="7" t="s">
        <v>155</v>
      </c>
      <c r="B47" s="7" t="s">
        <v>63</v>
      </c>
      <c r="C47" s="7" t="s">
        <v>64</v>
      </c>
      <c r="D47" s="7" t="s">
        <v>20</v>
      </c>
      <c r="E47" s="7"/>
      <c r="F47" s="7" t="s">
        <v>65</v>
      </c>
      <c r="G47" s="8" t="s">
        <v>66</v>
      </c>
      <c r="H47" s="7" t="s">
        <v>67</v>
      </c>
      <c r="I47" s="7">
        <v>20</v>
      </c>
      <c r="J47" s="7">
        <v>16</v>
      </c>
      <c r="K47" s="7">
        <v>24</v>
      </c>
      <c r="L47" s="7"/>
      <c r="M47" s="7" t="s">
        <v>24</v>
      </c>
      <c r="N47" s="7"/>
      <c r="O47" s="7" t="s">
        <v>524</v>
      </c>
      <c r="P47" s="7" t="s">
        <v>280</v>
      </c>
      <c r="Q47" s="7" t="s">
        <v>525</v>
      </c>
    </row>
    <row r="48" spans="1:17" ht="16" customHeight="1" x14ac:dyDescent="0.2">
      <c r="A48" s="7" t="s">
        <v>155</v>
      </c>
      <c r="B48" s="7" t="s">
        <v>63</v>
      </c>
      <c r="C48" s="7" t="s">
        <v>64</v>
      </c>
      <c r="D48" s="7" t="s">
        <v>20</v>
      </c>
      <c r="E48" s="7"/>
      <c r="F48" s="7" t="s">
        <v>68</v>
      </c>
      <c r="G48" s="8" t="s">
        <v>69</v>
      </c>
      <c r="H48" s="7" t="s">
        <v>67</v>
      </c>
      <c r="I48" s="7">
        <v>10</v>
      </c>
      <c r="J48" s="7">
        <v>8</v>
      </c>
      <c r="K48" s="7">
        <v>12</v>
      </c>
      <c r="L48" s="7"/>
      <c r="M48" s="7" t="s">
        <v>24</v>
      </c>
      <c r="N48" s="7"/>
      <c r="O48" s="7" t="s">
        <v>524</v>
      </c>
      <c r="P48" s="7" t="s">
        <v>280</v>
      </c>
      <c r="Q48" s="7" t="s">
        <v>526</v>
      </c>
    </row>
    <row r="49" spans="1:17" ht="16" customHeight="1" x14ac:dyDescent="0.2">
      <c r="A49" s="7" t="s">
        <v>155</v>
      </c>
      <c r="B49" s="7" t="s">
        <v>63</v>
      </c>
      <c r="C49" s="7" t="s">
        <v>38</v>
      </c>
      <c r="D49" s="7" t="s">
        <v>70</v>
      </c>
      <c r="E49" s="7"/>
      <c r="F49" s="7" t="s">
        <v>71</v>
      </c>
      <c r="G49" s="8" t="s">
        <v>72</v>
      </c>
      <c r="H49" s="7" t="s">
        <v>37</v>
      </c>
      <c r="I49" s="7">
        <v>10</v>
      </c>
      <c r="J49" s="7">
        <v>8</v>
      </c>
      <c r="K49" s="7">
        <v>12</v>
      </c>
      <c r="L49" s="7"/>
      <c r="M49" s="7" t="s">
        <v>24</v>
      </c>
      <c r="N49" s="7"/>
      <c r="O49" s="7" t="s">
        <v>524</v>
      </c>
      <c r="P49" s="7" t="s">
        <v>280</v>
      </c>
      <c r="Q49" s="7" t="s">
        <v>527</v>
      </c>
    </row>
    <row r="50" spans="1:17" ht="16" customHeight="1" x14ac:dyDescent="0.2">
      <c r="A50" s="7" t="s">
        <v>155</v>
      </c>
      <c r="B50" s="7" t="s">
        <v>63</v>
      </c>
      <c r="C50" s="7" t="s">
        <v>73</v>
      </c>
      <c r="D50" s="7" t="s">
        <v>74</v>
      </c>
      <c r="E50" s="7" t="s">
        <v>75</v>
      </c>
      <c r="F50" s="7" t="s">
        <v>76</v>
      </c>
      <c r="G50" s="8" t="s">
        <v>77</v>
      </c>
      <c r="H50" s="7" t="s">
        <v>37</v>
      </c>
      <c r="I50" s="7">
        <v>42</v>
      </c>
      <c r="J50" s="7">
        <v>30</v>
      </c>
      <c r="K50" s="7">
        <v>79</v>
      </c>
      <c r="L50" s="7">
        <v>55</v>
      </c>
      <c r="M50" s="7" t="s">
        <v>24</v>
      </c>
      <c r="N50" s="7"/>
      <c r="O50" s="7" t="s">
        <v>528</v>
      </c>
      <c r="P50" s="7" t="s">
        <v>280</v>
      </c>
      <c r="Q50" s="7" t="s">
        <v>529</v>
      </c>
    </row>
    <row r="51" spans="1:17" ht="32" customHeight="1" x14ac:dyDescent="0.2">
      <c r="A51" s="7" t="s">
        <v>155</v>
      </c>
      <c r="B51" s="7" t="s">
        <v>63</v>
      </c>
      <c r="C51" s="7" t="s">
        <v>73</v>
      </c>
      <c r="D51" s="7" t="s">
        <v>74</v>
      </c>
      <c r="E51" s="7" t="s">
        <v>79</v>
      </c>
      <c r="F51" s="7" t="s">
        <v>76</v>
      </c>
      <c r="G51" s="8" t="s">
        <v>80</v>
      </c>
      <c r="H51" s="7" t="s">
        <v>37</v>
      </c>
      <c r="I51" s="7">
        <v>5</v>
      </c>
      <c r="J51" s="7">
        <v>0</v>
      </c>
      <c r="K51" s="7">
        <v>15</v>
      </c>
      <c r="L51" s="7">
        <v>10</v>
      </c>
      <c r="M51" s="7" t="s">
        <v>24</v>
      </c>
      <c r="N51" s="7"/>
      <c r="O51" s="7" t="s">
        <v>528</v>
      </c>
      <c r="P51" s="7" t="s">
        <v>280</v>
      </c>
      <c r="Q51" s="7" t="s">
        <v>530</v>
      </c>
    </row>
    <row r="52" spans="1:17" ht="32" customHeight="1" x14ac:dyDescent="0.2">
      <c r="A52" s="7" t="s">
        <v>155</v>
      </c>
      <c r="B52" s="7" t="s">
        <v>63</v>
      </c>
      <c r="C52" s="7" t="s">
        <v>73</v>
      </c>
      <c r="D52" s="7" t="s">
        <v>74</v>
      </c>
      <c r="E52" s="7" t="s">
        <v>81</v>
      </c>
      <c r="F52" s="7" t="s">
        <v>76</v>
      </c>
      <c r="G52" s="8" t="s">
        <v>82</v>
      </c>
      <c r="H52" s="7" t="s">
        <v>37</v>
      </c>
      <c r="I52" s="7">
        <v>0</v>
      </c>
      <c r="J52" s="7">
        <v>0</v>
      </c>
      <c r="K52" s="7">
        <v>5</v>
      </c>
      <c r="L52" s="7">
        <v>10</v>
      </c>
      <c r="M52" s="7" t="s">
        <v>24</v>
      </c>
      <c r="N52" s="7"/>
      <c r="O52" s="7" t="s">
        <v>528</v>
      </c>
      <c r="P52" s="7" t="s">
        <v>280</v>
      </c>
      <c r="Q52" s="7" t="s">
        <v>531</v>
      </c>
    </row>
    <row r="53" spans="1:17" ht="32" customHeight="1" x14ac:dyDescent="0.2">
      <c r="A53" s="7" t="s">
        <v>155</v>
      </c>
      <c r="B53" s="7" t="s">
        <v>63</v>
      </c>
      <c r="C53" s="7" t="s">
        <v>73</v>
      </c>
      <c r="D53" s="7" t="s">
        <v>74</v>
      </c>
      <c r="E53" s="7" t="s">
        <v>83</v>
      </c>
      <c r="F53" s="7" t="s">
        <v>76</v>
      </c>
      <c r="G53" s="8" t="s">
        <v>84</v>
      </c>
      <c r="H53" s="7" t="s">
        <v>37</v>
      </c>
      <c r="I53" s="7">
        <v>28</v>
      </c>
      <c r="J53" s="7">
        <v>15</v>
      </c>
      <c r="K53" s="7">
        <v>45</v>
      </c>
      <c r="L53" s="7">
        <v>20</v>
      </c>
      <c r="M53" s="7" t="s">
        <v>24</v>
      </c>
      <c r="N53" s="7"/>
      <c r="O53" s="7" t="s">
        <v>528</v>
      </c>
      <c r="P53" s="7" t="s">
        <v>280</v>
      </c>
      <c r="Q53" s="7" t="s">
        <v>532</v>
      </c>
    </row>
    <row r="54" spans="1:17" ht="32" customHeight="1" x14ac:dyDescent="0.2">
      <c r="A54" s="7" t="s">
        <v>155</v>
      </c>
      <c r="B54" s="7" t="s">
        <v>63</v>
      </c>
      <c r="C54" s="7" t="s">
        <v>73</v>
      </c>
      <c r="D54" s="7" t="s">
        <v>74</v>
      </c>
      <c r="E54" s="7" t="s">
        <v>85</v>
      </c>
      <c r="F54" s="7" t="s">
        <v>76</v>
      </c>
      <c r="G54" s="8" t="s">
        <v>86</v>
      </c>
      <c r="H54" s="7" t="s">
        <v>37</v>
      </c>
      <c r="I54" s="7">
        <v>25</v>
      </c>
      <c r="J54" s="7">
        <v>2</v>
      </c>
      <c r="K54" s="7">
        <v>40</v>
      </c>
      <c r="L54" s="7">
        <v>5</v>
      </c>
      <c r="M54" s="7" t="s">
        <v>24</v>
      </c>
      <c r="N54" s="7"/>
      <c r="O54" s="7" t="s">
        <v>528</v>
      </c>
      <c r="P54" s="7" t="s">
        <v>280</v>
      </c>
      <c r="Q54" s="7" t="s">
        <v>533</v>
      </c>
    </row>
    <row r="55" spans="1:17" ht="32" customHeight="1" x14ac:dyDescent="0.2">
      <c r="A55" s="7" t="s">
        <v>155</v>
      </c>
      <c r="B55" s="7" t="s">
        <v>87</v>
      </c>
      <c r="C55" s="7" t="s">
        <v>88</v>
      </c>
      <c r="D55" s="7" t="s">
        <v>20</v>
      </c>
      <c r="E55" s="7"/>
      <c r="F55" s="7" t="s">
        <v>87</v>
      </c>
      <c r="G55" s="8" t="s">
        <v>89</v>
      </c>
      <c r="H55" s="7" t="s">
        <v>90</v>
      </c>
      <c r="I55" s="7" t="s">
        <v>91</v>
      </c>
      <c r="J55" s="7"/>
      <c r="K55" s="7"/>
      <c r="L55" s="7"/>
      <c r="M55" s="7" t="s">
        <v>60</v>
      </c>
      <c r="N55" s="7"/>
      <c r="O55" s="7" t="s">
        <v>534</v>
      </c>
      <c r="P55" s="7" t="s">
        <v>280</v>
      </c>
      <c r="Q55" s="7" t="s">
        <v>535</v>
      </c>
    </row>
    <row r="56" spans="1:17" ht="32" customHeight="1" x14ac:dyDescent="0.2"/>
  </sheetData>
  <conditionalFormatting sqref="I2:I262">
    <cfRule type="expression" dxfId="11" priority="3">
      <formula>AND($F2&lt;&gt;"",$I2="")</formula>
    </cfRule>
  </conditionalFormatting>
  <conditionalFormatting sqref="I2:P262">
    <cfRule type="expression" dxfId="10" priority="1">
      <formula>$P2="placeholder"</formula>
    </cfRule>
  </conditionalFormatting>
  <conditionalFormatting sqref="J2:K262">
    <cfRule type="expression" dxfId="9" priority="2">
      <formula>AND(OR($M2="triangular",$M2="uniform"),OR($J2="",$K2=""))</formula>
    </cfRule>
  </conditionalFormatting>
  <dataValidations count="4">
    <dataValidation type="list" allowBlank="1" showErrorMessage="1" sqref="B2:B262" xr:uid="{00000000-0002-0000-0600-000000000000}">
      <formula1>"design,manufacturing,circularity,location"</formula1>
    </dataValidation>
    <dataValidation type="list" allowBlank="1" showErrorMessage="1" sqref="C2:C262" xr:uid="{00000000-0002-0000-0600-000001000000}">
      <formula1>"product size,production,repair,use,end-of-life,general"</formula1>
    </dataValidation>
    <dataValidation type="list" allowBlank="1" showErrorMessage="1" sqref="M2:M262" xr:uid="{00000000-0002-0000-0600-000002000000}">
      <formula1>"fixed,triangular,uniform,choice,combination"</formula1>
    </dataValidation>
    <dataValidation type="list" allowBlank="1" showErrorMessage="1" sqref="P2:P262" xr:uid="{00000000-0002-0000-0600-000003000000}">
      <formula1>"placeholder,partner estimate,measured,literature"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6A5AF"/>
  </sheetPr>
  <dimension ref="A1:Q50"/>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161</v>
      </c>
      <c r="B2" s="7" t="s">
        <v>18</v>
      </c>
      <c r="C2" s="7" t="s">
        <v>19</v>
      </c>
      <c r="D2" s="7" t="s">
        <v>20</v>
      </c>
      <c r="E2" s="7"/>
      <c r="F2" s="7" t="s">
        <v>417</v>
      </c>
      <c r="G2" s="7" t="s">
        <v>536</v>
      </c>
      <c r="H2" s="7" t="s">
        <v>419</v>
      </c>
      <c r="I2" s="7">
        <v>0.4</v>
      </c>
      <c r="J2" s="7">
        <v>0.32</v>
      </c>
      <c r="K2" s="7">
        <v>0.48</v>
      </c>
      <c r="L2" s="7"/>
      <c r="M2" s="7" t="s">
        <v>24</v>
      </c>
      <c r="N2" s="7"/>
      <c r="O2" s="7" t="s">
        <v>537</v>
      </c>
      <c r="P2" s="7" t="s">
        <v>280</v>
      </c>
      <c r="Q2" s="7" t="s">
        <v>538</v>
      </c>
    </row>
    <row r="3" spans="1:17" ht="32" customHeight="1" x14ac:dyDescent="0.2">
      <c r="A3" s="7" t="s">
        <v>161</v>
      </c>
      <c r="B3" s="7" t="s">
        <v>18</v>
      </c>
      <c r="C3" s="7" t="s">
        <v>32</v>
      </c>
      <c r="D3" s="7" t="s">
        <v>539</v>
      </c>
      <c r="E3" s="7" t="s">
        <v>59</v>
      </c>
      <c r="F3" s="7" t="s">
        <v>35</v>
      </c>
      <c r="G3" s="8" t="s">
        <v>540</v>
      </c>
      <c r="H3" s="7" t="s">
        <v>37</v>
      </c>
      <c r="I3" s="7">
        <v>100</v>
      </c>
      <c r="J3" s="7">
        <v>100</v>
      </c>
      <c r="K3" s="7">
        <v>100</v>
      </c>
      <c r="L3" s="7"/>
      <c r="M3" s="7" t="s">
        <v>78</v>
      </c>
      <c r="N3" s="7"/>
      <c r="O3" s="7" t="s">
        <v>541</v>
      </c>
      <c r="P3" s="7" t="s">
        <v>280</v>
      </c>
      <c r="Q3" s="7" t="s">
        <v>542</v>
      </c>
    </row>
    <row r="4" spans="1:17" ht="32" customHeight="1" x14ac:dyDescent="0.2">
      <c r="A4" s="7" t="s">
        <v>161</v>
      </c>
      <c r="B4" s="7" t="s">
        <v>18</v>
      </c>
      <c r="C4" s="7" t="s">
        <v>38</v>
      </c>
      <c r="D4" s="7" t="s">
        <v>539</v>
      </c>
      <c r="E4" s="7" t="s">
        <v>59</v>
      </c>
      <c r="F4" s="7" t="s">
        <v>35</v>
      </c>
      <c r="G4" s="8" t="s">
        <v>543</v>
      </c>
      <c r="H4" s="7" t="s">
        <v>37</v>
      </c>
      <c r="I4" s="7">
        <v>100</v>
      </c>
      <c r="J4" s="7">
        <v>100</v>
      </c>
      <c r="K4" s="7">
        <v>100</v>
      </c>
      <c r="L4" s="7"/>
      <c r="M4" s="7" t="s">
        <v>78</v>
      </c>
      <c r="N4" s="7"/>
      <c r="O4" s="7" t="s">
        <v>541</v>
      </c>
      <c r="P4" s="7" t="s">
        <v>280</v>
      </c>
      <c r="Q4" s="7" t="s">
        <v>542</v>
      </c>
    </row>
    <row r="5" spans="1:17" ht="16" customHeight="1" x14ac:dyDescent="0.2">
      <c r="A5" s="7" t="s">
        <v>161</v>
      </c>
      <c r="B5" s="7" t="s">
        <v>40</v>
      </c>
      <c r="C5" s="7" t="s">
        <v>32</v>
      </c>
      <c r="D5" s="7" t="s">
        <v>544</v>
      </c>
      <c r="E5" s="7"/>
      <c r="F5" s="7" t="s">
        <v>42</v>
      </c>
      <c r="G5" s="8" t="s">
        <v>43</v>
      </c>
      <c r="H5" s="7" t="s">
        <v>44</v>
      </c>
      <c r="I5" s="7">
        <v>3000</v>
      </c>
      <c r="J5" s="7">
        <v>2400</v>
      </c>
      <c r="K5" s="7">
        <v>3600</v>
      </c>
      <c r="L5" s="7"/>
      <c r="M5" s="7" t="s">
        <v>24</v>
      </c>
      <c r="N5" s="7"/>
      <c r="O5" s="7" t="s">
        <v>545</v>
      </c>
      <c r="P5" s="7" t="s">
        <v>280</v>
      </c>
      <c r="Q5" s="7" t="s">
        <v>546</v>
      </c>
    </row>
    <row r="6" spans="1:17" ht="16" customHeight="1" x14ac:dyDescent="0.2">
      <c r="A6" s="7" t="s">
        <v>161</v>
      </c>
      <c r="B6" s="7" t="s">
        <v>40</v>
      </c>
      <c r="C6" s="7" t="s">
        <v>32</v>
      </c>
      <c r="D6" s="7" t="s">
        <v>544</v>
      </c>
      <c r="E6" s="7"/>
      <c r="F6" s="7" t="s">
        <v>46</v>
      </c>
      <c r="G6" s="8" t="s">
        <v>47</v>
      </c>
      <c r="H6" s="7" t="s">
        <v>48</v>
      </c>
      <c r="I6" s="7">
        <v>12</v>
      </c>
      <c r="J6" s="7">
        <v>9.6</v>
      </c>
      <c r="K6" s="7">
        <v>14.4</v>
      </c>
      <c r="L6" s="7"/>
      <c r="M6" s="7" t="s">
        <v>24</v>
      </c>
      <c r="N6" s="7"/>
      <c r="O6" s="7" t="s">
        <v>547</v>
      </c>
      <c r="P6" s="7" t="s">
        <v>280</v>
      </c>
      <c r="Q6" s="7" t="s">
        <v>548</v>
      </c>
    </row>
    <row r="7" spans="1:17" ht="16" customHeight="1" x14ac:dyDescent="0.2">
      <c r="A7" s="7" t="s">
        <v>161</v>
      </c>
      <c r="B7" s="7" t="s">
        <v>40</v>
      </c>
      <c r="C7" s="7" t="s">
        <v>32</v>
      </c>
      <c r="D7" s="7" t="s">
        <v>544</v>
      </c>
      <c r="E7" s="7"/>
      <c r="F7" s="7" t="s">
        <v>49</v>
      </c>
      <c r="G7" s="8" t="s">
        <v>50</v>
      </c>
      <c r="H7" s="7" t="s">
        <v>51</v>
      </c>
      <c r="I7" s="7">
        <v>15</v>
      </c>
      <c r="J7" s="7">
        <v>10</v>
      </c>
      <c r="K7" s="7">
        <v>25</v>
      </c>
      <c r="L7" s="7"/>
      <c r="M7" s="7" t="s">
        <v>24</v>
      </c>
      <c r="N7" s="7"/>
      <c r="O7" s="7" t="s">
        <v>549</v>
      </c>
      <c r="P7" s="7" t="s">
        <v>280</v>
      </c>
      <c r="Q7" s="7" t="s">
        <v>550</v>
      </c>
    </row>
    <row r="8" spans="1:17" ht="16" customHeight="1" x14ac:dyDescent="0.2">
      <c r="A8" s="7" t="s">
        <v>161</v>
      </c>
      <c r="B8" s="7" t="s">
        <v>40</v>
      </c>
      <c r="C8" s="7" t="s">
        <v>32</v>
      </c>
      <c r="D8" s="7" t="s">
        <v>544</v>
      </c>
      <c r="E8" s="7"/>
      <c r="F8" s="7" t="s">
        <v>52</v>
      </c>
      <c r="G8" s="8" t="s">
        <v>53</v>
      </c>
      <c r="H8" s="7" t="s">
        <v>54</v>
      </c>
      <c r="I8" s="7">
        <v>50000</v>
      </c>
      <c r="J8" s="7">
        <v>40000</v>
      </c>
      <c r="K8" s="7">
        <v>60000</v>
      </c>
      <c r="L8" s="7"/>
      <c r="M8" s="7" t="s">
        <v>24</v>
      </c>
      <c r="N8" s="7"/>
      <c r="O8" s="7" t="s">
        <v>551</v>
      </c>
      <c r="P8" s="7" t="s">
        <v>280</v>
      </c>
      <c r="Q8" s="7" t="s">
        <v>552</v>
      </c>
    </row>
    <row r="9" spans="1:17" ht="32" customHeight="1" x14ac:dyDescent="0.2">
      <c r="A9" s="7" t="s">
        <v>161</v>
      </c>
      <c r="B9" s="7" t="s">
        <v>40</v>
      </c>
      <c r="C9" s="7" t="s">
        <v>32</v>
      </c>
      <c r="D9" s="7" t="s">
        <v>544</v>
      </c>
      <c r="E9" s="7"/>
      <c r="F9" s="7" t="s">
        <v>55</v>
      </c>
      <c r="G9" s="8" t="s">
        <v>56</v>
      </c>
      <c r="H9" s="7" t="s">
        <v>37</v>
      </c>
      <c r="I9" s="7">
        <v>85</v>
      </c>
      <c r="J9" s="7">
        <v>70</v>
      </c>
      <c r="K9" s="7">
        <v>95</v>
      </c>
      <c r="L9" s="7"/>
      <c r="M9" s="7" t="s">
        <v>24</v>
      </c>
      <c r="N9" s="7"/>
      <c r="O9" s="7" t="s">
        <v>553</v>
      </c>
      <c r="P9" s="7" t="s">
        <v>280</v>
      </c>
      <c r="Q9" s="7" t="s">
        <v>554</v>
      </c>
    </row>
    <row r="10" spans="1:17" ht="16" customHeight="1" x14ac:dyDescent="0.2">
      <c r="A10" s="7" t="s">
        <v>161</v>
      </c>
      <c r="B10" s="7" t="s">
        <v>40</v>
      </c>
      <c r="C10" s="7" t="s">
        <v>32</v>
      </c>
      <c r="D10" s="7" t="s">
        <v>544</v>
      </c>
      <c r="E10" s="7"/>
      <c r="F10" s="7" t="s">
        <v>57</v>
      </c>
      <c r="G10" s="8" t="s">
        <v>58</v>
      </c>
      <c r="H10" s="7" t="s">
        <v>23</v>
      </c>
      <c r="I10" s="7" t="s">
        <v>59</v>
      </c>
      <c r="J10" s="7"/>
      <c r="K10" s="7"/>
      <c r="L10" s="7"/>
      <c r="M10" s="7" t="s">
        <v>60</v>
      </c>
      <c r="N10" s="7" t="s">
        <v>61</v>
      </c>
      <c r="O10" s="7" t="s">
        <v>555</v>
      </c>
      <c r="P10" s="7" t="s">
        <v>280</v>
      </c>
      <c r="Q10" s="7" t="s">
        <v>556</v>
      </c>
    </row>
    <row r="11" spans="1:17" ht="16" customHeight="1" x14ac:dyDescent="0.2">
      <c r="A11" s="7" t="s">
        <v>161</v>
      </c>
      <c r="B11" s="7" t="s">
        <v>40</v>
      </c>
      <c r="C11" s="7" t="s">
        <v>32</v>
      </c>
      <c r="D11" s="7" t="s">
        <v>557</v>
      </c>
      <c r="E11" s="7"/>
      <c r="F11" s="7" t="s">
        <v>42</v>
      </c>
      <c r="G11" s="8" t="s">
        <v>43</v>
      </c>
      <c r="H11" s="7" t="s">
        <v>44</v>
      </c>
      <c r="I11" s="7">
        <v>1500</v>
      </c>
      <c r="J11" s="7">
        <v>1200</v>
      </c>
      <c r="K11" s="7">
        <v>1800</v>
      </c>
      <c r="L11" s="7"/>
      <c r="M11" s="7" t="s">
        <v>24</v>
      </c>
      <c r="N11" s="7"/>
      <c r="O11" s="7" t="s">
        <v>558</v>
      </c>
      <c r="P11" s="7" t="s">
        <v>280</v>
      </c>
      <c r="Q11" s="7" t="s">
        <v>559</v>
      </c>
    </row>
    <row r="12" spans="1:17" ht="16" customHeight="1" x14ac:dyDescent="0.2">
      <c r="A12" s="7" t="s">
        <v>161</v>
      </c>
      <c r="B12" s="7" t="s">
        <v>40</v>
      </c>
      <c r="C12" s="7" t="s">
        <v>32</v>
      </c>
      <c r="D12" s="7" t="s">
        <v>557</v>
      </c>
      <c r="E12" s="7"/>
      <c r="F12" s="7" t="s">
        <v>46</v>
      </c>
      <c r="G12" s="8" t="s">
        <v>47</v>
      </c>
      <c r="H12" s="7" t="s">
        <v>48</v>
      </c>
      <c r="I12" s="7">
        <v>5</v>
      </c>
      <c r="J12" s="7">
        <v>4</v>
      </c>
      <c r="K12" s="7">
        <v>6</v>
      </c>
      <c r="L12" s="7"/>
      <c r="M12" s="7" t="s">
        <v>24</v>
      </c>
      <c r="N12" s="7"/>
      <c r="O12" s="7" t="s">
        <v>560</v>
      </c>
      <c r="P12" s="7" t="s">
        <v>280</v>
      </c>
      <c r="Q12" s="7" t="s">
        <v>552</v>
      </c>
    </row>
    <row r="13" spans="1:17" ht="16" customHeight="1" x14ac:dyDescent="0.2">
      <c r="A13" s="7" t="s">
        <v>161</v>
      </c>
      <c r="B13" s="7" t="s">
        <v>40</v>
      </c>
      <c r="C13" s="7" t="s">
        <v>32</v>
      </c>
      <c r="D13" s="7" t="s">
        <v>557</v>
      </c>
      <c r="E13" s="7"/>
      <c r="F13" s="7" t="s">
        <v>49</v>
      </c>
      <c r="G13" s="8" t="s">
        <v>50</v>
      </c>
      <c r="H13" s="7" t="s">
        <v>51</v>
      </c>
      <c r="I13" s="7">
        <v>6</v>
      </c>
      <c r="J13" s="7">
        <v>4</v>
      </c>
      <c r="K13" s="7">
        <v>9</v>
      </c>
      <c r="L13" s="7"/>
      <c r="M13" s="7" t="s">
        <v>24</v>
      </c>
      <c r="N13" s="7"/>
      <c r="O13" s="7" t="s">
        <v>561</v>
      </c>
      <c r="P13" s="7" t="s">
        <v>280</v>
      </c>
      <c r="Q13" s="7" t="s">
        <v>562</v>
      </c>
    </row>
    <row r="14" spans="1:17" ht="16" customHeight="1" x14ac:dyDescent="0.2">
      <c r="A14" s="7" t="s">
        <v>161</v>
      </c>
      <c r="B14" s="7" t="s">
        <v>40</v>
      </c>
      <c r="C14" s="7" t="s">
        <v>32</v>
      </c>
      <c r="D14" s="7" t="s">
        <v>557</v>
      </c>
      <c r="E14" s="7"/>
      <c r="F14" s="7" t="s">
        <v>52</v>
      </c>
      <c r="G14" s="8" t="s">
        <v>53</v>
      </c>
      <c r="H14" s="7" t="s">
        <v>54</v>
      </c>
      <c r="I14" s="7">
        <v>50000</v>
      </c>
      <c r="J14" s="7">
        <v>40000</v>
      </c>
      <c r="K14" s="7">
        <v>60000</v>
      </c>
      <c r="L14" s="7"/>
      <c r="M14" s="7" t="s">
        <v>24</v>
      </c>
      <c r="N14" s="7"/>
      <c r="O14" s="7" t="s">
        <v>563</v>
      </c>
      <c r="P14" s="7" t="s">
        <v>280</v>
      </c>
      <c r="Q14" s="7" t="s">
        <v>552</v>
      </c>
    </row>
    <row r="15" spans="1:17" ht="32" customHeight="1" x14ac:dyDescent="0.2">
      <c r="A15" s="7" t="s">
        <v>161</v>
      </c>
      <c r="B15" s="7" t="s">
        <v>40</v>
      </c>
      <c r="C15" s="7" t="s">
        <v>32</v>
      </c>
      <c r="D15" s="7" t="s">
        <v>557</v>
      </c>
      <c r="E15" s="7"/>
      <c r="F15" s="7" t="s">
        <v>55</v>
      </c>
      <c r="G15" s="8" t="s">
        <v>56</v>
      </c>
      <c r="H15" s="7" t="s">
        <v>37</v>
      </c>
      <c r="I15" s="7">
        <v>95</v>
      </c>
      <c r="J15" s="7">
        <v>88</v>
      </c>
      <c r="K15" s="7">
        <v>100</v>
      </c>
      <c r="L15" s="7"/>
      <c r="M15" s="7" t="s">
        <v>24</v>
      </c>
      <c r="N15" s="7"/>
      <c r="O15" s="7" t="s">
        <v>564</v>
      </c>
      <c r="P15" s="7" t="s">
        <v>280</v>
      </c>
      <c r="Q15" s="7" t="s">
        <v>515</v>
      </c>
    </row>
    <row r="16" spans="1:17" ht="16" customHeight="1" x14ac:dyDescent="0.2">
      <c r="A16" s="7" t="s">
        <v>161</v>
      </c>
      <c r="B16" s="7" t="s">
        <v>40</v>
      </c>
      <c r="C16" s="7" t="s">
        <v>32</v>
      </c>
      <c r="D16" s="7" t="s">
        <v>557</v>
      </c>
      <c r="E16" s="7"/>
      <c r="F16" s="7" t="s">
        <v>57</v>
      </c>
      <c r="G16" s="8" t="s">
        <v>58</v>
      </c>
      <c r="H16" s="7" t="s">
        <v>23</v>
      </c>
      <c r="I16" s="7" t="s">
        <v>59</v>
      </c>
      <c r="J16" s="7"/>
      <c r="K16" s="7"/>
      <c r="L16" s="7"/>
      <c r="M16" s="7" t="s">
        <v>60</v>
      </c>
      <c r="N16" s="7" t="s">
        <v>61</v>
      </c>
      <c r="O16" s="7" t="s">
        <v>555</v>
      </c>
      <c r="P16" s="7" t="s">
        <v>280</v>
      </c>
      <c r="Q16" s="7" t="s">
        <v>556</v>
      </c>
    </row>
    <row r="17" spans="1:17" ht="16" customHeight="1" x14ac:dyDescent="0.2">
      <c r="A17" s="7" t="s">
        <v>161</v>
      </c>
      <c r="B17" s="7" t="s">
        <v>40</v>
      </c>
      <c r="C17" s="7" t="s">
        <v>32</v>
      </c>
      <c r="D17" s="7" t="s">
        <v>565</v>
      </c>
      <c r="E17" s="7"/>
      <c r="F17" s="7" t="s">
        <v>42</v>
      </c>
      <c r="G17" s="8" t="s">
        <v>43</v>
      </c>
      <c r="H17" s="7" t="s">
        <v>44</v>
      </c>
      <c r="I17" s="7">
        <v>1200</v>
      </c>
      <c r="J17" s="7">
        <v>1000</v>
      </c>
      <c r="K17" s="7">
        <v>1500</v>
      </c>
      <c r="L17" s="7">
        <v>1900</v>
      </c>
      <c r="M17" s="7" t="s">
        <v>24</v>
      </c>
      <c r="N17" s="7"/>
      <c r="O17" s="7" t="s">
        <v>566</v>
      </c>
      <c r="P17" s="7" t="s">
        <v>280</v>
      </c>
      <c r="Q17" s="7" t="s">
        <v>567</v>
      </c>
    </row>
    <row r="18" spans="1:17" ht="16" customHeight="1" x14ac:dyDescent="0.2">
      <c r="A18" s="7" t="s">
        <v>161</v>
      </c>
      <c r="B18" s="7" t="s">
        <v>40</v>
      </c>
      <c r="C18" s="7" t="s">
        <v>32</v>
      </c>
      <c r="D18" s="7" t="s">
        <v>565</v>
      </c>
      <c r="E18" s="7"/>
      <c r="F18" s="7" t="s">
        <v>46</v>
      </c>
      <c r="G18" s="8" t="s">
        <v>47</v>
      </c>
      <c r="H18" s="7" t="s">
        <v>48</v>
      </c>
      <c r="I18" s="7">
        <v>2</v>
      </c>
      <c r="J18" s="7">
        <v>1.5</v>
      </c>
      <c r="K18" s="7">
        <v>3</v>
      </c>
      <c r="L18" s="7">
        <v>3</v>
      </c>
      <c r="M18" s="7" t="s">
        <v>24</v>
      </c>
      <c r="N18" s="7"/>
      <c r="O18" s="7" t="s">
        <v>568</v>
      </c>
      <c r="P18" s="7" t="s">
        <v>280</v>
      </c>
      <c r="Q18" s="7" t="s">
        <v>569</v>
      </c>
    </row>
    <row r="19" spans="1:17" ht="16" customHeight="1" x14ac:dyDescent="0.2">
      <c r="A19" s="7" t="s">
        <v>161</v>
      </c>
      <c r="B19" s="7" t="s">
        <v>40</v>
      </c>
      <c r="C19" s="7" t="s">
        <v>32</v>
      </c>
      <c r="D19" s="7" t="s">
        <v>565</v>
      </c>
      <c r="E19" s="7"/>
      <c r="F19" s="7" t="s">
        <v>49</v>
      </c>
      <c r="G19" s="8" t="s">
        <v>50</v>
      </c>
      <c r="H19" s="7" t="s">
        <v>51</v>
      </c>
      <c r="I19" s="7">
        <v>1.5</v>
      </c>
      <c r="J19" s="7">
        <v>1</v>
      </c>
      <c r="K19" s="7">
        <v>2.5</v>
      </c>
      <c r="L19" s="7">
        <v>5</v>
      </c>
      <c r="M19" s="7" t="s">
        <v>24</v>
      </c>
      <c r="N19" s="7"/>
      <c r="O19" s="7" t="s">
        <v>570</v>
      </c>
      <c r="P19" s="7" t="s">
        <v>280</v>
      </c>
      <c r="Q19" s="7" t="s">
        <v>571</v>
      </c>
    </row>
    <row r="20" spans="1:17" ht="16" customHeight="1" x14ac:dyDescent="0.2">
      <c r="A20" s="7" t="s">
        <v>161</v>
      </c>
      <c r="B20" s="7" t="s">
        <v>40</v>
      </c>
      <c r="C20" s="7" t="s">
        <v>32</v>
      </c>
      <c r="D20" s="7" t="s">
        <v>565</v>
      </c>
      <c r="E20" s="7"/>
      <c r="F20" s="7" t="s">
        <v>52</v>
      </c>
      <c r="G20" s="8" t="s">
        <v>53</v>
      </c>
      <c r="H20" s="7" t="s">
        <v>54</v>
      </c>
      <c r="I20" s="7">
        <v>15000</v>
      </c>
      <c r="J20" s="7">
        <v>8000</v>
      </c>
      <c r="K20" s="7">
        <v>25000</v>
      </c>
      <c r="L20" s="7">
        <v>50000</v>
      </c>
      <c r="M20" s="7" t="s">
        <v>24</v>
      </c>
      <c r="N20" s="7"/>
      <c r="O20" s="7" t="s">
        <v>572</v>
      </c>
      <c r="P20" s="7" t="s">
        <v>280</v>
      </c>
      <c r="Q20" s="7" t="s">
        <v>573</v>
      </c>
    </row>
    <row r="21" spans="1:17" ht="32" customHeight="1" x14ac:dyDescent="0.2">
      <c r="A21" s="7" t="s">
        <v>161</v>
      </c>
      <c r="B21" s="7" t="s">
        <v>40</v>
      </c>
      <c r="C21" s="7" t="s">
        <v>32</v>
      </c>
      <c r="D21" s="7" t="s">
        <v>565</v>
      </c>
      <c r="E21" s="7"/>
      <c r="F21" s="7" t="s">
        <v>55</v>
      </c>
      <c r="G21" s="8" t="s">
        <v>56</v>
      </c>
      <c r="H21" s="7" t="s">
        <v>37</v>
      </c>
      <c r="I21" s="7">
        <v>95</v>
      </c>
      <c r="J21" s="7">
        <v>85</v>
      </c>
      <c r="K21" s="7">
        <v>100</v>
      </c>
      <c r="L21" s="7"/>
      <c r="M21" s="7" t="s">
        <v>24</v>
      </c>
      <c r="N21" s="7"/>
      <c r="O21" s="7" t="s">
        <v>574</v>
      </c>
      <c r="P21" s="7" t="s">
        <v>280</v>
      </c>
      <c r="Q21" s="7" t="s">
        <v>515</v>
      </c>
    </row>
    <row r="22" spans="1:17" ht="16" customHeight="1" x14ac:dyDescent="0.2">
      <c r="A22" s="7" t="s">
        <v>161</v>
      </c>
      <c r="B22" s="7" t="s">
        <v>40</v>
      </c>
      <c r="C22" s="7" t="s">
        <v>32</v>
      </c>
      <c r="D22" s="7" t="s">
        <v>565</v>
      </c>
      <c r="E22" s="7"/>
      <c r="F22" s="7" t="s">
        <v>57</v>
      </c>
      <c r="G22" s="8" t="s">
        <v>58</v>
      </c>
      <c r="H22" s="7" t="s">
        <v>23</v>
      </c>
      <c r="I22" s="7" t="s">
        <v>59</v>
      </c>
      <c r="J22" s="7"/>
      <c r="K22" s="7"/>
      <c r="L22" s="7"/>
      <c r="M22" s="7" t="s">
        <v>60</v>
      </c>
      <c r="N22" s="7" t="s">
        <v>61</v>
      </c>
      <c r="O22" s="7" t="s">
        <v>555</v>
      </c>
      <c r="P22" s="7" t="s">
        <v>280</v>
      </c>
      <c r="Q22" s="7" t="s">
        <v>556</v>
      </c>
    </row>
    <row r="23" spans="1:17" ht="16" customHeight="1" x14ac:dyDescent="0.2">
      <c r="A23" s="7" t="s">
        <v>161</v>
      </c>
      <c r="B23" s="7" t="s">
        <v>40</v>
      </c>
      <c r="C23" s="7" t="s">
        <v>38</v>
      </c>
      <c r="D23" s="7" t="s">
        <v>544</v>
      </c>
      <c r="E23" s="7"/>
      <c r="F23" s="7" t="s">
        <v>42</v>
      </c>
      <c r="G23" s="8" t="s">
        <v>43</v>
      </c>
      <c r="H23" s="7" t="s">
        <v>44</v>
      </c>
      <c r="I23" s="7">
        <v>3000</v>
      </c>
      <c r="J23" s="7">
        <v>2400</v>
      </c>
      <c r="K23" s="7">
        <v>3600</v>
      </c>
      <c r="L23" s="7"/>
      <c r="M23" s="7" t="s">
        <v>24</v>
      </c>
      <c r="N23" s="7"/>
      <c r="O23" s="7" t="s">
        <v>575</v>
      </c>
      <c r="P23" s="7" t="s">
        <v>280</v>
      </c>
      <c r="Q23" s="7" t="s">
        <v>576</v>
      </c>
    </row>
    <row r="24" spans="1:17" ht="16" customHeight="1" x14ac:dyDescent="0.2">
      <c r="A24" s="7" t="s">
        <v>161</v>
      </c>
      <c r="B24" s="7" t="s">
        <v>40</v>
      </c>
      <c r="C24" s="7" t="s">
        <v>38</v>
      </c>
      <c r="D24" s="7" t="s">
        <v>544</v>
      </c>
      <c r="E24" s="7"/>
      <c r="F24" s="7" t="s">
        <v>46</v>
      </c>
      <c r="G24" s="8" t="s">
        <v>47</v>
      </c>
      <c r="H24" s="7" t="s">
        <v>48</v>
      </c>
      <c r="I24" s="7">
        <v>12</v>
      </c>
      <c r="J24" s="7">
        <v>9.6</v>
      </c>
      <c r="K24" s="7">
        <v>14.4</v>
      </c>
      <c r="L24" s="7"/>
      <c r="M24" s="7" t="s">
        <v>24</v>
      </c>
      <c r="N24" s="7"/>
      <c r="O24" s="7" t="s">
        <v>577</v>
      </c>
      <c r="P24" s="7" t="s">
        <v>280</v>
      </c>
      <c r="Q24" s="7" t="s">
        <v>578</v>
      </c>
    </row>
    <row r="25" spans="1:17" ht="16" customHeight="1" x14ac:dyDescent="0.2">
      <c r="A25" s="7" t="s">
        <v>161</v>
      </c>
      <c r="B25" s="7" t="s">
        <v>40</v>
      </c>
      <c r="C25" s="7" t="s">
        <v>38</v>
      </c>
      <c r="D25" s="7" t="s">
        <v>544</v>
      </c>
      <c r="E25" s="7"/>
      <c r="F25" s="7" t="s">
        <v>49</v>
      </c>
      <c r="G25" s="8" t="s">
        <v>50</v>
      </c>
      <c r="H25" s="7" t="s">
        <v>51</v>
      </c>
      <c r="I25" s="7">
        <v>15</v>
      </c>
      <c r="J25" s="7">
        <v>10</v>
      </c>
      <c r="K25" s="7">
        <v>25</v>
      </c>
      <c r="L25" s="7"/>
      <c r="M25" s="7" t="s">
        <v>24</v>
      </c>
      <c r="N25" s="7"/>
      <c r="O25" s="7" t="s">
        <v>579</v>
      </c>
      <c r="P25" s="7" t="s">
        <v>280</v>
      </c>
      <c r="Q25" s="7" t="s">
        <v>580</v>
      </c>
    </row>
    <row r="26" spans="1:17" ht="16" customHeight="1" x14ac:dyDescent="0.2">
      <c r="A26" s="7" t="s">
        <v>161</v>
      </c>
      <c r="B26" s="7" t="s">
        <v>40</v>
      </c>
      <c r="C26" s="7" t="s">
        <v>38</v>
      </c>
      <c r="D26" s="7" t="s">
        <v>544</v>
      </c>
      <c r="E26" s="7"/>
      <c r="F26" s="7" t="s">
        <v>52</v>
      </c>
      <c r="G26" s="8" t="s">
        <v>53</v>
      </c>
      <c r="H26" s="7" t="s">
        <v>54</v>
      </c>
      <c r="I26" s="7">
        <v>50000</v>
      </c>
      <c r="J26" s="7">
        <v>40000</v>
      </c>
      <c r="K26" s="7">
        <v>60000</v>
      </c>
      <c r="L26" s="7"/>
      <c r="M26" s="7" t="s">
        <v>24</v>
      </c>
      <c r="N26" s="7"/>
      <c r="O26" s="7" t="s">
        <v>581</v>
      </c>
      <c r="P26" s="7" t="s">
        <v>280</v>
      </c>
      <c r="Q26" s="7" t="s">
        <v>509</v>
      </c>
    </row>
    <row r="27" spans="1:17" ht="32" customHeight="1" x14ac:dyDescent="0.2">
      <c r="A27" s="7" t="s">
        <v>161</v>
      </c>
      <c r="B27" s="7" t="s">
        <v>40</v>
      </c>
      <c r="C27" s="7" t="s">
        <v>38</v>
      </c>
      <c r="D27" s="7" t="s">
        <v>544</v>
      </c>
      <c r="E27" s="7"/>
      <c r="F27" s="7" t="s">
        <v>55</v>
      </c>
      <c r="G27" s="8" t="s">
        <v>56</v>
      </c>
      <c r="H27" s="7" t="s">
        <v>37</v>
      </c>
      <c r="I27" s="7">
        <v>85</v>
      </c>
      <c r="J27" s="7">
        <v>70</v>
      </c>
      <c r="K27" s="7">
        <v>95</v>
      </c>
      <c r="L27" s="7"/>
      <c r="M27" s="7" t="s">
        <v>24</v>
      </c>
      <c r="N27" s="7"/>
      <c r="O27" s="7" t="s">
        <v>582</v>
      </c>
      <c r="P27" s="7" t="s">
        <v>280</v>
      </c>
      <c r="Q27" s="7" t="s">
        <v>554</v>
      </c>
    </row>
    <row r="28" spans="1:17" ht="16" customHeight="1" x14ac:dyDescent="0.2">
      <c r="A28" s="7" t="s">
        <v>161</v>
      </c>
      <c r="B28" s="7" t="s">
        <v>40</v>
      </c>
      <c r="C28" s="7" t="s">
        <v>38</v>
      </c>
      <c r="D28" s="7" t="s">
        <v>544</v>
      </c>
      <c r="E28" s="7"/>
      <c r="F28" s="7" t="s">
        <v>57</v>
      </c>
      <c r="G28" s="8" t="s">
        <v>58</v>
      </c>
      <c r="H28" s="7" t="s">
        <v>23</v>
      </c>
      <c r="I28" s="7" t="s">
        <v>59</v>
      </c>
      <c r="J28" s="7"/>
      <c r="K28" s="7"/>
      <c r="L28" s="7"/>
      <c r="M28" s="7" t="s">
        <v>60</v>
      </c>
      <c r="N28" s="7" t="s">
        <v>61</v>
      </c>
      <c r="O28" s="7" t="s">
        <v>555</v>
      </c>
      <c r="P28" s="7" t="s">
        <v>280</v>
      </c>
      <c r="Q28" s="7" t="s">
        <v>556</v>
      </c>
    </row>
    <row r="29" spans="1:17" ht="16" customHeight="1" x14ac:dyDescent="0.2">
      <c r="A29" s="7" t="s">
        <v>161</v>
      </c>
      <c r="B29" s="7" t="s">
        <v>40</v>
      </c>
      <c r="C29" s="7" t="s">
        <v>38</v>
      </c>
      <c r="D29" s="7" t="s">
        <v>557</v>
      </c>
      <c r="E29" s="7"/>
      <c r="F29" s="7" t="s">
        <v>42</v>
      </c>
      <c r="G29" s="8" t="s">
        <v>43</v>
      </c>
      <c r="H29" s="7" t="s">
        <v>44</v>
      </c>
      <c r="I29" s="7">
        <v>1500</v>
      </c>
      <c r="J29" s="7">
        <v>1200</v>
      </c>
      <c r="K29" s="7">
        <v>1800</v>
      </c>
      <c r="L29" s="7"/>
      <c r="M29" s="7" t="s">
        <v>24</v>
      </c>
      <c r="N29" s="7"/>
      <c r="O29" s="7" t="s">
        <v>583</v>
      </c>
      <c r="P29" s="7" t="s">
        <v>280</v>
      </c>
      <c r="Q29" s="7" t="s">
        <v>584</v>
      </c>
    </row>
    <row r="30" spans="1:17" ht="16" customHeight="1" x14ac:dyDescent="0.2">
      <c r="A30" s="7" t="s">
        <v>161</v>
      </c>
      <c r="B30" s="7" t="s">
        <v>40</v>
      </c>
      <c r="C30" s="7" t="s">
        <v>38</v>
      </c>
      <c r="D30" s="7" t="s">
        <v>557</v>
      </c>
      <c r="E30" s="7"/>
      <c r="F30" s="7" t="s">
        <v>46</v>
      </c>
      <c r="G30" s="8" t="s">
        <v>47</v>
      </c>
      <c r="H30" s="7" t="s">
        <v>48</v>
      </c>
      <c r="I30" s="7">
        <v>5</v>
      </c>
      <c r="J30" s="7">
        <v>4</v>
      </c>
      <c r="K30" s="7">
        <v>6</v>
      </c>
      <c r="L30" s="7"/>
      <c r="M30" s="7" t="s">
        <v>24</v>
      </c>
      <c r="N30" s="7"/>
      <c r="O30" s="7" t="s">
        <v>585</v>
      </c>
      <c r="P30" s="7" t="s">
        <v>280</v>
      </c>
      <c r="Q30" s="7" t="s">
        <v>509</v>
      </c>
    </row>
    <row r="31" spans="1:17" ht="16" customHeight="1" x14ac:dyDescent="0.2">
      <c r="A31" s="7" t="s">
        <v>161</v>
      </c>
      <c r="B31" s="7" t="s">
        <v>40</v>
      </c>
      <c r="C31" s="7" t="s">
        <v>38</v>
      </c>
      <c r="D31" s="7" t="s">
        <v>557</v>
      </c>
      <c r="E31" s="7"/>
      <c r="F31" s="7" t="s">
        <v>49</v>
      </c>
      <c r="G31" s="8" t="s">
        <v>50</v>
      </c>
      <c r="H31" s="7" t="s">
        <v>51</v>
      </c>
      <c r="I31" s="7">
        <v>6</v>
      </c>
      <c r="J31" s="7">
        <v>4</v>
      </c>
      <c r="K31" s="7">
        <v>9</v>
      </c>
      <c r="L31" s="7"/>
      <c r="M31" s="7" t="s">
        <v>24</v>
      </c>
      <c r="N31" s="7"/>
      <c r="O31" s="7" t="s">
        <v>586</v>
      </c>
      <c r="P31" s="7" t="s">
        <v>280</v>
      </c>
      <c r="Q31" s="7" t="s">
        <v>587</v>
      </c>
    </row>
    <row r="32" spans="1:17" ht="16" customHeight="1" x14ac:dyDescent="0.2">
      <c r="A32" s="7" t="s">
        <v>161</v>
      </c>
      <c r="B32" s="7" t="s">
        <v>40</v>
      </c>
      <c r="C32" s="7" t="s">
        <v>38</v>
      </c>
      <c r="D32" s="7" t="s">
        <v>557</v>
      </c>
      <c r="E32" s="7"/>
      <c r="F32" s="7" t="s">
        <v>52</v>
      </c>
      <c r="G32" s="8" t="s">
        <v>53</v>
      </c>
      <c r="H32" s="7" t="s">
        <v>54</v>
      </c>
      <c r="I32" s="7">
        <v>50000</v>
      </c>
      <c r="J32" s="7">
        <v>40000</v>
      </c>
      <c r="K32" s="7">
        <v>60000</v>
      </c>
      <c r="L32" s="7"/>
      <c r="M32" s="7" t="s">
        <v>24</v>
      </c>
      <c r="N32" s="7"/>
      <c r="O32" s="7" t="s">
        <v>588</v>
      </c>
      <c r="P32" s="7" t="s">
        <v>280</v>
      </c>
      <c r="Q32" s="7" t="s">
        <v>509</v>
      </c>
    </row>
    <row r="33" spans="1:17" ht="32" customHeight="1" x14ac:dyDescent="0.2">
      <c r="A33" s="7" t="s">
        <v>161</v>
      </c>
      <c r="B33" s="7" t="s">
        <v>40</v>
      </c>
      <c r="C33" s="7" t="s">
        <v>38</v>
      </c>
      <c r="D33" s="7" t="s">
        <v>557</v>
      </c>
      <c r="E33" s="7"/>
      <c r="F33" s="7" t="s">
        <v>55</v>
      </c>
      <c r="G33" s="8" t="s">
        <v>56</v>
      </c>
      <c r="H33" s="7" t="s">
        <v>37</v>
      </c>
      <c r="I33" s="7">
        <v>95</v>
      </c>
      <c r="J33" s="7">
        <v>88</v>
      </c>
      <c r="K33" s="7">
        <v>100</v>
      </c>
      <c r="L33" s="7"/>
      <c r="M33" s="7" t="s">
        <v>24</v>
      </c>
      <c r="N33" s="7"/>
      <c r="O33" s="7" t="s">
        <v>589</v>
      </c>
      <c r="P33" s="7" t="s">
        <v>280</v>
      </c>
      <c r="Q33" s="7" t="s">
        <v>515</v>
      </c>
    </row>
    <row r="34" spans="1:17" ht="16" customHeight="1" x14ac:dyDescent="0.2">
      <c r="A34" s="7" t="s">
        <v>161</v>
      </c>
      <c r="B34" s="7" t="s">
        <v>40</v>
      </c>
      <c r="C34" s="7" t="s">
        <v>38</v>
      </c>
      <c r="D34" s="7" t="s">
        <v>557</v>
      </c>
      <c r="E34" s="7"/>
      <c r="F34" s="7" t="s">
        <v>57</v>
      </c>
      <c r="G34" s="8" t="s">
        <v>58</v>
      </c>
      <c r="H34" s="7" t="s">
        <v>23</v>
      </c>
      <c r="I34" s="7" t="s">
        <v>59</v>
      </c>
      <c r="J34" s="7"/>
      <c r="K34" s="7"/>
      <c r="L34" s="7"/>
      <c r="M34" s="7" t="s">
        <v>60</v>
      </c>
      <c r="N34" s="7" t="s">
        <v>61</v>
      </c>
      <c r="O34" s="7" t="s">
        <v>555</v>
      </c>
      <c r="P34" s="7" t="s">
        <v>280</v>
      </c>
      <c r="Q34" s="7" t="s">
        <v>556</v>
      </c>
    </row>
    <row r="35" spans="1:17" ht="16" customHeight="1" x14ac:dyDescent="0.2">
      <c r="A35" s="7" t="s">
        <v>161</v>
      </c>
      <c r="B35" s="7" t="s">
        <v>40</v>
      </c>
      <c r="C35" s="7" t="s">
        <v>38</v>
      </c>
      <c r="D35" s="7" t="s">
        <v>565</v>
      </c>
      <c r="E35" s="7"/>
      <c r="F35" s="7" t="s">
        <v>42</v>
      </c>
      <c r="G35" s="8" t="s">
        <v>43</v>
      </c>
      <c r="H35" s="7" t="s">
        <v>44</v>
      </c>
      <c r="I35" s="7">
        <v>1200</v>
      </c>
      <c r="J35" s="7">
        <v>1000</v>
      </c>
      <c r="K35" s="7">
        <v>1500</v>
      </c>
      <c r="L35" s="7"/>
      <c r="M35" s="7" t="s">
        <v>24</v>
      </c>
      <c r="N35" s="7"/>
      <c r="O35" s="7" t="s">
        <v>590</v>
      </c>
      <c r="P35" s="7" t="s">
        <v>280</v>
      </c>
      <c r="Q35" s="7" t="s">
        <v>591</v>
      </c>
    </row>
    <row r="36" spans="1:17" ht="16" customHeight="1" x14ac:dyDescent="0.2">
      <c r="A36" s="7" t="s">
        <v>161</v>
      </c>
      <c r="B36" s="7" t="s">
        <v>40</v>
      </c>
      <c r="C36" s="7" t="s">
        <v>38</v>
      </c>
      <c r="D36" s="7" t="s">
        <v>565</v>
      </c>
      <c r="E36" s="7"/>
      <c r="F36" s="7" t="s">
        <v>46</v>
      </c>
      <c r="G36" s="8" t="s">
        <v>47</v>
      </c>
      <c r="H36" s="7" t="s">
        <v>48</v>
      </c>
      <c r="I36" s="7">
        <v>2</v>
      </c>
      <c r="J36" s="7">
        <v>1.5</v>
      </c>
      <c r="K36" s="7">
        <v>3</v>
      </c>
      <c r="L36" s="7"/>
      <c r="M36" s="7" t="s">
        <v>24</v>
      </c>
      <c r="N36" s="7"/>
      <c r="O36" s="7" t="s">
        <v>592</v>
      </c>
      <c r="P36" s="7" t="s">
        <v>280</v>
      </c>
      <c r="Q36" s="7" t="s">
        <v>593</v>
      </c>
    </row>
    <row r="37" spans="1:17" ht="16" customHeight="1" x14ac:dyDescent="0.2">
      <c r="A37" s="7" t="s">
        <v>161</v>
      </c>
      <c r="B37" s="7" t="s">
        <v>40</v>
      </c>
      <c r="C37" s="7" t="s">
        <v>38</v>
      </c>
      <c r="D37" s="7" t="s">
        <v>565</v>
      </c>
      <c r="E37" s="7"/>
      <c r="F37" s="7" t="s">
        <v>49</v>
      </c>
      <c r="G37" s="8" t="s">
        <v>50</v>
      </c>
      <c r="H37" s="7" t="s">
        <v>51</v>
      </c>
      <c r="I37" s="7">
        <v>1.5</v>
      </c>
      <c r="J37" s="7">
        <v>1</v>
      </c>
      <c r="K37" s="7">
        <v>2.5</v>
      </c>
      <c r="L37" s="7"/>
      <c r="M37" s="7" t="s">
        <v>24</v>
      </c>
      <c r="N37" s="7"/>
      <c r="O37" s="7" t="s">
        <v>594</v>
      </c>
      <c r="P37" s="7" t="s">
        <v>280</v>
      </c>
      <c r="Q37" s="7" t="s">
        <v>595</v>
      </c>
    </row>
    <row r="38" spans="1:17" ht="16" customHeight="1" x14ac:dyDescent="0.2">
      <c r="A38" s="7" t="s">
        <v>161</v>
      </c>
      <c r="B38" s="7" t="s">
        <v>40</v>
      </c>
      <c r="C38" s="7" t="s">
        <v>38</v>
      </c>
      <c r="D38" s="7" t="s">
        <v>565</v>
      </c>
      <c r="E38" s="7"/>
      <c r="F38" s="7" t="s">
        <v>52</v>
      </c>
      <c r="G38" s="8" t="s">
        <v>53</v>
      </c>
      <c r="H38" s="7" t="s">
        <v>54</v>
      </c>
      <c r="I38" s="7">
        <v>15000</v>
      </c>
      <c r="J38" s="7">
        <v>8000</v>
      </c>
      <c r="K38" s="7">
        <v>25000</v>
      </c>
      <c r="L38" s="7"/>
      <c r="M38" s="7" t="s">
        <v>24</v>
      </c>
      <c r="N38" s="7"/>
      <c r="O38" s="7" t="s">
        <v>596</v>
      </c>
      <c r="P38" s="7" t="s">
        <v>280</v>
      </c>
      <c r="Q38" s="7" t="s">
        <v>597</v>
      </c>
    </row>
    <row r="39" spans="1:17" ht="32" customHeight="1" x14ac:dyDescent="0.2">
      <c r="A39" s="7" t="s">
        <v>161</v>
      </c>
      <c r="B39" s="7" t="s">
        <v>40</v>
      </c>
      <c r="C39" s="7" t="s">
        <v>38</v>
      </c>
      <c r="D39" s="7" t="s">
        <v>565</v>
      </c>
      <c r="E39" s="7"/>
      <c r="F39" s="7" t="s">
        <v>55</v>
      </c>
      <c r="G39" s="8" t="s">
        <v>56</v>
      </c>
      <c r="H39" s="7" t="s">
        <v>37</v>
      </c>
      <c r="I39" s="7">
        <v>95</v>
      </c>
      <c r="J39" s="7">
        <v>85</v>
      </c>
      <c r="K39" s="7">
        <v>100</v>
      </c>
      <c r="L39" s="7"/>
      <c r="M39" s="7" t="s">
        <v>24</v>
      </c>
      <c r="N39" s="7"/>
      <c r="O39" s="7" t="s">
        <v>598</v>
      </c>
      <c r="P39" s="7" t="s">
        <v>280</v>
      </c>
      <c r="Q39" s="7" t="s">
        <v>515</v>
      </c>
    </row>
    <row r="40" spans="1:17" ht="16" customHeight="1" x14ac:dyDescent="0.2">
      <c r="A40" s="7" t="s">
        <v>161</v>
      </c>
      <c r="B40" s="7" t="s">
        <v>40</v>
      </c>
      <c r="C40" s="7" t="s">
        <v>38</v>
      </c>
      <c r="D40" s="7" t="s">
        <v>565</v>
      </c>
      <c r="E40" s="7"/>
      <c r="F40" s="7" t="s">
        <v>57</v>
      </c>
      <c r="G40" s="8" t="s">
        <v>58</v>
      </c>
      <c r="H40" s="7" t="s">
        <v>23</v>
      </c>
      <c r="I40" s="7" t="s">
        <v>59</v>
      </c>
      <c r="J40" s="7"/>
      <c r="K40" s="7"/>
      <c r="L40" s="7"/>
      <c r="M40" s="7" t="s">
        <v>60</v>
      </c>
      <c r="N40" s="7" t="s">
        <v>61</v>
      </c>
      <c r="O40" s="7" t="s">
        <v>555</v>
      </c>
      <c r="P40" s="7" t="s">
        <v>280</v>
      </c>
      <c r="Q40" s="7" t="s">
        <v>556</v>
      </c>
    </row>
    <row r="41" spans="1:17" ht="16" customHeight="1" x14ac:dyDescent="0.2">
      <c r="A41" s="7" t="s">
        <v>161</v>
      </c>
      <c r="B41" s="7" t="s">
        <v>63</v>
      </c>
      <c r="C41" s="7" t="s">
        <v>64</v>
      </c>
      <c r="D41" s="7" t="s">
        <v>20</v>
      </c>
      <c r="E41" s="7"/>
      <c r="F41" s="7" t="s">
        <v>65</v>
      </c>
      <c r="G41" s="8" t="s">
        <v>66</v>
      </c>
      <c r="H41" s="7" t="s">
        <v>67</v>
      </c>
      <c r="I41" s="7">
        <v>15</v>
      </c>
      <c r="J41" s="7">
        <v>8</v>
      </c>
      <c r="K41" s="7">
        <v>20</v>
      </c>
      <c r="L41" s="7"/>
      <c r="M41" s="7" t="s">
        <v>24</v>
      </c>
      <c r="N41" s="7"/>
      <c r="O41" s="7" t="s">
        <v>599</v>
      </c>
      <c r="P41" s="7" t="s">
        <v>280</v>
      </c>
      <c r="Q41" s="7" t="s">
        <v>600</v>
      </c>
    </row>
    <row r="42" spans="1:17" ht="16" customHeight="1" x14ac:dyDescent="0.2">
      <c r="A42" s="7" t="s">
        <v>161</v>
      </c>
      <c r="B42" s="7" t="s">
        <v>63</v>
      </c>
      <c r="C42" s="7" t="s">
        <v>64</v>
      </c>
      <c r="D42" s="7" t="s">
        <v>20</v>
      </c>
      <c r="E42" s="7"/>
      <c r="F42" s="7" t="s">
        <v>68</v>
      </c>
      <c r="G42" s="8" t="s">
        <v>69</v>
      </c>
      <c r="H42" s="7" t="s">
        <v>67</v>
      </c>
      <c r="I42" s="7">
        <v>7.5</v>
      </c>
      <c r="J42" s="7">
        <v>5</v>
      </c>
      <c r="K42" s="7">
        <v>10</v>
      </c>
      <c r="L42" s="7"/>
      <c r="M42" s="7" t="s">
        <v>24</v>
      </c>
      <c r="N42" s="7"/>
      <c r="O42" s="7" t="s">
        <v>601</v>
      </c>
      <c r="P42" s="7" t="s">
        <v>280</v>
      </c>
      <c r="Q42" s="7" t="s">
        <v>602</v>
      </c>
    </row>
    <row r="43" spans="1:17" ht="16" customHeight="1" x14ac:dyDescent="0.2">
      <c r="A43" s="7" t="s">
        <v>161</v>
      </c>
      <c r="B43" s="7" t="s">
        <v>63</v>
      </c>
      <c r="C43" s="7" t="s">
        <v>38</v>
      </c>
      <c r="D43" s="7" t="s">
        <v>70</v>
      </c>
      <c r="E43" s="7"/>
      <c r="F43" s="7" t="s">
        <v>71</v>
      </c>
      <c r="G43" s="8" t="s">
        <v>72</v>
      </c>
      <c r="H43" s="7" t="s">
        <v>37</v>
      </c>
      <c r="I43" s="7">
        <v>10</v>
      </c>
      <c r="J43" s="7">
        <v>5</v>
      </c>
      <c r="K43" s="7">
        <v>15</v>
      </c>
      <c r="L43" s="7"/>
      <c r="M43" s="7" t="s">
        <v>24</v>
      </c>
      <c r="N43" s="7"/>
      <c r="O43" s="7" t="s">
        <v>603</v>
      </c>
      <c r="P43" s="7" t="s">
        <v>280</v>
      </c>
      <c r="Q43" s="7" t="s">
        <v>604</v>
      </c>
    </row>
    <row r="44" spans="1:17" ht="16" customHeight="1" x14ac:dyDescent="0.2">
      <c r="A44" s="7" t="s">
        <v>161</v>
      </c>
      <c r="B44" s="7" t="s">
        <v>63</v>
      </c>
      <c r="C44" s="7" t="s">
        <v>73</v>
      </c>
      <c r="D44" s="7" t="s">
        <v>74</v>
      </c>
      <c r="E44" s="7" t="s">
        <v>75</v>
      </c>
      <c r="F44" s="7" t="s">
        <v>76</v>
      </c>
      <c r="G44" s="8" t="s">
        <v>77</v>
      </c>
      <c r="H44" s="7" t="s">
        <v>37</v>
      </c>
      <c r="I44" s="7">
        <v>0</v>
      </c>
      <c r="J44" s="7">
        <v>0</v>
      </c>
      <c r="K44" s="7">
        <v>0</v>
      </c>
      <c r="L44" s="7">
        <v>0</v>
      </c>
      <c r="M44" s="7" t="s">
        <v>78</v>
      </c>
      <c r="N44" s="7"/>
      <c r="O44" s="7" t="s">
        <v>605</v>
      </c>
      <c r="P44" s="7" t="s">
        <v>280</v>
      </c>
      <c r="Q44" s="7" t="s">
        <v>606</v>
      </c>
    </row>
    <row r="45" spans="1:17" ht="32" customHeight="1" x14ac:dyDescent="0.2">
      <c r="A45" s="7" t="s">
        <v>161</v>
      </c>
      <c r="B45" s="7" t="s">
        <v>63</v>
      </c>
      <c r="C45" s="7" t="s">
        <v>73</v>
      </c>
      <c r="D45" s="7" t="s">
        <v>74</v>
      </c>
      <c r="E45" s="7" t="s">
        <v>79</v>
      </c>
      <c r="F45" s="7" t="s">
        <v>76</v>
      </c>
      <c r="G45" s="8" t="s">
        <v>80</v>
      </c>
      <c r="H45" s="7" t="s">
        <v>37</v>
      </c>
      <c r="I45" s="7">
        <v>25</v>
      </c>
      <c r="J45" s="7">
        <v>10</v>
      </c>
      <c r="K45" s="7">
        <v>40</v>
      </c>
      <c r="L45" s="7">
        <v>35</v>
      </c>
      <c r="M45" s="7" t="s">
        <v>24</v>
      </c>
      <c r="N45" s="7"/>
      <c r="O45" s="7" t="s">
        <v>605</v>
      </c>
      <c r="P45" s="7" t="s">
        <v>280</v>
      </c>
      <c r="Q45" s="7" t="s">
        <v>607</v>
      </c>
    </row>
    <row r="46" spans="1:17" ht="32" customHeight="1" x14ac:dyDescent="0.2">
      <c r="A46" s="7" t="s">
        <v>161</v>
      </c>
      <c r="B46" s="7" t="s">
        <v>63</v>
      </c>
      <c r="C46" s="7" t="s">
        <v>73</v>
      </c>
      <c r="D46" s="7" t="s">
        <v>74</v>
      </c>
      <c r="E46" s="7" t="s">
        <v>81</v>
      </c>
      <c r="F46" s="7" t="s">
        <v>76</v>
      </c>
      <c r="G46" s="8" t="s">
        <v>82</v>
      </c>
      <c r="H46" s="7" t="s">
        <v>37</v>
      </c>
      <c r="I46" s="7">
        <v>2</v>
      </c>
      <c r="J46" s="7">
        <v>0</v>
      </c>
      <c r="K46" s="7">
        <v>10</v>
      </c>
      <c r="L46" s="7">
        <v>25</v>
      </c>
      <c r="M46" s="7" t="s">
        <v>24</v>
      </c>
      <c r="N46" s="7"/>
      <c r="O46" s="7" t="s">
        <v>605</v>
      </c>
      <c r="P46" s="7" t="s">
        <v>280</v>
      </c>
      <c r="Q46" s="7" t="s">
        <v>608</v>
      </c>
    </row>
    <row r="47" spans="1:17" ht="32" customHeight="1" x14ac:dyDescent="0.2">
      <c r="A47" s="7" t="s">
        <v>161</v>
      </c>
      <c r="B47" s="7" t="s">
        <v>63</v>
      </c>
      <c r="C47" s="7" t="s">
        <v>73</v>
      </c>
      <c r="D47" s="7" t="s">
        <v>74</v>
      </c>
      <c r="E47" s="7" t="s">
        <v>83</v>
      </c>
      <c r="F47" s="7" t="s">
        <v>76</v>
      </c>
      <c r="G47" s="8" t="s">
        <v>84</v>
      </c>
      <c r="H47" s="7" t="s">
        <v>37</v>
      </c>
      <c r="I47" s="7">
        <v>40</v>
      </c>
      <c r="J47" s="7">
        <v>25</v>
      </c>
      <c r="K47" s="7">
        <v>55</v>
      </c>
      <c r="L47" s="7">
        <v>30</v>
      </c>
      <c r="M47" s="7" t="s">
        <v>24</v>
      </c>
      <c r="N47" s="7"/>
      <c r="O47" s="7" t="s">
        <v>605</v>
      </c>
      <c r="P47" s="7" t="s">
        <v>280</v>
      </c>
      <c r="Q47" s="7" t="s">
        <v>609</v>
      </c>
    </row>
    <row r="48" spans="1:17" ht="32" customHeight="1" x14ac:dyDescent="0.2">
      <c r="A48" s="7" t="s">
        <v>161</v>
      </c>
      <c r="B48" s="7" t="s">
        <v>63</v>
      </c>
      <c r="C48" s="7" t="s">
        <v>73</v>
      </c>
      <c r="D48" s="7" t="s">
        <v>74</v>
      </c>
      <c r="E48" s="7" t="s">
        <v>85</v>
      </c>
      <c r="F48" s="7" t="s">
        <v>76</v>
      </c>
      <c r="G48" s="8" t="s">
        <v>86</v>
      </c>
      <c r="H48" s="7" t="s">
        <v>37</v>
      </c>
      <c r="I48" s="7">
        <v>33</v>
      </c>
      <c r="J48" s="7">
        <v>15</v>
      </c>
      <c r="K48" s="7">
        <v>45</v>
      </c>
      <c r="L48" s="7">
        <v>10</v>
      </c>
      <c r="M48" s="7" t="s">
        <v>24</v>
      </c>
      <c r="N48" s="7"/>
      <c r="O48" s="7" t="s">
        <v>605</v>
      </c>
      <c r="P48" s="7" t="s">
        <v>280</v>
      </c>
      <c r="Q48" s="7" t="s">
        <v>610</v>
      </c>
    </row>
    <row r="49" spans="1:17" ht="32" customHeight="1" x14ac:dyDescent="0.2">
      <c r="A49" s="7" t="s">
        <v>161</v>
      </c>
      <c r="B49" s="7" t="s">
        <v>87</v>
      </c>
      <c r="C49" s="7" t="s">
        <v>88</v>
      </c>
      <c r="D49" s="7" t="s">
        <v>20</v>
      </c>
      <c r="E49" s="7"/>
      <c r="F49" s="7" t="s">
        <v>87</v>
      </c>
      <c r="G49" s="8" t="s">
        <v>89</v>
      </c>
      <c r="H49" s="7" t="s">
        <v>90</v>
      </c>
      <c r="I49" s="7" t="s">
        <v>91</v>
      </c>
      <c r="J49" s="7"/>
      <c r="K49" s="7"/>
      <c r="L49" s="7"/>
      <c r="M49" s="7" t="s">
        <v>60</v>
      </c>
      <c r="N49" s="7"/>
      <c r="O49" s="7" t="s">
        <v>534</v>
      </c>
      <c r="P49" s="7" t="s">
        <v>280</v>
      </c>
      <c r="Q49" s="7" t="s">
        <v>611</v>
      </c>
    </row>
    <row r="50" spans="1:17" ht="32" customHeight="1" x14ac:dyDescent="0.2"/>
  </sheetData>
  <conditionalFormatting sqref="I2:I256">
    <cfRule type="expression" dxfId="8" priority="3">
      <formula>AND($F2&lt;&gt;"",$I2="")</formula>
    </cfRule>
  </conditionalFormatting>
  <conditionalFormatting sqref="I2:P256">
    <cfRule type="expression" dxfId="7" priority="1">
      <formula>$P2="placeholder"</formula>
    </cfRule>
  </conditionalFormatting>
  <conditionalFormatting sqref="J2:K256">
    <cfRule type="expression" dxfId="6" priority="2">
      <formula>AND(OR($M2="triangular",$M2="uniform"),OR($J2="",$K2=""))</formula>
    </cfRule>
  </conditionalFormatting>
  <dataValidations count="4">
    <dataValidation type="list" allowBlank="1" showErrorMessage="1" sqref="B2:B256" xr:uid="{00000000-0002-0000-0700-000000000000}">
      <formula1>"design,manufacturing,circularity,location"</formula1>
    </dataValidation>
    <dataValidation type="list" allowBlank="1" showErrorMessage="1" sqref="C2:C256" xr:uid="{00000000-0002-0000-0700-000001000000}">
      <formula1>"product size,production,repair,use,end-of-life,general"</formula1>
    </dataValidation>
    <dataValidation type="list" allowBlank="1" showErrorMessage="1" sqref="M2:M256" xr:uid="{00000000-0002-0000-0700-000002000000}">
      <formula1>"fixed,triangular,uniform,choice,combination"</formula1>
    </dataValidation>
    <dataValidation type="list" allowBlank="1" showErrorMessage="1" sqref="P2:P256" xr:uid="{00000000-0002-0000-0700-000003000000}">
      <formula1>"placeholder,partner estimate,measured,literature"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6A5AF"/>
  </sheetPr>
  <dimension ref="A1:Q40"/>
  <sheetViews>
    <sheetView workbookViewId="0">
      <pane xSplit="6" ySplit="1" topLeftCell="G2" activePane="bottomRight" state="frozen"/>
      <selection pane="topRight"/>
      <selection pane="bottomLeft"/>
      <selection pane="bottomRight" activeCell="G24" sqref="G24"/>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17</v>
      </c>
      <c r="B2" s="7" t="s">
        <v>18</v>
      </c>
      <c r="C2" s="7" t="s">
        <v>19</v>
      </c>
      <c r="D2" s="7" t="s">
        <v>20</v>
      </c>
      <c r="E2" s="7"/>
      <c r="F2" s="7" t="s">
        <v>21</v>
      </c>
      <c r="G2" s="7" t="s">
        <v>22</v>
      </c>
      <c r="H2" s="7" t="s">
        <v>23</v>
      </c>
      <c r="I2" s="7">
        <v>20</v>
      </c>
      <c r="J2" s="7">
        <v>16</v>
      </c>
      <c r="K2" s="7">
        <v>24</v>
      </c>
      <c r="L2" s="7"/>
      <c r="M2" s="7" t="s">
        <v>24</v>
      </c>
      <c r="N2" s="7"/>
      <c r="O2" s="7" t="s">
        <v>25</v>
      </c>
      <c r="P2" s="7" t="s">
        <v>26</v>
      </c>
      <c r="Q2" s="7"/>
    </row>
    <row r="3" spans="1:17" ht="16" customHeight="1" x14ac:dyDescent="0.2">
      <c r="A3" s="7" t="s">
        <v>17</v>
      </c>
      <c r="B3" s="7" t="s">
        <v>18</v>
      </c>
      <c r="C3" s="7" t="s">
        <v>19</v>
      </c>
      <c r="D3" s="7" t="s">
        <v>20</v>
      </c>
      <c r="E3" s="7"/>
      <c r="F3" s="7" t="s">
        <v>27</v>
      </c>
      <c r="G3" s="7" t="s">
        <v>28</v>
      </c>
      <c r="H3" s="7" t="s">
        <v>23</v>
      </c>
      <c r="I3" s="7">
        <v>3</v>
      </c>
      <c r="J3" s="7">
        <v>2.4</v>
      </c>
      <c r="K3" s="7">
        <v>3.6</v>
      </c>
      <c r="L3" s="7"/>
      <c r="M3" s="7" t="s">
        <v>24</v>
      </c>
      <c r="N3" s="7"/>
      <c r="O3" s="7" t="s">
        <v>25</v>
      </c>
      <c r="P3" s="7" t="s">
        <v>26</v>
      </c>
      <c r="Q3" s="7"/>
    </row>
    <row r="4" spans="1:17" ht="16" customHeight="1" x14ac:dyDescent="0.2">
      <c r="A4" s="7" t="s">
        <v>17</v>
      </c>
      <c r="B4" s="7" t="s">
        <v>18</v>
      </c>
      <c r="C4" s="7" t="s">
        <v>19</v>
      </c>
      <c r="D4" s="7" t="s">
        <v>20</v>
      </c>
      <c r="E4" s="7"/>
      <c r="F4" s="7" t="s">
        <v>29</v>
      </c>
      <c r="G4" s="7" t="s">
        <v>30</v>
      </c>
      <c r="H4" s="7" t="s">
        <v>31</v>
      </c>
      <c r="I4" s="7">
        <v>480</v>
      </c>
      <c r="J4" s="7">
        <v>384</v>
      </c>
      <c r="K4" s="7">
        <v>576</v>
      </c>
      <c r="L4" s="7"/>
      <c r="M4" s="7" t="s">
        <v>24</v>
      </c>
      <c r="N4" s="7"/>
      <c r="O4" s="7" t="s">
        <v>25</v>
      </c>
      <c r="P4" s="7" t="s">
        <v>26</v>
      </c>
      <c r="Q4" s="7"/>
    </row>
    <row r="5" spans="1:17" ht="32" customHeight="1" x14ac:dyDescent="0.2">
      <c r="A5" s="7" t="s">
        <v>17</v>
      </c>
      <c r="B5" s="7" t="s">
        <v>18</v>
      </c>
      <c r="C5" s="7" t="s">
        <v>32</v>
      </c>
      <c r="D5" s="7" t="s">
        <v>33</v>
      </c>
      <c r="E5" s="7" t="s">
        <v>34</v>
      </c>
      <c r="F5" s="7" t="s">
        <v>35</v>
      </c>
      <c r="G5" s="8" t="s">
        <v>36</v>
      </c>
      <c r="H5" s="7" t="s">
        <v>37</v>
      </c>
      <c r="I5" s="7">
        <v>100</v>
      </c>
      <c r="J5" s="7">
        <v>80</v>
      </c>
      <c r="K5" s="7">
        <v>100</v>
      </c>
      <c r="L5" s="7"/>
      <c r="M5" s="7" t="s">
        <v>24</v>
      </c>
      <c r="N5" s="7"/>
      <c r="O5" s="7"/>
      <c r="P5" s="7" t="s">
        <v>26</v>
      </c>
      <c r="Q5" s="7"/>
    </row>
    <row r="6" spans="1:17" ht="32" customHeight="1" x14ac:dyDescent="0.2">
      <c r="A6" s="7" t="s">
        <v>17</v>
      </c>
      <c r="B6" s="7" t="s">
        <v>18</v>
      </c>
      <c r="C6" s="7" t="s">
        <v>38</v>
      </c>
      <c r="D6" s="7" t="s">
        <v>33</v>
      </c>
      <c r="E6" s="7" t="s">
        <v>34</v>
      </c>
      <c r="F6" s="7" t="s">
        <v>35</v>
      </c>
      <c r="G6" s="8" t="s">
        <v>39</v>
      </c>
      <c r="H6" s="7" t="s">
        <v>37</v>
      </c>
      <c r="I6" s="7">
        <v>100</v>
      </c>
      <c r="J6" s="7">
        <v>80</v>
      </c>
      <c r="K6" s="7">
        <v>100</v>
      </c>
      <c r="L6" s="7"/>
      <c r="M6" s="7" t="s">
        <v>24</v>
      </c>
      <c r="N6" s="7"/>
      <c r="O6" s="7"/>
      <c r="P6" s="7" t="s">
        <v>26</v>
      </c>
      <c r="Q6" s="7"/>
    </row>
    <row r="7" spans="1:17" ht="16" customHeight="1" x14ac:dyDescent="0.2">
      <c r="A7" s="7" t="s">
        <v>17</v>
      </c>
      <c r="B7" s="7" t="s">
        <v>40</v>
      </c>
      <c r="C7" s="7" t="s">
        <v>32</v>
      </c>
      <c r="D7" s="7" t="s">
        <v>41</v>
      </c>
      <c r="E7" s="7"/>
      <c r="F7" s="7" t="s">
        <v>42</v>
      </c>
      <c r="G7" s="8" t="s">
        <v>43</v>
      </c>
      <c r="H7" s="7" t="s">
        <v>44</v>
      </c>
      <c r="I7" s="7">
        <v>2000</v>
      </c>
      <c r="J7" s="7">
        <v>1600</v>
      </c>
      <c r="K7" s="7">
        <v>2400</v>
      </c>
      <c r="L7" s="7"/>
      <c r="M7" s="7" t="s">
        <v>24</v>
      </c>
      <c r="N7" s="7"/>
      <c r="O7" s="7" t="s">
        <v>45</v>
      </c>
      <c r="P7" s="7" t="s">
        <v>26</v>
      </c>
      <c r="Q7" s="7"/>
    </row>
    <row r="8" spans="1:17" ht="16" customHeight="1" x14ac:dyDescent="0.2">
      <c r="A8" s="7" t="s">
        <v>17</v>
      </c>
      <c r="B8" s="7" t="s">
        <v>40</v>
      </c>
      <c r="C8" s="7" t="s">
        <v>32</v>
      </c>
      <c r="D8" s="7" t="s">
        <v>41</v>
      </c>
      <c r="E8" s="7"/>
      <c r="F8" s="7" t="s">
        <v>46</v>
      </c>
      <c r="G8" s="8" t="s">
        <v>47</v>
      </c>
      <c r="H8" s="7" t="s">
        <v>48</v>
      </c>
      <c r="I8" s="7">
        <v>10</v>
      </c>
      <c r="J8" s="7">
        <v>8</v>
      </c>
      <c r="K8" s="7">
        <v>12</v>
      </c>
      <c r="L8" s="7"/>
      <c r="M8" s="7" t="s">
        <v>24</v>
      </c>
      <c r="N8" s="7"/>
      <c r="O8" s="7" t="s">
        <v>45</v>
      </c>
      <c r="P8" s="7" t="s">
        <v>26</v>
      </c>
      <c r="Q8" s="7"/>
    </row>
    <row r="9" spans="1:17" ht="16" customHeight="1" x14ac:dyDescent="0.2">
      <c r="A9" s="7" t="s">
        <v>17</v>
      </c>
      <c r="B9" s="7" t="s">
        <v>40</v>
      </c>
      <c r="C9" s="7" t="s">
        <v>32</v>
      </c>
      <c r="D9" s="7" t="s">
        <v>41</v>
      </c>
      <c r="E9" s="7"/>
      <c r="F9" s="7" t="s">
        <v>49</v>
      </c>
      <c r="G9" s="8" t="s">
        <v>50</v>
      </c>
      <c r="H9" s="7" t="s">
        <v>51</v>
      </c>
      <c r="I9" s="7">
        <v>600</v>
      </c>
      <c r="J9" s="7">
        <v>480</v>
      </c>
      <c r="K9" s="7">
        <v>720</v>
      </c>
      <c r="L9" s="7"/>
      <c r="M9" s="7" t="s">
        <v>24</v>
      </c>
      <c r="N9" s="7"/>
      <c r="O9" s="7" t="s">
        <v>45</v>
      </c>
      <c r="P9" s="7" t="s">
        <v>26</v>
      </c>
      <c r="Q9" s="7"/>
    </row>
    <row r="10" spans="1:17" ht="16" customHeight="1" x14ac:dyDescent="0.2">
      <c r="A10" s="7" t="s">
        <v>17</v>
      </c>
      <c r="B10" s="7" t="s">
        <v>40</v>
      </c>
      <c r="C10" s="7" t="s">
        <v>32</v>
      </c>
      <c r="D10" s="7" t="s">
        <v>41</v>
      </c>
      <c r="E10" s="7"/>
      <c r="F10" s="7" t="s">
        <v>52</v>
      </c>
      <c r="G10" s="8" t="s">
        <v>53</v>
      </c>
      <c r="H10" s="7" t="s">
        <v>54</v>
      </c>
      <c r="I10" s="7">
        <v>40000</v>
      </c>
      <c r="J10" s="7">
        <v>32000</v>
      </c>
      <c r="K10" s="7">
        <v>48000</v>
      </c>
      <c r="L10" s="7"/>
      <c r="M10" s="7" t="s">
        <v>24</v>
      </c>
      <c r="N10" s="7"/>
      <c r="O10" s="7" t="s">
        <v>45</v>
      </c>
      <c r="P10" s="7" t="s">
        <v>26</v>
      </c>
      <c r="Q10" s="7"/>
    </row>
    <row r="11" spans="1:17" ht="32" customHeight="1" x14ac:dyDescent="0.2">
      <c r="A11" s="7" t="s">
        <v>17</v>
      </c>
      <c r="B11" s="7" t="s">
        <v>40</v>
      </c>
      <c r="C11" s="7" t="s">
        <v>32</v>
      </c>
      <c r="D11" s="7" t="s">
        <v>41</v>
      </c>
      <c r="E11" s="7"/>
      <c r="F11" s="7" t="s">
        <v>55</v>
      </c>
      <c r="G11" s="8" t="s">
        <v>56</v>
      </c>
      <c r="H11" s="7" t="s">
        <v>37</v>
      </c>
      <c r="I11" s="7">
        <v>100</v>
      </c>
      <c r="J11" s="7">
        <v>80</v>
      </c>
      <c r="K11" s="7">
        <v>100</v>
      </c>
      <c r="L11" s="7"/>
      <c r="M11" s="7" t="s">
        <v>24</v>
      </c>
      <c r="N11" s="7"/>
      <c r="O11" s="7" t="s">
        <v>45</v>
      </c>
      <c r="P11" s="7" t="s">
        <v>26</v>
      </c>
      <c r="Q11" s="7"/>
    </row>
    <row r="12" spans="1:17" ht="16" customHeight="1" x14ac:dyDescent="0.2">
      <c r="A12" s="7" t="s">
        <v>17</v>
      </c>
      <c r="B12" s="7" t="s">
        <v>40</v>
      </c>
      <c r="C12" s="7" t="s">
        <v>32</v>
      </c>
      <c r="D12" s="7" t="s">
        <v>41</v>
      </c>
      <c r="E12" s="7"/>
      <c r="F12" s="7" t="s">
        <v>57</v>
      </c>
      <c r="G12" s="8" t="s">
        <v>58</v>
      </c>
      <c r="H12" s="7" t="s">
        <v>23</v>
      </c>
      <c r="I12" s="7" t="s">
        <v>59</v>
      </c>
      <c r="J12" s="7"/>
      <c r="K12" s="7"/>
      <c r="L12" s="7"/>
      <c r="M12" s="7" t="s">
        <v>60</v>
      </c>
      <c r="N12" s="7" t="s">
        <v>61</v>
      </c>
      <c r="O12" s="7"/>
      <c r="P12" s="7" t="s">
        <v>26</v>
      </c>
      <c r="Q12" s="7"/>
    </row>
    <row r="13" spans="1:17" ht="16" customHeight="1" x14ac:dyDescent="0.2">
      <c r="A13" s="7" t="s">
        <v>17</v>
      </c>
      <c r="B13" s="7" t="s">
        <v>40</v>
      </c>
      <c r="C13" s="7" t="s">
        <v>32</v>
      </c>
      <c r="D13" s="7" t="s">
        <v>62</v>
      </c>
      <c r="E13" s="7"/>
      <c r="F13" s="7" t="s">
        <v>42</v>
      </c>
      <c r="G13" s="8" t="s">
        <v>43</v>
      </c>
      <c r="H13" s="7" t="s">
        <v>44</v>
      </c>
      <c r="I13" s="7">
        <v>1200</v>
      </c>
      <c r="J13" s="7">
        <v>960</v>
      </c>
      <c r="K13" s="7">
        <v>1440</v>
      </c>
      <c r="L13" s="7">
        <v>5000</v>
      </c>
      <c r="M13" s="7" t="s">
        <v>24</v>
      </c>
      <c r="N13" s="7"/>
      <c r="O13" s="7" t="s">
        <v>45</v>
      </c>
      <c r="P13" s="7" t="s">
        <v>26</v>
      </c>
      <c r="Q13" s="7"/>
    </row>
    <row r="14" spans="1:17" ht="16" customHeight="1" x14ac:dyDescent="0.2">
      <c r="A14" s="7" t="s">
        <v>17</v>
      </c>
      <c r="B14" s="7" t="s">
        <v>40</v>
      </c>
      <c r="C14" s="7" t="s">
        <v>32</v>
      </c>
      <c r="D14" s="7" t="s">
        <v>62</v>
      </c>
      <c r="E14" s="7"/>
      <c r="F14" s="7" t="s">
        <v>46</v>
      </c>
      <c r="G14" s="8" t="s">
        <v>47</v>
      </c>
      <c r="H14" s="7" t="s">
        <v>48</v>
      </c>
      <c r="I14" s="7">
        <v>10</v>
      </c>
      <c r="J14" s="7">
        <v>8</v>
      </c>
      <c r="K14" s="7">
        <v>12</v>
      </c>
      <c r="L14" s="7">
        <v>20</v>
      </c>
      <c r="M14" s="7" t="s">
        <v>24</v>
      </c>
      <c r="N14" s="7"/>
      <c r="O14" s="7" t="s">
        <v>45</v>
      </c>
      <c r="P14" s="7" t="s">
        <v>26</v>
      </c>
      <c r="Q14" s="7"/>
    </row>
    <row r="15" spans="1:17" ht="16" customHeight="1" x14ac:dyDescent="0.2">
      <c r="A15" s="7" t="s">
        <v>17</v>
      </c>
      <c r="B15" s="7" t="s">
        <v>40</v>
      </c>
      <c r="C15" s="7" t="s">
        <v>32</v>
      </c>
      <c r="D15" s="7" t="s">
        <v>62</v>
      </c>
      <c r="E15" s="7"/>
      <c r="F15" s="7" t="s">
        <v>49</v>
      </c>
      <c r="G15" s="8" t="s">
        <v>50</v>
      </c>
      <c r="H15" s="7" t="s">
        <v>51</v>
      </c>
      <c r="I15" s="7">
        <v>30</v>
      </c>
      <c r="J15" s="7">
        <v>24</v>
      </c>
      <c r="K15" s="7">
        <v>36</v>
      </c>
      <c r="L15" s="7">
        <v>10</v>
      </c>
      <c r="M15" s="7" t="s">
        <v>24</v>
      </c>
      <c r="N15" s="7"/>
      <c r="O15" s="7" t="s">
        <v>45</v>
      </c>
      <c r="P15" s="7" t="s">
        <v>26</v>
      </c>
      <c r="Q15" s="7"/>
    </row>
    <row r="16" spans="1:17" ht="16" customHeight="1" x14ac:dyDescent="0.2">
      <c r="A16" s="7" t="s">
        <v>17</v>
      </c>
      <c r="B16" s="7" t="s">
        <v>40</v>
      </c>
      <c r="C16" s="7" t="s">
        <v>32</v>
      </c>
      <c r="D16" s="7" t="s">
        <v>62</v>
      </c>
      <c r="E16" s="7"/>
      <c r="F16" s="7" t="s">
        <v>52</v>
      </c>
      <c r="G16" s="8" t="s">
        <v>53</v>
      </c>
      <c r="H16" s="7" t="s">
        <v>54</v>
      </c>
      <c r="I16" s="7">
        <v>40000</v>
      </c>
      <c r="J16" s="7">
        <v>32000</v>
      </c>
      <c r="K16" s="7">
        <v>48000</v>
      </c>
      <c r="L16" s="7">
        <v>70000</v>
      </c>
      <c r="M16" s="7" t="s">
        <v>24</v>
      </c>
      <c r="N16" s="7"/>
      <c r="O16" s="7" t="s">
        <v>45</v>
      </c>
      <c r="P16" s="7" t="s">
        <v>26</v>
      </c>
      <c r="Q16" s="7"/>
    </row>
    <row r="17" spans="1:17" ht="32" customHeight="1" x14ac:dyDescent="0.2">
      <c r="A17" s="7" t="s">
        <v>17</v>
      </c>
      <c r="B17" s="7" t="s">
        <v>40</v>
      </c>
      <c r="C17" s="7" t="s">
        <v>32</v>
      </c>
      <c r="D17" s="7" t="s">
        <v>62</v>
      </c>
      <c r="E17" s="7"/>
      <c r="F17" s="7" t="s">
        <v>55</v>
      </c>
      <c r="G17" s="8" t="s">
        <v>56</v>
      </c>
      <c r="H17" s="7" t="s">
        <v>37</v>
      </c>
      <c r="I17" s="7">
        <v>90</v>
      </c>
      <c r="J17" s="7">
        <v>72</v>
      </c>
      <c r="K17" s="7">
        <v>100</v>
      </c>
      <c r="L17" s="7"/>
      <c r="M17" s="7" t="s">
        <v>24</v>
      </c>
      <c r="N17" s="7"/>
      <c r="O17" s="7" t="s">
        <v>45</v>
      </c>
      <c r="P17" s="7" t="s">
        <v>26</v>
      </c>
      <c r="Q17" s="7"/>
    </row>
    <row r="18" spans="1:17" ht="16" customHeight="1" x14ac:dyDescent="0.2">
      <c r="A18" s="7" t="s">
        <v>17</v>
      </c>
      <c r="B18" s="7" t="s">
        <v>40</v>
      </c>
      <c r="C18" s="7" t="s">
        <v>32</v>
      </c>
      <c r="D18" s="7" t="s">
        <v>62</v>
      </c>
      <c r="E18" s="7"/>
      <c r="F18" s="7" t="s">
        <v>57</v>
      </c>
      <c r="G18" s="8" t="s">
        <v>58</v>
      </c>
      <c r="H18" s="7" t="s">
        <v>23</v>
      </c>
      <c r="I18" s="7" t="s">
        <v>59</v>
      </c>
      <c r="J18" s="7"/>
      <c r="K18" s="7"/>
      <c r="L18" s="7"/>
      <c r="M18" s="7" t="s">
        <v>60</v>
      </c>
      <c r="N18" s="7" t="s">
        <v>61</v>
      </c>
      <c r="O18" s="7"/>
      <c r="P18" s="7" t="s">
        <v>26</v>
      </c>
      <c r="Q18" s="7"/>
    </row>
    <row r="19" spans="1:17" ht="16" customHeight="1" x14ac:dyDescent="0.2">
      <c r="A19" s="7" t="s">
        <v>17</v>
      </c>
      <c r="B19" s="7" t="s">
        <v>40</v>
      </c>
      <c r="C19" s="7" t="s">
        <v>38</v>
      </c>
      <c r="D19" s="7" t="s">
        <v>41</v>
      </c>
      <c r="E19" s="7"/>
      <c r="F19" s="7" t="s">
        <v>42</v>
      </c>
      <c r="G19" s="8" t="s">
        <v>43</v>
      </c>
      <c r="H19" s="7" t="s">
        <v>44</v>
      </c>
      <c r="I19" s="7">
        <v>2000</v>
      </c>
      <c r="J19" s="7">
        <v>1600</v>
      </c>
      <c r="K19" s="7">
        <v>2400</v>
      </c>
      <c r="L19" s="7"/>
      <c r="M19" s="7" t="s">
        <v>24</v>
      </c>
      <c r="N19" s="7"/>
      <c r="O19" s="7" t="s">
        <v>45</v>
      </c>
      <c r="P19" s="7" t="s">
        <v>26</v>
      </c>
      <c r="Q19" s="7"/>
    </row>
    <row r="20" spans="1:17" ht="16" customHeight="1" x14ac:dyDescent="0.2">
      <c r="A20" s="7" t="s">
        <v>17</v>
      </c>
      <c r="B20" s="7" t="s">
        <v>40</v>
      </c>
      <c r="C20" s="7" t="s">
        <v>38</v>
      </c>
      <c r="D20" s="7" t="s">
        <v>41</v>
      </c>
      <c r="E20" s="7"/>
      <c r="F20" s="7" t="s">
        <v>46</v>
      </c>
      <c r="G20" s="8" t="s">
        <v>47</v>
      </c>
      <c r="H20" s="7" t="s">
        <v>48</v>
      </c>
      <c r="I20" s="7">
        <v>10</v>
      </c>
      <c r="J20" s="7">
        <v>8</v>
      </c>
      <c r="K20" s="7">
        <v>12</v>
      </c>
      <c r="L20" s="7"/>
      <c r="M20" s="7" t="s">
        <v>24</v>
      </c>
      <c r="N20" s="7"/>
      <c r="O20" s="7" t="s">
        <v>45</v>
      </c>
      <c r="P20" s="7" t="s">
        <v>26</v>
      </c>
      <c r="Q20" s="7"/>
    </row>
    <row r="21" spans="1:17" ht="16" customHeight="1" x14ac:dyDescent="0.2">
      <c r="A21" s="7" t="s">
        <v>17</v>
      </c>
      <c r="B21" s="7" t="s">
        <v>40</v>
      </c>
      <c r="C21" s="7" t="s">
        <v>38</v>
      </c>
      <c r="D21" s="7" t="s">
        <v>41</v>
      </c>
      <c r="E21" s="7"/>
      <c r="F21" s="7" t="s">
        <v>49</v>
      </c>
      <c r="G21" s="8" t="s">
        <v>50</v>
      </c>
      <c r="H21" s="7" t="s">
        <v>51</v>
      </c>
      <c r="I21" s="7">
        <v>600</v>
      </c>
      <c r="J21" s="7">
        <v>480</v>
      </c>
      <c r="K21" s="7">
        <v>720</v>
      </c>
      <c r="L21" s="7"/>
      <c r="M21" s="7" t="s">
        <v>24</v>
      </c>
      <c r="N21" s="7"/>
      <c r="O21" s="7" t="s">
        <v>45</v>
      </c>
      <c r="P21" s="7" t="s">
        <v>26</v>
      </c>
      <c r="Q21" s="7"/>
    </row>
    <row r="22" spans="1:17" ht="16" customHeight="1" x14ac:dyDescent="0.2">
      <c r="A22" s="7" t="s">
        <v>17</v>
      </c>
      <c r="B22" s="7" t="s">
        <v>40</v>
      </c>
      <c r="C22" s="7" t="s">
        <v>38</v>
      </c>
      <c r="D22" s="7" t="s">
        <v>41</v>
      </c>
      <c r="E22" s="7"/>
      <c r="F22" s="7" t="s">
        <v>52</v>
      </c>
      <c r="G22" s="8" t="s">
        <v>53</v>
      </c>
      <c r="H22" s="7" t="s">
        <v>54</v>
      </c>
      <c r="I22" s="7">
        <v>40000</v>
      </c>
      <c r="J22" s="7">
        <v>32000</v>
      </c>
      <c r="K22" s="7">
        <v>48000</v>
      </c>
      <c r="L22" s="7"/>
      <c r="M22" s="7" t="s">
        <v>24</v>
      </c>
      <c r="N22" s="7"/>
      <c r="O22" s="7" t="s">
        <v>45</v>
      </c>
      <c r="P22" s="7" t="s">
        <v>26</v>
      </c>
      <c r="Q22" s="7"/>
    </row>
    <row r="23" spans="1:17" ht="32" customHeight="1" x14ac:dyDescent="0.2">
      <c r="A23" s="7" t="s">
        <v>17</v>
      </c>
      <c r="B23" s="7" t="s">
        <v>40</v>
      </c>
      <c r="C23" s="7" t="s">
        <v>38</v>
      </c>
      <c r="D23" s="7" t="s">
        <v>41</v>
      </c>
      <c r="E23" s="7"/>
      <c r="F23" s="7" t="s">
        <v>55</v>
      </c>
      <c r="G23" s="8" t="s">
        <v>56</v>
      </c>
      <c r="H23" s="7" t="s">
        <v>37</v>
      </c>
      <c r="I23" s="7">
        <v>100</v>
      </c>
      <c r="J23" s="7">
        <v>80</v>
      </c>
      <c r="K23" s="7">
        <v>100</v>
      </c>
      <c r="L23" s="7"/>
      <c r="M23" s="7" t="s">
        <v>24</v>
      </c>
      <c r="N23" s="7"/>
      <c r="O23" s="7" t="s">
        <v>45</v>
      </c>
      <c r="P23" s="7" t="s">
        <v>26</v>
      </c>
      <c r="Q23" s="7"/>
    </row>
    <row r="24" spans="1:17" ht="16" customHeight="1" x14ac:dyDescent="0.2">
      <c r="A24" s="7" t="s">
        <v>17</v>
      </c>
      <c r="B24" s="7" t="s">
        <v>40</v>
      </c>
      <c r="C24" s="7" t="s">
        <v>38</v>
      </c>
      <c r="D24" s="7" t="s">
        <v>41</v>
      </c>
      <c r="E24" s="7"/>
      <c r="F24" s="7" t="s">
        <v>57</v>
      </c>
      <c r="G24" s="8" t="s">
        <v>58</v>
      </c>
      <c r="H24" s="7" t="s">
        <v>23</v>
      </c>
      <c r="I24" s="7" t="s">
        <v>59</v>
      </c>
      <c r="J24" s="7"/>
      <c r="K24" s="7"/>
      <c r="L24" s="7"/>
      <c r="M24" s="7" t="s">
        <v>60</v>
      </c>
      <c r="N24" s="7" t="s">
        <v>61</v>
      </c>
      <c r="O24" s="7"/>
      <c r="P24" s="7" t="s">
        <v>26</v>
      </c>
      <c r="Q24" s="7"/>
    </row>
    <row r="25" spans="1:17" ht="16" customHeight="1" x14ac:dyDescent="0.2">
      <c r="A25" s="7" t="s">
        <v>17</v>
      </c>
      <c r="B25" s="7" t="s">
        <v>40</v>
      </c>
      <c r="C25" s="7" t="s">
        <v>38</v>
      </c>
      <c r="D25" s="7" t="s">
        <v>62</v>
      </c>
      <c r="E25" s="7"/>
      <c r="F25" s="7" t="s">
        <v>42</v>
      </c>
      <c r="G25" s="8" t="s">
        <v>43</v>
      </c>
      <c r="H25" s="7" t="s">
        <v>44</v>
      </c>
      <c r="I25" s="7">
        <v>1200</v>
      </c>
      <c r="J25" s="7">
        <v>960</v>
      </c>
      <c r="K25" s="7">
        <v>1440</v>
      </c>
      <c r="L25" s="7"/>
      <c r="M25" s="7" t="s">
        <v>24</v>
      </c>
      <c r="N25" s="7"/>
      <c r="O25" s="7" t="s">
        <v>45</v>
      </c>
      <c r="P25" s="7" t="s">
        <v>26</v>
      </c>
      <c r="Q25" s="7"/>
    </row>
    <row r="26" spans="1:17" ht="16" customHeight="1" x14ac:dyDescent="0.2">
      <c r="A26" s="7" t="s">
        <v>17</v>
      </c>
      <c r="B26" s="7" t="s">
        <v>40</v>
      </c>
      <c r="C26" s="7" t="s">
        <v>38</v>
      </c>
      <c r="D26" s="7" t="s">
        <v>62</v>
      </c>
      <c r="E26" s="7"/>
      <c r="F26" s="7" t="s">
        <v>46</v>
      </c>
      <c r="G26" s="8" t="s">
        <v>47</v>
      </c>
      <c r="H26" s="7" t="s">
        <v>48</v>
      </c>
      <c r="I26" s="7">
        <v>10</v>
      </c>
      <c r="J26" s="7">
        <v>8</v>
      </c>
      <c r="K26" s="7">
        <v>12</v>
      </c>
      <c r="L26" s="7"/>
      <c r="M26" s="7" t="s">
        <v>24</v>
      </c>
      <c r="N26" s="7"/>
      <c r="O26" s="7" t="s">
        <v>45</v>
      </c>
      <c r="P26" s="7" t="s">
        <v>26</v>
      </c>
      <c r="Q26" s="7"/>
    </row>
    <row r="27" spans="1:17" ht="16" customHeight="1" x14ac:dyDescent="0.2">
      <c r="A27" s="7" t="s">
        <v>17</v>
      </c>
      <c r="B27" s="7" t="s">
        <v>40</v>
      </c>
      <c r="C27" s="7" t="s">
        <v>38</v>
      </c>
      <c r="D27" s="7" t="s">
        <v>62</v>
      </c>
      <c r="E27" s="7"/>
      <c r="F27" s="7" t="s">
        <v>49</v>
      </c>
      <c r="G27" s="8" t="s">
        <v>50</v>
      </c>
      <c r="H27" s="7" t="s">
        <v>51</v>
      </c>
      <c r="I27" s="7">
        <v>30</v>
      </c>
      <c r="J27" s="7">
        <v>24</v>
      </c>
      <c r="K27" s="7">
        <v>36</v>
      </c>
      <c r="L27" s="7"/>
      <c r="M27" s="7" t="s">
        <v>24</v>
      </c>
      <c r="N27" s="7"/>
      <c r="O27" s="7" t="s">
        <v>45</v>
      </c>
      <c r="P27" s="7" t="s">
        <v>26</v>
      </c>
      <c r="Q27" s="7"/>
    </row>
    <row r="28" spans="1:17" ht="16" customHeight="1" x14ac:dyDescent="0.2">
      <c r="A28" s="7" t="s">
        <v>17</v>
      </c>
      <c r="B28" s="7" t="s">
        <v>40</v>
      </c>
      <c r="C28" s="7" t="s">
        <v>38</v>
      </c>
      <c r="D28" s="7" t="s">
        <v>62</v>
      </c>
      <c r="E28" s="7"/>
      <c r="F28" s="7" t="s">
        <v>52</v>
      </c>
      <c r="G28" s="8" t="s">
        <v>53</v>
      </c>
      <c r="H28" s="7" t="s">
        <v>54</v>
      </c>
      <c r="I28" s="7">
        <v>40000</v>
      </c>
      <c r="J28" s="7">
        <v>32000</v>
      </c>
      <c r="K28" s="7">
        <v>48000</v>
      </c>
      <c r="L28" s="7"/>
      <c r="M28" s="7" t="s">
        <v>24</v>
      </c>
      <c r="N28" s="7"/>
      <c r="O28" s="7" t="s">
        <v>45</v>
      </c>
      <c r="P28" s="7" t="s">
        <v>26</v>
      </c>
      <c r="Q28" s="7"/>
    </row>
    <row r="29" spans="1:17" ht="32" customHeight="1" x14ac:dyDescent="0.2">
      <c r="A29" s="7" t="s">
        <v>17</v>
      </c>
      <c r="B29" s="7" t="s">
        <v>40</v>
      </c>
      <c r="C29" s="7" t="s">
        <v>38</v>
      </c>
      <c r="D29" s="7" t="s">
        <v>62</v>
      </c>
      <c r="E29" s="7"/>
      <c r="F29" s="7" t="s">
        <v>55</v>
      </c>
      <c r="G29" s="8" t="s">
        <v>56</v>
      </c>
      <c r="H29" s="7" t="s">
        <v>37</v>
      </c>
      <c r="I29" s="7">
        <v>90</v>
      </c>
      <c r="J29" s="7">
        <v>72</v>
      </c>
      <c r="K29" s="7">
        <v>100</v>
      </c>
      <c r="L29" s="7"/>
      <c r="M29" s="7" t="s">
        <v>24</v>
      </c>
      <c r="N29" s="7"/>
      <c r="O29" s="7" t="s">
        <v>45</v>
      </c>
      <c r="P29" s="7" t="s">
        <v>26</v>
      </c>
      <c r="Q29" s="7"/>
    </row>
    <row r="30" spans="1:17" ht="16" customHeight="1" x14ac:dyDescent="0.2">
      <c r="A30" s="7" t="s">
        <v>17</v>
      </c>
      <c r="B30" s="7" t="s">
        <v>40</v>
      </c>
      <c r="C30" s="7" t="s">
        <v>38</v>
      </c>
      <c r="D30" s="7" t="s">
        <v>62</v>
      </c>
      <c r="E30" s="7"/>
      <c r="F30" s="7" t="s">
        <v>57</v>
      </c>
      <c r="G30" s="8" t="s">
        <v>58</v>
      </c>
      <c r="H30" s="7" t="s">
        <v>23</v>
      </c>
      <c r="I30" s="7" t="s">
        <v>59</v>
      </c>
      <c r="J30" s="7"/>
      <c r="K30" s="7"/>
      <c r="L30" s="7"/>
      <c r="M30" s="7" t="s">
        <v>60</v>
      </c>
      <c r="N30" s="7" t="s">
        <v>61</v>
      </c>
      <c r="O30" s="7"/>
      <c r="P30" s="7" t="s">
        <v>26</v>
      </c>
      <c r="Q30" s="7"/>
    </row>
    <row r="31" spans="1:17" ht="16" customHeight="1" x14ac:dyDescent="0.2">
      <c r="A31" s="7" t="s">
        <v>17</v>
      </c>
      <c r="B31" s="7" t="s">
        <v>63</v>
      </c>
      <c r="C31" s="7" t="s">
        <v>64</v>
      </c>
      <c r="D31" s="7" t="s">
        <v>20</v>
      </c>
      <c r="E31" s="7"/>
      <c r="F31" s="7" t="s">
        <v>65</v>
      </c>
      <c r="G31" s="8" t="s">
        <v>66</v>
      </c>
      <c r="H31" s="7" t="s">
        <v>67</v>
      </c>
      <c r="I31" s="7">
        <v>50</v>
      </c>
      <c r="J31" s="7">
        <v>40</v>
      </c>
      <c r="K31" s="7">
        <v>60</v>
      </c>
      <c r="L31" s="7"/>
      <c r="M31" s="7" t="s">
        <v>24</v>
      </c>
      <c r="N31" s="7"/>
      <c r="O31" s="7"/>
      <c r="P31" s="7" t="s">
        <v>26</v>
      </c>
      <c r="Q31" s="7"/>
    </row>
    <row r="32" spans="1:17" ht="16" customHeight="1" x14ac:dyDescent="0.2">
      <c r="A32" s="7" t="s">
        <v>17</v>
      </c>
      <c r="B32" s="7" t="s">
        <v>63</v>
      </c>
      <c r="C32" s="7" t="s">
        <v>64</v>
      </c>
      <c r="D32" s="7" t="s">
        <v>20</v>
      </c>
      <c r="E32" s="7"/>
      <c r="F32" s="7" t="s">
        <v>68</v>
      </c>
      <c r="G32" s="8" t="s">
        <v>69</v>
      </c>
      <c r="H32" s="7" t="s">
        <v>67</v>
      </c>
      <c r="I32" s="7">
        <v>10</v>
      </c>
      <c r="J32" s="7">
        <v>8</v>
      </c>
      <c r="K32" s="7">
        <v>12</v>
      </c>
      <c r="L32" s="7"/>
      <c r="M32" s="7" t="s">
        <v>24</v>
      </c>
      <c r="N32" s="7"/>
      <c r="O32" s="7"/>
      <c r="P32" s="7" t="s">
        <v>26</v>
      </c>
      <c r="Q32" s="7"/>
    </row>
    <row r="33" spans="1:17" ht="16" customHeight="1" x14ac:dyDescent="0.2">
      <c r="A33" s="7" t="s">
        <v>17</v>
      </c>
      <c r="B33" s="7" t="s">
        <v>63</v>
      </c>
      <c r="C33" s="7" t="s">
        <v>38</v>
      </c>
      <c r="D33" s="7" t="s">
        <v>70</v>
      </c>
      <c r="E33" s="7"/>
      <c r="F33" s="7" t="s">
        <v>71</v>
      </c>
      <c r="G33" s="8" t="s">
        <v>72</v>
      </c>
      <c r="H33" s="7" t="s">
        <v>37</v>
      </c>
      <c r="I33" s="7">
        <v>10</v>
      </c>
      <c r="J33" s="7">
        <v>8</v>
      </c>
      <c r="K33" s="7">
        <v>12</v>
      </c>
      <c r="L33" s="7"/>
      <c r="M33" s="7" t="s">
        <v>24</v>
      </c>
      <c r="N33" s="7"/>
      <c r="O33" s="7"/>
      <c r="P33" s="7" t="s">
        <v>26</v>
      </c>
      <c r="Q33" s="7"/>
    </row>
    <row r="34" spans="1:17" ht="16" customHeight="1" x14ac:dyDescent="0.2">
      <c r="A34" s="7" t="s">
        <v>17</v>
      </c>
      <c r="B34" s="7" t="s">
        <v>63</v>
      </c>
      <c r="C34" s="7" t="s">
        <v>73</v>
      </c>
      <c r="D34" s="7" t="s">
        <v>74</v>
      </c>
      <c r="E34" s="7" t="s">
        <v>75</v>
      </c>
      <c r="F34" s="7" t="s">
        <v>76</v>
      </c>
      <c r="G34" s="8" t="s">
        <v>77</v>
      </c>
      <c r="H34" s="7" t="s">
        <v>37</v>
      </c>
      <c r="I34" s="7">
        <v>0</v>
      </c>
      <c r="J34" s="7">
        <v>0</v>
      </c>
      <c r="K34" s="7">
        <v>0</v>
      </c>
      <c r="L34" s="7"/>
      <c r="M34" s="7" t="s">
        <v>78</v>
      </c>
      <c r="N34" s="7"/>
      <c r="O34" s="7"/>
      <c r="P34" s="7" t="s">
        <v>26</v>
      </c>
      <c r="Q34" s="7"/>
    </row>
    <row r="35" spans="1:17" ht="32" customHeight="1" x14ac:dyDescent="0.2">
      <c r="A35" s="7" t="s">
        <v>17</v>
      </c>
      <c r="B35" s="7" t="s">
        <v>63</v>
      </c>
      <c r="C35" s="7" t="s">
        <v>73</v>
      </c>
      <c r="D35" s="7" t="s">
        <v>74</v>
      </c>
      <c r="E35" s="7" t="s">
        <v>79</v>
      </c>
      <c r="F35" s="7" t="s">
        <v>76</v>
      </c>
      <c r="G35" s="8" t="s">
        <v>80</v>
      </c>
      <c r="H35" s="7" t="s">
        <v>37</v>
      </c>
      <c r="I35" s="7">
        <v>0</v>
      </c>
      <c r="J35" s="7">
        <v>0</v>
      </c>
      <c r="K35" s="7">
        <v>0</v>
      </c>
      <c r="L35" s="7"/>
      <c r="M35" s="7" t="s">
        <v>78</v>
      </c>
      <c r="N35" s="7"/>
      <c r="O35" s="7"/>
      <c r="P35" s="7" t="s">
        <v>26</v>
      </c>
      <c r="Q35" s="7"/>
    </row>
    <row r="36" spans="1:17" ht="32" customHeight="1" x14ac:dyDescent="0.2">
      <c r="A36" s="7" t="s">
        <v>17</v>
      </c>
      <c r="B36" s="7" t="s">
        <v>63</v>
      </c>
      <c r="C36" s="7" t="s">
        <v>73</v>
      </c>
      <c r="D36" s="7" t="s">
        <v>74</v>
      </c>
      <c r="E36" s="7" t="s">
        <v>81</v>
      </c>
      <c r="F36" s="7" t="s">
        <v>76</v>
      </c>
      <c r="G36" s="8" t="s">
        <v>82</v>
      </c>
      <c r="H36" s="7" t="s">
        <v>37</v>
      </c>
      <c r="I36" s="7">
        <v>20</v>
      </c>
      <c r="J36" s="7">
        <v>16</v>
      </c>
      <c r="K36" s="7">
        <v>24</v>
      </c>
      <c r="L36" s="7"/>
      <c r="M36" s="7" t="s">
        <v>24</v>
      </c>
      <c r="N36" s="7"/>
      <c r="O36" s="7"/>
      <c r="P36" s="7" t="s">
        <v>26</v>
      </c>
      <c r="Q36" s="7"/>
    </row>
    <row r="37" spans="1:17" ht="32" customHeight="1" x14ac:dyDescent="0.2">
      <c r="A37" s="7" t="s">
        <v>17</v>
      </c>
      <c r="B37" s="7" t="s">
        <v>63</v>
      </c>
      <c r="C37" s="7" t="s">
        <v>73</v>
      </c>
      <c r="D37" s="7" t="s">
        <v>74</v>
      </c>
      <c r="E37" s="7" t="s">
        <v>83</v>
      </c>
      <c r="F37" s="7" t="s">
        <v>76</v>
      </c>
      <c r="G37" s="8" t="s">
        <v>84</v>
      </c>
      <c r="H37" s="7" t="s">
        <v>37</v>
      </c>
      <c r="I37" s="7">
        <v>80</v>
      </c>
      <c r="J37" s="7">
        <v>64</v>
      </c>
      <c r="K37" s="7">
        <v>96</v>
      </c>
      <c r="L37" s="7"/>
      <c r="M37" s="7" t="s">
        <v>24</v>
      </c>
      <c r="N37" s="7"/>
      <c r="O37" s="7"/>
      <c r="P37" s="7" t="s">
        <v>26</v>
      </c>
      <c r="Q37" s="7"/>
    </row>
    <row r="38" spans="1:17" ht="32" customHeight="1" x14ac:dyDescent="0.2">
      <c r="A38" s="7" t="s">
        <v>17</v>
      </c>
      <c r="B38" s="7" t="s">
        <v>63</v>
      </c>
      <c r="C38" s="7" t="s">
        <v>73</v>
      </c>
      <c r="D38" s="7" t="s">
        <v>74</v>
      </c>
      <c r="E38" s="7" t="s">
        <v>85</v>
      </c>
      <c r="F38" s="7" t="s">
        <v>76</v>
      </c>
      <c r="G38" s="8" t="s">
        <v>86</v>
      </c>
      <c r="H38" s="7" t="s">
        <v>37</v>
      </c>
      <c r="I38" s="7">
        <v>0</v>
      </c>
      <c r="J38" s="7">
        <v>0</v>
      </c>
      <c r="K38" s="7">
        <v>0</v>
      </c>
      <c r="L38" s="7"/>
      <c r="M38" s="7" t="s">
        <v>78</v>
      </c>
      <c r="N38" s="7"/>
      <c r="O38" s="7"/>
      <c r="P38" s="7" t="s">
        <v>26</v>
      </c>
      <c r="Q38" s="7"/>
    </row>
    <row r="39" spans="1:17" ht="32" customHeight="1" x14ac:dyDescent="0.2">
      <c r="A39" s="7" t="s">
        <v>17</v>
      </c>
      <c r="B39" s="7" t="s">
        <v>87</v>
      </c>
      <c r="C39" s="7" t="s">
        <v>88</v>
      </c>
      <c r="D39" s="7" t="s">
        <v>20</v>
      </c>
      <c r="E39" s="7"/>
      <c r="F39" s="7" t="s">
        <v>87</v>
      </c>
      <c r="G39" s="8" t="s">
        <v>89</v>
      </c>
      <c r="H39" s="7" t="s">
        <v>90</v>
      </c>
      <c r="I39" s="7" t="s">
        <v>91</v>
      </c>
      <c r="J39" s="7"/>
      <c r="K39" s="7"/>
      <c r="L39" s="7"/>
      <c r="M39" s="7" t="s">
        <v>60</v>
      </c>
      <c r="N39" s="7"/>
      <c r="O39" s="7"/>
      <c r="P39" s="7" t="s">
        <v>26</v>
      </c>
      <c r="Q39" s="7"/>
    </row>
    <row r="40" spans="1:17" ht="32" customHeight="1" x14ac:dyDescent="0.2"/>
  </sheetData>
  <conditionalFormatting sqref="I2:I244">
    <cfRule type="expression" dxfId="5" priority="3">
      <formula>AND($F2&lt;&gt;"",$I2="")</formula>
    </cfRule>
  </conditionalFormatting>
  <conditionalFormatting sqref="I2:P244">
    <cfRule type="expression" dxfId="4" priority="1">
      <formula>$P2="placeholder"</formula>
    </cfRule>
  </conditionalFormatting>
  <conditionalFormatting sqref="J2:K244">
    <cfRule type="expression" dxfId="3" priority="2">
      <formula>AND(OR($M2="triangular",$M2="uniform"),OR($J2="",$K2=""))</formula>
    </cfRule>
  </conditionalFormatting>
  <dataValidations count="4">
    <dataValidation type="list" allowBlank="1" showErrorMessage="1" sqref="B2:B244" xr:uid="{00000000-0002-0000-0800-000000000000}">
      <formula1>"design,manufacturing,circularity,location"</formula1>
    </dataValidation>
    <dataValidation type="list" allowBlank="1" showErrorMessage="1" sqref="C2:C244" xr:uid="{00000000-0002-0000-0800-000001000000}">
      <formula1>"product size,production,repair,use,end-of-life,general"</formula1>
    </dataValidation>
    <dataValidation type="list" allowBlank="1" showErrorMessage="1" sqref="M2:M244" xr:uid="{00000000-0002-0000-0800-000002000000}">
      <formula1>"fixed,triangular,uniform,choice,combination"</formula1>
    </dataValidation>
    <dataValidation type="list" allowBlank="1" showErrorMessage="1" sqref="P2:P244" xr:uid="{00000000-0002-0000-0800-000003000000}">
      <formula1>"placeholder,partner estimate,measured,literature"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6A5AF"/>
  </sheetPr>
  <dimension ref="A1:Q41"/>
  <sheetViews>
    <sheetView tabSelected="1"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153</v>
      </c>
      <c r="B2" s="7" t="s">
        <v>18</v>
      </c>
      <c r="C2" s="7" t="s">
        <v>19</v>
      </c>
      <c r="D2" s="7" t="s">
        <v>20</v>
      </c>
      <c r="E2" s="7"/>
      <c r="F2" s="7" t="s">
        <v>338</v>
      </c>
      <c r="G2" s="7" t="s">
        <v>612</v>
      </c>
      <c r="H2" s="7" t="s">
        <v>340</v>
      </c>
      <c r="I2" s="7">
        <v>550</v>
      </c>
      <c r="J2" s="7">
        <v>440</v>
      </c>
      <c r="K2" s="7">
        <v>660</v>
      </c>
      <c r="L2" s="7"/>
      <c r="M2" s="7" t="s">
        <v>24</v>
      </c>
      <c r="N2" s="7"/>
      <c r="O2" s="7" t="s">
        <v>25</v>
      </c>
      <c r="P2" s="7" t="s">
        <v>26</v>
      </c>
      <c r="Q2" s="7"/>
    </row>
    <row r="3" spans="1:17" ht="16" customHeight="1" x14ac:dyDescent="0.2">
      <c r="A3" s="7" t="s">
        <v>153</v>
      </c>
      <c r="B3" s="7" t="s">
        <v>18</v>
      </c>
      <c r="C3" s="7" t="s">
        <v>19</v>
      </c>
      <c r="D3" s="7" t="s">
        <v>20</v>
      </c>
      <c r="E3" s="7"/>
      <c r="F3" s="7" t="s">
        <v>343</v>
      </c>
      <c r="G3" s="7" t="s">
        <v>613</v>
      </c>
      <c r="H3" s="7" t="s">
        <v>345</v>
      </c>
      <c r="I3" s="7">
        <v>6.0000000000000001E-3</v>
      </c>
      <c r="J3" s="7">
        <v>4.7999999999999996E-3</v>
      </c>
      <c r="K3" s="7">
        <v>7.1999999999999998E-3</v>
      </c>
      <c r="L3" s="7"/>
      <c r="M3" s="7" t="s">
        <v>24</v>
      </c>
      <c r="N3" s="7"/>
      <c r="O3" s="7" t="s">
        <v>25</v>
      </c>
      <c r="P3" s="7" t="s">
        <v>26</v>
      </c>
      <c r="Q3" s="7"/>
    </row>
    <row r="4" spans="1:17" ht="32" customHeight="1" x14ac:dyDescent="0.2">
      <c r="A4" s="7" t="s">
        <v>153</v>
      </c>
      <c r="B4" s="7" t="s">
        <v>18</v>
      </c>
      <c r="C4" s="7" t="s">
        <v>32</v>
      </c>
      <c r="D4" s="7" t="s">
        <v>539</v>
      </c>
      <c r="E4" s="7" t="s">
        <v>59</v>
      </c>
      <c r="F4" s="7" t="s">
        <v>35</v>
      </c>
      <c r="G4" s="8" t="s">
        <v>540</v>
      </c>
      <c r="H4" s="7" t="s">
        <v>37</v>
      </c>
      <c r="I4" s="7">
        <v>60</v>
      </c>
      <c r="J4" s="7">
        <v>48</v>
      </c>
      <c r="K4" s="7">
        <v>72</v>
      </c>
      <c r="L4" s="7"/>
      <c r="M4" s="7" t="s">
        <v>24</v>
      </c>
      <c r="N4" s="7"/>
      <c r="O4" s="7"/>
      <c r="P4" s="7" t="s">
        <v>26</v>
      </c>
      <c r="Q4" s="7"/>
    </row>
    <row r="5" spans="1:17" ht="32" customHeight="1" x14ac:dyDescent="0.2">
      <c r="A5" s="7" t="s">
        <v>153</v>
      </c>
      <c r="B5" s="7" t="s">
        <v>18</v>
      </c>
      <c r="C5" s="7" t="s">
        <v>32</v>
      </c>
      <c r="D5" s="7" t="s">
        <v>356</v>
      </c>
      <c r="E5" s="7" t="s">
        <v>59</v>
      </c>
      <c r="F5" s="7" t="s">
        <v>35</v>
      </c>
      <c r="G5" s="8" t="s">
        <v>540</v>
      </c>
      <c r="H5" s="7" t="s">
        <v>37</v>
      </c>
      <c r="I5" s="7">
        <v>40</v>
      </c>
      <c r="J5" s="7">
        <v>32</v>
      </c>
      <c r="K5" s="7">
        <v>48</v>
      </c>
      <c r="L5" s="7"/>
      <c r="M5" s="7" t="s">
        <v>24</v>
      </c>
      <c r="N5" s="7"/>
      <c r="O5" s="7"/>
      <c r="P5" s="7" t="s">
        <v>26</v>
      </c>
      <c r="Q5" s="7"/>
    </row>
    <row r="6" spans="1:17" ht="32" customHeight="1" x14ac:dyDescent="0.2">
      <c r="A6" s="7" t="s">
        <v>153</v>
      </c>
      <c r="B6" s="7" t="s">
        <v>18</v>
      </c>
      <c r="C6" s="7" t="s">
        <v>38</v>
      </c>
      <c r="D6" s="7" t="s">
        <v>539</v>
      </c>
      <c r="E6" s="7" t="s">
        <v>59</v>
      </c>
      <c r="F6" s="7" t="s">
        <v>35</v>
      </c>
      <c r="G6" s="8" t="s">
        <v>543</v>
      </c>
      <c r="H6" s="7" t="s">
        <v>37</v>
      </c>
      <c r="I6" s="7">
        <v>60</v>
      </c>
      <c r="J6" s="7">
        <v>48</v>
      </c>
      <c r="K6" s="7">
        <v>72</v>
      </c>
      <c r="L6" s="7"/>
      <c r="M6" s="7" t="s">
        <v>24</v>
      </c>
      <c r="N6" s="7"/>
      <c r="O6" s="7"/>
      <c r="P6" s="7" t="s">
        <v>26</v>
      </c>
      <c r="Q6" s="7"/>
    </row>
    <row r="7" spans="1:17" ht="32" customHeight="1" x14ac:dyDescent="0.2">
      <c r="A7" s="7" t="s">
        <v>153</v>
      </c>
      <c r="B7" s="7" t="s">
        <v>18</v>
      </c>
      <c r="C7" s="7" t="s">
        <v>38</v>
      </c>
      <c r="D7" s="7" t="s">
        <v>356</v>
      </c>
      <c r="E7" s="7" t="s">
        <v>59</v>
      </c>
      <c r="F7" s="7" t="s">
        <v>35</v>
      </c>
      <c r="G7" s="8" t="s">
        <v>543</v>
      </c>
      <c r="H7" s="7" t="s">
        <v>37</v>
      </c>
      <c r="I7" s="7">
        <v>40</v>
      </c>
      <c r="J7" s="7">
        <v>32</v>
      </c>
      <c r="K7" s="7">
        <v>48</v>
      </c>
      <c r="L7" s="7"/>
      <c r="M7" s="7" t="s">
        <v>24</v>
      </c>
      <c r="N7" s="7"/>
      <c r="O7" s="7"/>
      <c r="P7" s="7" t="s">
        <v>26</v>
      </c>
      <c r="Q7" s="7"/>
    </row>
    <row r="8" spans="1:17" ht="16" customHeight="1" x14ac:dyDescent="0.2">
      <c r="A8" s="7" t="s">
        <v>153</v>
      </c>
      <c r="B8" s="7" t="s">
        <v>40</v>
      </c>
      <c r="C8" s="7" t="s">
        <v>32</v>
      </c>
      <c r="D8" s="7" t="s">
        <v>614</v>
      </c>
      <c r="E8" s="7"/>
      <c r="F8" s="7" t="s">
        <v>42</v>
      </c>
      <c r="G8" s="8" t="s">
        <v>43</v>
      </c>
      <c r="H8" s="7" t="s">
        <v>44</v>
      </c>
      <c r="I8" s="7">
        <v>800</v>
      </c>
      <c r="J8" s="7">
        <v>640</v>
      </c>
      <c r="K8" s="7">
        <v>960</v>
      </c>
      <c r="L8" s="7"/>
      <c r="M8" s="7" t="s">
        <v>24</v>
      </c>
      <c r="N8" s="7"/>
      <c r="O8" s="7" t="s">
        <v>45</v>
      </c>
      <c r="P8" s="7" t="s">
        <v>26</v>
      </c>
      <c r="Q8" s="7"/>
    </row>
    <row r="9" spans="1:17" ht="16" customHeight="1" x14ac:dyDescent="0.2">
      <c r="A9" s="7" t="s">
        <v>153</v>
      </c>
      <c r="B9" s="7" t="s">
        <v>40</v>
      </c>
      <c r="C9" s="7" t="s">
        <v>32</v>
      </c>
      <c r="D9" s="7" t="s">
        <v>614</v>
      </c>
      <c r="E9" s="7"/>
      <c r="F9" s="7" t="s">
        <v>46</v>
      </c>
      <c r="G9" s="8" t="s">
        <v>47</v>
      </c>
      <c r="H9" s="7" t="s">
        <v>48</v>
      </c>
      <c r="I9" s="7">
        <v>3</v>
      </c>
      <c r="J9" s="7">
        <v>2.4</v>
      </c>
      <c r="K9" s="7">
        <v>3.6</v>
      </c>
      <c r="L9" s="7"/>
      <c r="M9" s="7" t="s">
        <v>24</v>
      </c>
      <c r="N9" s="7"/>
      <c r="O9" s="7" t="s">
        <v>45</v>
      </c>
      <c r="P9" s="7" t="s">
        <v>26</v>
      </c>
      <c r="Q9" s="7"/>
    </row>
    <row r="10" spans="1:17" ht="16" customHeight="1" x14ac:dyDescent="0.2">
      <c r="A10" s="7" t="s">
        <v>153</v>
      </c>
      <c r="B10" s="7" t="s">
        <v>40</v>
      </c>
      <c r="C10" s="7" t="s">
        <v>32</v>
      </c>
      <c r="D10" s="7" t="s">
        <v>614</v>
      </c>
      <c r="E10" s="7"/>
      <c r="F10" s="7" t="s">
        <v>49</v>
      </c>
      <c r="G10" s="8" t="s">
        <v>50</v>
      </c>
      <c r="H10" s="7" t="s">
        <v>51</v>
      </c>
      <c r="I10" s="7">
        <v>20</v>
      </c>
      <c r="J10" s="7">
        <v>16</v>
      </c>
      <c r="K10" s="7">
        <v>24</v>
      </c>
      <c r="L10" s="7"/>
      <c r="M10" s="7" t="s">
        <v>24</v>
      </c>
      <c r="N10" s="7"/>
      <c r="O10" s="7" t="s">
        <v>45</v>
      </c>
      <c r="P10" s="7" t="s">
        <v>26</v>
      </c>
      <c r="Q10" s="7"/>
    </row>
    <row r="11" spans="1:17" ht="16" customHeight="1" x14ac:dyDescent="0.2">
      <c r="A11" s="7" t="s">
        <v>153</v>
      </c>
      <c r="B11" s="7" t="s">
        <v>40</v>
      </c>
      <c r="C11" s="7" t="s">
        <v>32</v>
      </c>
      <c r="D11" s="7" t="s">
        <v>614</v>
      </c>
      <c r="E11" s="7"/>
      <c r="F11" s="7" t="s">
        <v>52</v>
      </c>
      <c r="G11" s="8" t="s">
        <v>53</v>
      </c>
      <c r="H11" s="7" t="s">
        <v>54</v>
      </c>
      <c r="I11" s="7">
        <v>50000</v>
      </c>
      <c r="J11" s="7">
        <v>40000</v>
      </c>
      <c r="K11" s="7">
        <v>60000</v>
      </c>
      <c r="L11" s="7"/>
      <c r="M11" s="7" t="s">
        <v>24</v>
      </c>
      <c r="N11" s="7"/>
      <c r="O11" s="7" t="s">
        <v>45</v>
      </c>
      <c r="P11" s="7" t="s">
        <v>26</v>
      </c>
      <c r="Q11" s="7"/>
    </row>
    <row r="12" spans="1:17" ht="32" customHeight="1" x14ac:dyDescent="0.2">
      <c r="A12" s="7" t="s">
        <v>153</v>
      </c>
      <c r="B12" s="7" t="s">
        <v>40</v>
      </c>
      <c r="C12" s="7" t="s">
        <v>32</v>
      </c>
      <c r="D12" s="7" t="s">
        <v>614</v>
      </c>
      <c r="E12" s="7"/>
      <c r="F12" s="7" t="s">
        <v>55</v>
      </c>
      <c r="G12" s="8" t="s">
        <v>56</v>
      </c>
      <c r="H12" s="7" t="s">
        <v>37</v>
      </c>
      <c r="I12" s="7">
        <v>95</v>
      </c>
      <c r="J12" s="7">
        <v>76</v>
      </c>
      <c r="K12" s="7">
        <v>100</v>
      </c>
      <c r="L12" s="7"/>
      <c r="M12" s="7" t="s">
        <v>24</v>
      </c>
      <c r="N12" s="7"/>
      <c r="O12" s="7" t="s">
        <v>45</v>
      </c>
      <c r="P12" s="7" t="s">
        <v>26</v>
      </c>
      <c r="Q12" s="7"/>
    </row>
    <row r="13" spans="1:17" ht="16" customHeight="1" x14ac:dyDescent="0.2">
      <c r="A13" s="7" t="s">
        <v>153</v>
      </c>
      <c r="B13" s="7" t="s">
        <v>40</v>
      </c>
      <c r="C13" s="7" t="s">
        <v>32</v>
      </c>
      <c r="D13" s="7" t="s">
        <v>614</v>
      </c>
      <c r="E13" s="7"/>
      <c r="F13" s="7" t="s">
        <v>57</v>
      </c>
      <c r="G13" s="8" t="s">
        <v>58</v>
      </c>
      <c r="H13" s="7" t="s">
        <v>23</v>
      </c>
      <c r="I13" s="7" t="s">
        <v>59</v>
      </c>
      <c r="J13" s="7"/>
      <c r="K13" s="7"/>
      <c r="L13" s="7"/>
      <c r="M13" s="7" t="s">
        <v>60</v>
      </c>
      <c r="N13" s="7" t="s">
        <v>61</v>
      </c>
      <c r="O13" s="7"/>
      <c r="P13" s="7" t="s">
        <v>26</v>
      </c>
      <c r="Q13" s="7"/>
    </row>
    <row r="14" spans="1:17" ht="16" customHeight="1" x14ac:dyDescent="0.2">
      <c r="A14" s="7" t="s">
        <v>153</v>
      </c>
      <c r="B14" s="7" t="s">
        <v>40</v>
      </c>
      <c r="C14" s="7" t="s">
        <v>32</v>
      </c>
      <c r="D14" s="7" t="s">
        <v>615</v>
      </c>
      <c r="E14" s="7"/>
      <c r="F14" s="7" t="s">
        <v>42</v>
      </c>
      <c r="G14" s="8" t="s">
        <v>43</v>
      </c>
      <c r="H14" s="7" t="s">
        <v>44</v>
      </c>
      <c r="I14" s="7">
        <v>3000</v>
      </c>
      <c r="J14" s="7">
        <v>2400</v>
      </c>
      <c r="K14" s="7">
        <v>3600</v>
      </c>
      <c r="L14" s="7">
        <v>5000</v>
      </c>
      <c r="M14" s="7" t="s">
        <v>24</v>
      </c>
      <c r="N14" s="7"/>
      <c r="O14" s="7" t="s">
        <v>45</v>
      </c>
      <c r="P14" s="7" t="s">
        <v>26</v>
      </c>
      <c r="Q14" s="7"/>
    </row>
    <row r="15" spans="1:17" ht="16" customHeight="1" x14ac:dyDescent="0.2">
      <c r="A15" s="7" t="s">
        <v>153</v>
      </c>
      <c r="B15" s="7" t="s">
        <v>40</v>
      </c>
      <c r="C15" s="7" t="s">
        <v>32</v>
      </c>
      <c r="D15" s="7" t="s">
        <v>615</v>
      </c>
      <c r="E15" s="7"/>
      <c r="F15" s="7" t="s">
        <v>46</v>
      </c>
      <c r="G15" s="8" t="s">
        <v>47</v>
      </c>
      <c r="H15" s="7" t="s">
        <v>48</v>
      </c>
      <c r="I15" s="7">
        <v>6</v>
      </c>
      <c r="J15" s="7">
        <v>4.8</v>
      </c>
      <c r="K15" s="7">
        <v>7.2</v>
      </c>
      <c r="L15" s="7">
        <v>25</v>
      </c>
      <c r="M15" s="7" t="s">
        <v>24</v>
      </c>
      <c r="N15" s="7"/>
      <c r="O15" s="7" t="s">
        <v>45</v>
      </c>
      <c r="P15" s="7" t="s">
        <v>26</v>
      </c>
      <c r="Q15" s="7"/>
    </row>
    <row r="16" spans="1:17" ht="16" customHeight="1" x14ac:dyDescent="0.2">
      <c r="A16" s="7" t="s">
        <v>153</v>
      </c>
      <c r="B16" s="7" t="s">
        <v>40</v>
      </c>
      <c r="C16" s="7" t="s">
        <v>32</v>
      </c>
      <c r="D16" s="7" t="s">
        <v>615</v>
      </c>
      <c r="E16" s="7"/>
      <c r="F16" s="7" t="s">
        <v>49</v>
      </c>
      <c r="G16" s="8" t="s">
        <v>50</v>
      </c>
      <c r="H16" s="7" t="s">
        <v>51</v>
      </c>
      <c r="I16" s="7">
        <v>4</v>
      </c>
      <c r="J16" s="7">
        <v>3.2</v>
      </c>
      <c r="K16" s="7">
        <v>4.8</v>
      </c>
      <c r="L16" s="7">
        <v>10</v>
      </c>
      <c r="M16" s="7" t="s">
        <v>24</v>
      </c>
      <c r="N16" s="7"/>
      <c r="O16" s="7" t="s">
        <v>45</v>
      </c>
      <c r="P16" s="7" t="s">
        <v>26</v>
      </c>
      <c r="Q16" s="7"/>
    </row>
    <row r="17" spans="1:17" ht="16" customHeight="1" x14ac:dyDescent="0.2">
      <c r="A17" s="7" t="s">
        <v>153</v>
      </c>
      <c r="B17" s="7" t="s">
        <v>40</v>
      </c>
      <c r="C17" s="7" t="s">
        <v>32</v>
      </c>
      <c r="D17" s="7" t="s">
        <v>615</v>
      </c>
      <c r="E17" s="7"/>
      <c r="F17" s="7" t="s">
        <v>52</v>
      </c>
      <c r="G17" s="8" t="s">
        <v>53</v>
      </c>
      <c r="H17" s="7" t="s">
        <v>54</v>
      </c>
      <c r="I17" s="7">
        <v>50000</v>
      </c>
      <c r="J17" s="7">
        <v>40000</v>
      </c>
      <c r="K17" s="7">
        <v>60000</v>
      </c>
      <c r="L17" s="7">
        <v>50000</v>
      </c>
      <c r="M17" s="7" t="s">
        <v>24</v>
      </c>
      <c r="N17" s="7"/>
      <c r="O17" s="7" t="s">
        <v>45</v>
      </c>
      <c r="P17" s="7" t="s">
        <v>26</v>
      </c>
      <c r="Q17" s="7"/>
    </row>
    <row r="18" spans="1:17" ht="32" customHeight="1" x14ac:dyDescent="0.2">
      <c r="A18" s="7" t="s">
        <v>153</v>
      </c>
      <c r="B18" s="7" t="s">
        <v>40</v>
      </c>
      <c r="C18" s="7" t="s">
        <v>32</v>
      </c>
      <c r="D18" s="7" t="s">
        <v>615</v>
      </c>
      <c r="E18" s="7"/>
      <c r="F18" s="7" t="s">
        <v>55</v>
      </c>
      <c r="G18" s="8" t="s">
        <v>56</v>
      </c>
      <c r="H18" s="7" t="s">
        <v>37</v>
      </c>
      <c r="I18" s="7">
        <v>95</v>
      </c>
      <c r="J18" s="7">
        <v>76</v>
      </c>
      <c r="K18" s="7">
        <v>100</v>
      </c>
      <c r="L18" s="7"/>
      <c r="M18" s="7" t="s">
        <v>24</v>
      </c>
      <c r="N18" s="7"/>
      <c r="O18" s="7" t="s">
        <v>45</v>
      </c>
      <c r="P18" s="7" t="s">
        <v>26</v>
      </c>
      <c r="Q18" s="7"/>
    </row>
    <row r="19" spans="1:17" ht="16" customHeight="1" x14ac:dyDescent="0.2">
      <c r="A19" s="7" t="s">
        <v>153</v>
      </c>
      <c r="B19" s="7" t="s">
        <v>40</v>
      </c>
      <c r="C19" s="7" t="s">
        <v>32</v>
      </c>
      <c r="D19" s="7" t="s">
        <v>615</v>
      </c>
      <c r="E19" s="7"/>
      <c r="F19" s="7" t="s">
        <v>57</v>
      </c>
      <c r="G19" s="8" t="s">
        <v>58</v>
      </c>
      <c r="H19" s="7" t="s">
        <v>23</v>
      </c>
      <c r="I19" s="7" t="s">
        <v>59</v>
      </c>
      <c r="J19" s="7"/>
      <c r="K19" s="7"/>
      <c r="L19" s="7"/>
      <c r="M19" s="7" t="s">
        <v>60</v>
      </c>
      <c r="N19" s="7" t="s">
        <v>61</v>
      </c>
      <c r="O19" s="7"/>
      <c r="P19" s="7" t="s">
        <v>26</v>
      </c>
      <c r="Q19" s="7"/>
    </row>
    <row r="20" spans="1:17" ht="16" customHeight="1" x14ac:dyDescent="0.2">
      <c r="A20" s="7" t="s">
        <v>153</v>
      </c>
      <c r="B20" s="7" t="s">
        <v>40</v>
      </c>
      <c r="C20" s="7" t="s">
        <v>38</v>
      </c>
      <c r="D20" s="7" t="s">
        <v>614</v>
      </c>
      <c r="E20" s="7"/>
      <c r="F20" s="7" t="s">
        <v>42</v>
      </c>
      <c r="G20" s="8" t="s">
        <v>43</v>
      </c>
      <c r="H20" s="7" t="s">
        <v>44</v>
      </c>
      <c r="I20" s="7">
        <v>800</v>
      </c>
      <c r="J20" s="7">
        <v>640</v>
      </c>
      <c r="K20" s="7">
        <v>960</v>
      </c>
      <c r="L20" s="7"/>
      <c r="M20" s="7" t="s">
        <v>24</v>
      </c>
      <c r="N20" s="7"/>
      <c r="O20" s="7" t="s">
        <v>45</v>
      </c>
      <c r="P20" s="7" t="s">
        <v>26</v>
      </c>
      <c r="Q20" s="7"/>
    </row>
    <row r="21" spans="1:17" ht="16" customHeight="1" x14ac:dyDescent="0.2">
      <c r="A21" s="7" t="s">
        <v>153</v>
      </c>
      <c r="B21" s="7" t="s">
        <v>40</v>
      </c>
      <c r="C21" s="7" t="s">
        <v>38</v>
      </c>
      <c r="D21" s="7" t="s">
        <v>614</v>
      </c>
      <c r="E21" s="7"/>
      <c r="F21" s="7" t="s">
        <v>46</v>
      </c>
      <c r="G21" s="8" t="s">
        <v>47</v>
      </c>
      <c r="H21" s="7" t="s">
        <v>48</v>
      </c>
      <c r="I21" s="7">
        <v>3</v>
      </c>
      <c r="J21" s="7">
        <v>2.4</v>
      </c>
      <c r="K21" s="7">
        <v>3.6</v>
      </c>
      <c r="L21" s="7"/>
      <c r="M21" s="7" t="s">
        <v>24</v>
      </c>
      <c r="N21" s="7"/>
      <c r="O21" s="7" t="s">
        <v>45</v>
      </c>
      <c r="P21" s="7" t="s">
        <v>26</v>
      </c>
      <c r="Q21" s="7"/>
    </row>
    <row r="22" spans="1:17" ht="16" customHeight="1" x14ac:dyDescent="0.2">
      <c r="A22" s="7" t="s">
        <v>153</v>
      </c>
      <c r="B22" s="7" t="s">
        <v>40</v>
      </c>
      <c r="C22" s="7" t="s">
        <v>38</v>
      </c>
      <c r="D22" s="7" t="s">
        <v>614</v>
      </c>
      <c r="E22" s="7"/>
      <c r="F22" s="7" t="s">
        <v>49</v>
      </c>
      <c r="G22" s="8" t="s">
        <v>50</v>
      </c>
      <c r="H22" s="7" t="s">
        <v>51</v>
      </c>
      <c r="I22" s="7">
        <v>20</v>
      </c>
      <c r="J22" s="7">
        <v>16</v>
      </c>
      <c r="K22" s="7">
        <v>24</v>
      </c>
      <c r="L22" s="7"/>
      <c r="M22" s="7" t="s">
        <v>24</v>
      </c>
      <c r="N22" s="7"/>
      <c r="O22" s="7" t="s">
        <v>45</v>
      </c>
      <c r="P22" s="7" t="s">
        <v>26</v>
      </c>
      <c r="Q22" s="7"/>
    </row>
    <row r="23" spans="1:17" ht="16" customHeight="1" x14ac:dyDescent="0.2">
      <c r="A23" s="7" t="s">
        <v>153</v>
      </c>
      <c r="B23" s="7" t="s">
        <v>40</v>
      </c>
      <c r="C23" s="7" t="s">
        <v>38</v>
      </c>
      <c r="D23" s="7" t="s">
        <v>614</v>
      </c>
      <c r="E23" s="7"/>
      <c r="F23" s="7" t="s">
        <v>52</v>
      </c>
      <c r="G23" s="8" t="s">
        <v>53</v>
      </c>
      <c r="H23" s="7" t="s">
        <v>54</v>
      </c>
      <c r="I23" s="7">
        <v>50000</v>
      </c>
      <c r="J23" s="7">
        <v>40000</v>
      </c>
      <c r="K23" s="7">
        <v>60000</v>
      </c>
      <c r="L23" s="7"/>
      <c r="M23" s="7" t="s">
        <v>24</v>
      </c>
      <c r="N23" s="7"/>
      <c r="O23" s="7" t="s">
        <v>45</v>
      </c>
      <c r="P23" s="7" t="s">
        <v>26</v>
      </c>
      <c r="Q23" s="7"/>
    </row>
    <row r="24" spans="1:17" ht="32" customHeight="1" x14ac:dyDescent="0.2">
      <c r="A24" s="7" t="s">
        <v>153</v>
      </c>
      <c r="B24" s="7" t="s">
        <v>40</v>
      </c>
      <c r="C24" s="7" t="s">
        <v>38</v>
      </c>
      <c r="D24" s="7" t="s">
        <v>614</v>
      </c>
      <c r="E24" s="7"/>
      <c r="F24" s="7" t="s">
        <v>55</v>
      </c>
      <c r="G24" s="8" t="s">
        <v>56</v>
      </c>
      <c r="H24" s="7" t="s">
        <v>37</v>
      </c>
      <c r="I24" s="7">
        <v>95</v>
      </c>
      <c r="J24" s="7">
        <v>76</v>
      </c>
      <c r="K24" s="7">
        <v>100</v>
      </c>
      <c r="L24" s="7"/>
      <c r="M24" s="7" t="s">
        <v>24</v>
      </c>
      <c r="N24" s="7"/>
      <c r="O24" s="7" t="s">
        <v>45</v>
      </c>
      <c r="P24" s="7" t="s">
        <v>26</v>
      </c>
      <c r="Q24" s="7"/>
    </row>
    <row r="25" spans="1:17" ht="16" customHeight="1" x14ac:dyDescent="0.2">
      <c r="A25" s="7" t="s">
        <v>153</v>
      </c>
      <c r="B25" s="7" t="s">
        <v>40</v>
      </c>
      <c r="C25" s="7" t="s">
        <v>38</v>
      </c>
      <c r="D25" s="7" t="s">
        <v>614</v>
      </c>
      <c r="E25" s="7"/>
      <c r="F25" s="7" t="s">
        <v>57</v>
      </c>
      <c r="G25" s="8" t="s">
        <v>58</v>
      </c>
      <c r="H25" s="7" t="s">
        <v>23</v>
      </c>
      <c r="I25" s="7" t="s">
        <v>59</v>
      </c>
      <c r="J25" s="7"/>
      <c r="K25" s="7"/>
      <c r="L25" s="7"/>
      <c r="M25" s="7" t="s">
        <v>60</v>
      </c>
      <c r="N25" s="7" t="s">
        <v>61</v>
      </c>
      <c r="O25" s="7"/>
      <c r="P25" s="7" t="s">
        <v>26</v>
      </c>
      <c r="Q25" s="7"/>
    </row>
    <row r="26" spans="1:17" ht="16" customHeight="1" x14ac:dyDescent="0.2">
      <c r="A26" s="7" t="s">
        <v>153</v>
      </c>
      <c r="B26" s="7" t="s">
        <v>40</v>
      </c>
      <c r="C26" s="7" t="s">
        <v>38</v>
      </c>
      <c r="D26" s="7" t="s">
        <v>615</v>
      </c>
      <c r="E26" s="7"/>
      <c r="F26" s="7" t="s">
        <v>42</v>
      </c>
      <c r="G26" s="8" t="s">
        <v>43</v>
      </c>
      <c r="H26" s="7" t="s">
        <v>44</v>
      </c>
      <c r="I26" s="7">
        <v>3000</v>
      </c>
      <c r="J26" s="7">
        <v>2400</v>
      </c>
      <c r="K26" s="7">
        <v>3600</v>
      </c>
      <c r="L26" s="7"/>
      <c r="M26" s="7" t="s">
        <v>24</v>
      </c>
      <c r="N26" s="7"/>
      <c r="O26" s="7" t="s">
        <v>45</v>
      </c>
      <c r="P26" s="7" t="s">
        <v>26</v>
      </c>
      <c r="Q26" s="7"/>
    </row>
    <row r="27" spans="1:17" ht="16" customHeight="1" x14ac:dyDescent="0.2">
      <c r="A27" s="7" t="s">
        <v>153</v>
      </c>
      <c r="B27" s="7" t="s">
        <v>40</v>
      </c>
      <c r="C27" s="7" t="s">
        <v>38</v>
      </c>
      <c r="D27" s="7" t="s">
        <v>615</v>
      </c>
      <c r="E27" s="7"/>
      <c r="F27" s="7" t="s">
        <v>46</v>
      </c>
      <c r="G27" s="8" t="s">
        <v>47</v>
      </c>
      <c r="H27" s="7" t="s">
        <v>48</v>
      </c>
      <c r="I27" s="7">
        <v>6</v>
      </c>
      <c r="J27" s="7">
        <v>4.8</v>
      </c>
      <c r="K27" s="7">
        <v>7.2</v>
      </c>
      <c r="L27" s="7"/>
      <c r="M27" s="7" t="s">
        <v>24</v>
      </c>
      <c r="N27" s="7"/>
      <c r="O27" s="7" t="s">
        <v>45</v>
      </c>
      <c r="P27" s="7" t="s">
        <v>26</v>
      </c>
      <c r="Q27" s="7"/>
    </row>
    <row r="28" spans="1:17" ht="16" customHeight="1" x14ac:dyDescent="0.2">
      <c r="A28" s="7" t="s">
        <v>153</v>
      </c>
      <c r="B28" s="7" t="s">
        <v>40</v>
      </c>
      <c r="C28" s="7" t="s">
        <v>38</v>
      </c>
      <c r="D28" s="7" t="s">
        <v>615</v>
      </c>
      <c r="E28" s="7"/>
      <c r="F28" s="7" t="s">
        <v>49</v>
      </c>
      <c r="G28" s="8" t="s">
        <v>50</v>
      </c>
      <c r="H28" s="7" t="s">
        <v>51</v>
      </c>
      <c r="I28" s="7">
        <v>4</v>
      </c>
      <c r="J28" s="7">
        <v>3.2</v>
      </c>
      <c r="K28" s="7">
        <v>4.8</v>
      </c>
      <c r="L28" s="7"/>
      <c r="M28" s="7" t="s">
        <v>24</v>
      </c>
      <c r="N28" s="7"/>
      <c r="O28" s="7" t="s">
        <v>45</v>
      </c>
      <c r="P28" s="7" t="s">
        <v>26</v>
      </c>
      <c r="Q28" s="7"/>
    </row>
    <row r="29" spans="1:17" ht="16" customHeight="1" x14ac:dyDescent="0.2">
      <c r="A29" s="7" t="s">
        <v>153</v>
      </c>
      <c r="B29" s="7" t="s">
        <v>40</v>
      </c>
      <c r="C29" s="7" t="s">
        <v>38</v>
      </c>
      <c r="D29" s="7" t="s">
        <v>615</v>
      </c>
      <c r="E29" s="7"/>
      <c r="F29" s="7" t="s">
        <v>52</v>
      </c>
      <c r="G29" s="8" t="s">
        <v>53</v>
      </c>
      <c r="H29" s="7" t="s">
        <v>54</v>
      </c>
      <c r="I29" s="7">
        <v>50000</v>
      </c>
      <c r="J29" s="7">
        <v>40000</v>
      </c>
      <c r="K29" s="7">
        <v>60000</v>
      </c>
      <c r="L29" s="7"/>
      <c r="M29" s="7" t="s">
        <v>24</v>
      </c>
      <c r="N29" s="7"/>
      <c r="O29" s="7" t="s">
        <v>45</v>
      </c>
      <c r="P29" s="7" t="s">
        <v>26</v>
      </c>
      <c r="Q29" s="7"/>
    </row>
    <row r="30" spans="1:17" ht="32" customHeight="1" x14ac:dyDescent="0.2">
      <c r="A30" s="7" t="s">
        <v>153</v>
      </c>
      <c r="B30" s="7" t="s">
        <v>40</v>
      </c>
      <c r="C30" s="7" t="s">
        <v>38</v>
      </c>
      <c r="D30" s="7" t="s">
        <v>615</v>
      </c>
      <c r="E30" s="7"/>
      <c r="F30" s="7" t="s">
        <v>55</v>
      </c>
      <c r="G30" s="8" t="s">
        <v>56</v>
      </c>
      <c r="H30" s="7" t="s">
        <v>37</v>
      </c>
      <c r="I30" s="7">
        <v>95</v>
      </c>
      <c r="J30" s="7">
        <v>76</v>
      </c>
      <c r="K30" s="7">
        <v>100</v>
      </c>
      <c r="L30" s="7"/>
      <c r="M30" s="7" t="s">
        <v>24</v>
      </c>
      <c r="N30" s="7"/>
      <c r="O30" s="7" t="s">
        <v>45</v>
      </c>
      <c r="P30" s="7" t="s">
        <v>26</v>
      </c>
      <c r="Q30" s="7"/>
    </row>
    <row r="31" spans="1:17" ht="16" customHeight="1" x14ac:dyDescent="0.2">
      <c r="A31" s="7" t="s">
        <v>153</v>
      </c>
      <c r="B31" s="7" t="s">
        <v>40</v>
      </c>
      <c r="C31" s="7" t="s">
        <v>38</v>
      </c>
      <c r="D31" s="7" t="s">
        <v>615</v>
      </c>
      <c r="E31" s="7"/>
      <c r="F31" s="7" t="s">
        <v>57</v>
      </c>
      <c r="G31" s="8" t="s">
        <v>58</v>
      </c>
      <c r="H31" s="7" t="s">
        <v>23</v>
      </c>
      <c r="I31" s="7" t="s">
        <v>59</v>
      </c>
      <c r="J31" s="7"/>
      <c r="K31" s="7"/>
      <c r="L31" s="7"/>
      <c r="M31" s="7" t="s">
        <v>60</v>
      </c>
      <c r="N31" s="7" t="s">
        <v>61</v>
      </c>
      <c r="O31" s="7"/>
      <c r="P31" s="7" t="s">
        <v>26</v>
      </c>
      <c r="Q31" s="7"/>
    </row>
    <row r="32" spans="1:17" ht="16" customHeight="1" x14ac:dyDescent="0.2">
      <c r="A32" s="7" t="s">
        <v>153</v>
      </c>
      <c r="B32" s="7" t="s">
        <v>63</v>
      </c>
      <c r="C32" s="7" t="s">
        <v>64</v>
      </c>
      <c r="D32" s="7" t="s">
        <v>20</v>
      </c>
      <c r="E32" s="7"/>
      <c r="F32" s="7" t="s">
        <v>65</v>
      </c>
      <c r="G32" s="8" t="s">
        <v>66</v>
      </c>
      <c r="H32" s="7" t="s">
        <v>67</v>
      </c>
      <c r="I32" s="7">
        <v>50</v>
      </c>
      <c r="J32" s="7">
        <v>40</v>
      </c>
      <c r="K32" s="7">
        <v>60</v>
      </c>
      <c r="L32" s="7"/>
      <c r="M32" s="7" t="s">
        <v>24</v>
      </c>
      <c r="N32" s="7"/>
      <c r="O32" s="7"/>
      <c r="P32" s="7" t="s">
        <v>26</v>
      </c>
      <c r="Q32" s="7"/>
    </row>
    <row r="33" spans="1:17" ht="16" customHeight="1" x14ac:dyDescent="0.2">
      <c r="A33" s="7" t="s">
        <v>153</v>
      </c>
      <c r="B33" s="7" t="s">
        <v>63</v>
      </c>
      <c r="C33" s="7" t="s">
        <v>64</v>
      </c>
      <c r="D33" s="7" t="s">
        <v>20</v>
      </c>
      <c r="E33" s="7"/>
      <c r="F33" s="7" t="s">
        <v>68</v>
      </c>
      <c r="G33" s="8" t="s">
        <v>69</v>
      </c>
      <c r="H33" s="7" t="s">
        <v>67</v>
      </c>
      <c r="I33" s="7">
        <v>10</v>
      </c>
      <c r="J33" s="7">
        <v>8</v>
      </c>
      <c r="K33" s="7">
        <v>12</v>
      </c>
      <c r="L33" s="7"/>
      <c r="M33" s="7" t="s">
        <v>24</v>
      </c>
      <c r="N33" s="7"/>
      <c r="O33" s="7"/>
      <c r="P33" s="7" t="s">
        <v>26</v>
      </c>
      <c r="Q33" s="7"/>
    </row>
    <row r="34" spans="1:17" ht="16" customHeight="1" x14ac:dyDescent="0.2">
      <c r="A34" s="7" t="s">
        <v>153</v>
      </c>
      <c r="B34" s="7" t="s">
        <v>63</v>
      </c>
      <c r="C34" s="7" t="s">
        <v>38</v>
      </c>
      <c r="D34" s="7" t="s">
        <v>70</v>
      </c>
      <c r="E34" s="7"/>
      <c r="F34" s="7" t="s">
        <v>71</v>
      </c>
      <c r="G34" s="8" t="s">
        <v>72</v>
      </c>
      <c r="H34" s="7" t="s">
        <v>37</v>
      </c>
      <c r="I34" s="7">
        <v>10</v>
      </c>
      <c r="J34" s="7">
        <v>8</v>
      </c>
      <c r="K34" s="7">
        <v>12</v>
      </c>
      <c r="L34" s="7"/>
      <c r="M34" s="7" t="s">
        <v>24</v>
      </c>
      <c r="N34" s="7"/>
      <c r="O34" s="7"/>
      <c r="P34" s="7" t="s">
        <v>26</v>
      </c>
      <c r="Q34" s="7"/>
    </row>
    <row r="35" spans="1:17" ht="16" customHeight="1" x14ac:dyDescent="0.2">
      <c r="A35" s="7" t="s">
        <v>153</v>
      </c>
      <c r="B35" s="7" t="s">
        <v>63</v>
      </c>
      <c r="C35" s="7" t="s">
        <v>73</v>
      </c>
      <c r="D35" s="7" t="s">
        <v>74</v>
      </c>
      <c r="E35" s="7" t="s">
        <v>75</v>
      </c>
      <c r="F35" s="7" t="s">
        <v>76</v>
      </c>
      <c r="G35" s="8" t="s">
        <v>77</v>
      </c>
      <c r="H35" s="7" t="s">
        <v>37</v>
      </c>
      <c r="I35" s="7">
        <v>0</v>
      </c>
      <c r="J35" s="7">
        <v>0</v>
      </c>
      <c r="K35" s="7">
        <v>0</v>
      </c>
      <c r="L35" s="7"/>
      <c r="M35" s="7" t="s">
        <v>78</v>
      </c>
      <c r="N35" s="7"/>
      <c r="O35" s="7"/>
      <c r="P35" s="7" t="s">
        <v>26</v>
      </c>
      <c r="Q35" s="7"/>
    </row>
    <row r="36" spans="1:17" ht="32" customHeight="1" x14ac:dyDescent="0.2">
      <c r="A36" s="7" t="s">
        <v>153</v>
      </c>
      <c r="B36" s="7" t="s">
        <v>63</v>
      </c>
      <c r="C36" s="7" t="s">
        <v>73</v>
      </c>
      <c r="D36" s="7" t="s">
        <v>74</v>
      </c>
      <c r="E36" s="7" t="s">
        <v>79</v>
      </c>
      <c r="F36" s="7" t="s">
        <v>76</v>
      </c>
      <c r="G36" s="8" t="s">
        <v>80</v>
      </c>
      <c r="H36" s="7" t="s">
        <v>37</v>
      </c>
      <c r="I36" s="7">
        <v>0</v>
      </c>
      <c r="J36" s="7">
        <v>0</v>
      </c>
      <c r="K36" s="7">
        <v>0</v>
      </c>
      <c r="L36" s="7"/>
      <c r="M36" s="7" t="s">
        <v>78</v>
      </c>
      <c r="N36" s="7"/>
      <c r="O36" s="7"/>
      <c r="P36" s="7" t="s">
        <v>26</v>
      </c>
      <c r="Q36" s="7"/>
    </row>
    <row r="37" spans="1:17" ht="32" customHeight="1" x14ac:dyDescent="0.2">
      <c r="A37" s="7" t="s">
        <v>153</v>
      </c>
      <c r="B37" s="7" t="s">
        <v>63</v>
      </c>
      <c r="C37" s="7" t="s">
        <v>73</v>
      </c>
      <c r="D37" s="7" t="s">
        <v>74</v>
      </c>
      <c r="E37" s="7" t="s">
        <v>81</v>
      </c>
      <c r="F37" s="7" t="s">
        <v>76</v>
      </c>
      <c r="G37" s="8" t="s">
        <v>82</v>
      </c>
      <c r="H37" s="7" t="s">
        <v>37</v>
      </c>
      <c r="I37" s="7">
        <v>20</v>
      </c>
      <c r="J37" s="7">
        <v>16</v>
      </c>
      <c r="K37" s="7">
        <v>24</v>
      </c>
      <c r="L37" s="7"/>
      <c r="M37" s="7" t="s">
        <v>24</v>
      </c>
      <c r="N37" s="7"/>
      <c r="O37" s="7"/>
      <c r="P37" s="7" t="s">
        <v>26</v>
      </c>
      <c r="Q37" s="7"/>
    </row>
    <row r="38" spans="1:17" ht="32" customHeight="1" x14ac:dyDescent="0.2">
      <c r="A38" s="7" t="s">
        <v>153</v>
      </c>
      <c r="B38" s="7" t="s">
        <v>63</v>
      </c>
      <c r="C38" s="7" t="s">
        <v>73</v>
      </c>
      <c r="D38" s="7" t="s">
        <v>74</v>
      </c>
      <c r="E38" s="7" t="s">
        <v>83</v>
      </c>
      <c r="F38" s="7" t="s">
        <v>76</v>
      </c>
      <c r="G38" s="8" t="s">
        <v>84</v>
      </c>
      <c r="H38" s="7" t="s">
        <v>37</v>
      </c>
      <c r="I38" s="7">
        <v>80</v>
      </c>
      <c r="J38" s="7">
        <v>64</v>
      </c>
      <c r="K38" s="7">
        <v>96</v>
      </c>
      <c r="L38" s="7"/>
      <c r="M38" s="7" t="s">
        <v>24</v>
      </c>
      <c r="N38" s="7"/>
      <c r="O38" s="7"/>
      <c r="P38" s="7" t="s">
        <v>26</v>
      </c>
      <c r="Q38" s="7"/>
    </row>
    <row r="39" spans="1:17" ht="32" customHeight="1" x14ac:dyDescent="0.2">
      <c r="A39" s="7" t="s">
        <v>153</v>
      </c>
      <c r="B39" s="7" t="s">
        <v>63</v>
      </c>
      <c r="C39" s="7" t="s">
        <v>73</v>
      </c>
      <c r="D39" s="7" t="s">
        <v>74</v>
      </c>
      <c r="E39" s="7" t="s">
        <v>85</v>
      </c>
      <c r="F39" s="7" t="s">
        <v>76</v>
      </c>
      <c r="G39" s="8" t="s">
        <v>86</v>
      </c>
      <c r="H39" s="7" t="s">
        <v>37</v>
      </c>
      <c r="I39" s="7">
        <v>0</v>
      </c>
      <c r="J39" s="7">
        <v>0</v>
      </c>
      <c r="K39" s="7">
        <v>0</v>
      </c>
      <c r="L39" s="7"/>
      <c r="M39" s="7" t="s">
        <v>78</v>
      </c>
      <c r="N39" s="7"/>
      <c r="O39" s="7"/>
      <c r="P39" s="7" t="s">
        <v>26</v>
      </c>
      <c r="Q39" s="7"/>
    </row>
    <row r="40" spans="1:17" ht="32" customHeight="1" x14ac:dyDescent="0.2">
      <c r="A40" s="7" t="s">
        <v>153</v>
      </c>
      <c r="B40" s="7" t="s">
        <v>87</v>
      </c>
      <c r="C40" s="7" t="s">
        <v>88</v>
      </c>
      <c r="D40" s="7" t="s">
        <v>20</v>
      </c>
      <c r="E40" s="7"/>
      <c r="F40" s="7" t="s">
        <v>87</v>
      </c>
      <c r="G40" s="8" t="s">
        <v>89</v>
      </c>
      <c r="H40" s="7" t="s">
        <v>90</v>
      </c>
      <c r="I40" s="7" t="s">
        <v>91</v>
      </c>
      <c r="J40" s="7"/>
      <c r="K40" s="7"/>
      <c r="L40" s="7"/>
      <c r="M40" s="7" t="s">
        <v>60</v>
      </c>
      <c r="N40" s="7"/>
      <c r="O40" s="7"/>
      <c r="P40" s="7" t="s">
        <v>26</v>
      </c>
      <c r="Q40" s="7"/>
    </row>
    <row r="41" spans="1:17" ht="32" customHeight="1" x14ac:dyDescent="0.2"/>
  </sheetData>
  <conditionalFormatting sqref="I2:I245">
    <cfRule type="expression" dxfId="2" priority="3">
      <formula>AND($F2&lt;&gt;"",$I2="")</formula>
    </cfRule>
  </conditionalFormatting>
  <conditionalFormatting sqref="I2:P245">
    <cfRule type="expression" dxfId="1" priority="1">
      <formula>$P2="placeholder"</formula>
    </cfRule>
  </conditionalFormatting>
  <conditionalFormatting sqref="J2:K245">
    <cfRule type="expression" dxfId="0" priority="2">
      <formula>AND(OR($M2="triangular",$M2="uniform"),OR($J2="",$K2=""))</formula>
    </cfRule>
  </conditionalFormatting>
  <dataValidations count="4">
    <dataValidation type="list" allowBlank="1" showErrorMessage="1" sqref="B2:B245" xr:uid="{00000000-0002-0000-0900-000000000000}">
      <formula1>"design,manufacturing,circularity,location"</formula1>
    </dataValidation>
    <dataValidation type="list" allowBlank="1" showErrorMessage="1" sqref="C2:C245" xr:uid="{00000000-0002-0000-0900-000001000000}">
      <formula1>"product size,production,repair,use,end-of-life,general"</formula1>
    </dataValidation>
    <dataValidation type="list" allowBlank="1" showErrorMessage="1" sqref="M2:M245" xr:uid="{00000000-0002-0000-0900-000002000000}">
      <formula1>"fixed,triangular,uniform,choice,combination"</formula1>
    </dataValidation>
    <dataValidation type="list" allowBlank="1" showErrorMessage="1" sqref="P2:P245" xr:uid="{00000000-0002-0000-0900-000003000000}">
      <formula1>"placeholder,partner estimate,measured,literature"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C47D"/>
  </sheetPr>
  <dimension ref="A1:L11"/>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20" customWidth="1"/>
    <col min="3" max="3" width="23" customWidth="1"/>
    <col min="4" max="4" width="21" customWidth="1"/>
    <col min="5" max="5" width="14" customWidth="1"/>
    <col min="6" max="6" width="27" customWidth="1"/>
    <col min="7" max="8" width="45" customWidth="1"/>
    <col min="9" max="9" width="15" customWidth="1"/>
    <col min="10" max="10" width="19" customWidth="1"/>
    <col min="11" max="11" width="11" customWidth="1"/>
    <col min="12" max="12" width="23" customWidth="1"/>
    <col min="13" max="13" width="15" customWidth="1"/>
    <col min="14" max="14" width="45" customWidth="1"/>
    <col min="15" max="15" width="24" customWidth="1"/>
    <col min="16" max="16" width="45" customWidth="1"/>
  </cols>
  <sheetData>
    <row r="1" spans="1:12" x14ac:dyDescent="0.2">
      <c r="A1" s="9" t="s">
        <v>616</v>
      </c>
      <c r="B1" s="9" t="s">
        <v>617</v>
      </c>
      <c r="C1" s="9" t="s">
        <v>618</v>
      </c>
      <c r="D1" s="9" t="s">
        <v>619</v>
      </c>
      <c r="E1" s="9" t="s">
        <v>620</v>
      </c>
      <c r="F1" s="9" t="s">
        <v>621</v>
      </c>
      <c r="G1" s="9" t="s">
        <v>622</v>
      </c>
      <c r="H1" s="9" t="s">
        <v>623</v>
      </c>
      <c r="I1" s="9" t="s">
        <v>624</v>
      </c>
      <c r="J1" s="9" t="s">
        <v>625</v>
      </c>
      <c r="K1" s="9" t="s">
        <v>626</v>
      </c>
      <c r="L1" s="9" t="s">
        <v>16</v>
      </c>
    </row>
    <row r="2" spans="1:12" x14ac:dyDescent="0.2">
      <c r="A2" s="10" t="s">
        <v>627</v>
      </c>
      <c r="B2" s="10" t="s">
        <v>628</v>
      </c>
      <c r="C2" s="10" t="s">
        <v>151</v>
      </c>
      <c r="D2" s="10" t="s">
        <v>151</v>
      </c>
      <c r="E2" s="10" t="s">
        <v>629</v>
      </c>
      <c r="F2" s="10" t="s">
        <v>149</v>
      </c>
      <c r="G2" s="10" t="s">
        <v>150</v>
      </c>
      <c r="H2" s="10" t="s">
        <v>630</v>
      </c>
      <c r="I2" s="10" t="s">
        <v>44</v>
      </c>
      <c r="J2" s="10" t="s">
        <v>631</v>
      </c>
      <c r="K2" s="10">
        <v>0.36583300000000002</v>
      </c>
      <c r="L2" s="10" t="s">
        <v>632</v>
      </c>
    </row>
    <row r="3" spans="1:12" x14ac:dyDescent="0.2">
      <c r="A3" s="10" t="s">
        <v>627</v>
      </c>
      <c r="B3" s="10" t="s">
        <v>633</v>
      </c>
      <c r="C3" s="10" t="s">
        <v>152</v>
      </c>
      <c r="D3" s="10" t="s">
        <v>152</v>
      </c>
      <c r="E3" s="10" t="s">
        <v>629</v>
      </c>
      <c r="F3" s="10" t="s">
        <v>149</v>
      </c>
      <c r="G3" s="10" t="s">
        <v>150</v>
      </c>
      <c r="H3" s="10" t="s">
        <v>634</v>
      </c>
      <c r="I3" s="10" t="s">
        <v>44</v>
      </c>
      <c r="J3" s="10" t="s">
        <v>635</v>
      </c>
      <c r="K3" s="10">
        <v>8.3333300000000001</v>
      </c>
      <c r="L3" s="10" t="s">
        <v>636</v>
      </c>
    </row>
    <row r="4" spans="1:12" x14ac:dyDescent="0.2">
      <c r="A4" s="10" t="s">
        <v>627</v>
      </c>
      <c r="B4" s="10" t="s">
        <v>628</v>
      </c>
      <c r="C4" s="10" t="s">
        <v>337</v>
      </c>
      <c r="D4" s="10" t="s">
        <v>337</v>
      </c>
      <c r="E4" s="10" t="s">
        <v>629</v>
      </c>
      <c r="F4" s="10" t="s">
        <v>149</v>
      </c>
      <c r="G4" s="10" t="s">
        <v>150</v>
      </c>
      <c r="H4" s="10" t="s">
        <v>637</v>
      </c>
      <c r="I4" s="10" t="s">
        <v>44</v>
      </c>
      <c r="J4" s="10" t="s">
        <v>638</v>
      </c>
      <c r="K4" s="10">
        <v>5.5</v>
      </c>
      <c r="L4" s="10" t="s">
        <v>639</v>
      </c>
    </row>
    <row r="5" spans="1:12" x14ac:dyDescent="0.2">
      <c r="A5" s="10" t="s">
        <v>640</v>
      </c>
      <c r="B5" s="10" t="s">
        <v>628</v>
      </c>
      <c r="C5" s="10" t="s">
        <v>159</v>
      </c>
      <c r="D5" s="10" t="s">
        <v>159</v>
      </c>
      <c r="E5" s="10" t="s">
        <v>641</v>
      </c>
      <c r="F5" s="10" t="s">
        <v>158</v>
      </c>
      <c r="G5" s="10" t="s">
        <v>150</v>
      </c>
      <c r="H5" s="10" t="s">
        <v>642</v>
      </c>
      <c r="I5" s="10" t="s">
        <v>44</v>
      </c>
      <c r="J5" s="10" t="s">
        <v>643</v>
      </c>
      <c r="K5" s="10">
        <v>1530</v>
      </c>
      <c r="L5" s="10" t="s">
        <v>644</v>
      </c>
    </row>
    <row r="6" spans="1:12" x14ac:dyDescent="0.2">
      <c r="A6" s="10" t="s">
        <v>640</v>
      </c>
      <c r="B6" s="10" t="s">
        <v>633</v>
      </c>
      <c r="C6" s="10" t="s">
        <v>160</v>
      </c>
      <c r="D6" s="10" t="s">
        <v>160</v>
      </c>
      <c r="E6" s="10" t="s">
        <v>641</v>
      </c>
      <c r="F6" s="10" t="s">
        <v>158</v>
      </c>
      <c r="G6" s="10" t="s">
        <v>150</v>
      </c>
      <c r="H6" s="10" t="s">
        <v>645</v>
      </c>
      <c r="I6" s="10" t="s">
        <v>44</v>
      </c>
      <c r="J6" s="10" t="s">
        <v>646</v>
      </c>
      <c r="K6" s="10">
        <v>655.5</v>
      </c>
      <c r="L6" s="10" t="s">
        <v>647</v>
      </c>
    </row>
    <row r="7" spans="1:12" x14ac:dyDescent="0.2">
      <c r="A7" s="10" t="s">
        <v>648</v>
      </c>
      <c r="B7" s="10" t="s">
        <v>633</v>
      </c>
      <c r="C7" s="10" t="s">
        <v>166</v>
      </c>
      <c r="D7" s="10" t="s">
        <v>166</v>
      </c>
      <c r="E7" s="10" t="s">
        <v>649</v>
      </c>
      <c r="F7" s="10" t="s">
        <v>164</v>
      </c>
      <c r="G7" s="10" t="s">
        <v>165</v>
      </c>
      <c r="H7" s="10" t="s">
        <v>650</v>
      </c>
      <c r="I7" s="10" t="s">
        <v>44</v>
      </c>
      <c r="J7" s="10" t="s">
        <v>651</v>
      </c>
      <c r="K7" s="10">
        <v>0.3</v>
      </c>
      <c r="L7" s="10" t="s">
        <v>652</v>
      </c>
    </row>
    <row r="8" spans="1:12" x14ac:dyDescent="0.2">
      <c r="A8" s="10" t="s">
        <v>627</v>
      </c>
      <c r="B8" s="10" t="s">
        <v>653</v>
      </c>
      <c r="C8" s="10" t="s">
        <v>17</v>
      </c>
      <c r="D8" s="10" t="s">
        <v>654</v>
      </c>
      <c r="E8" s="10" t="s">
        <v>629</v>
      </c>
      <c r="F8" s="10" t="s">
        <v>149</v>
      </c>
      <c r="G8" s="10" t="s">
        <v>150</v>
      </c>
      <c r="H8" s="10" t="s">
        <v>655</v>
      </c>
      <c r="I8" s="10" t="s">
        <v>44</v>
      </c>
      <c r="J8" s="10" t="s">
        <v>656</v>
      </c>
      <c r="K8" s="10">
        <v>0.4</v>
      </c>
      <c r="L8" s="10" t="s">
        <v>657</v>
      </c>
    </row>
    <row r="9" spans="1:12" x14ac:dyDescent="0.2">
      <c r="A9" s="10" t="s">
        <v>627</v>
      </c>
      <c r="B9" s="10" t="s">
        <v>653</v>
      </c>
      <c r="C9" s="10" t="s">
        <v>153</v>
      </c>
      <c r="D9" s="10" t="s">
        <v>658</v>
      </c>
      <c r="E9" s="10" t="s">
        <v>629</v>
      </c>
      <c r="F9" s="10" t="s">
        <v>149</v>
      </c>
      <c r="G9" s="10" t="s">
        <v>150</v>
      </c>
      <c r="H9" s="10" t="s">
        <v>659</v>
      </c>
      <c r="I9" s="10" t="s">
        <v>44</v>
      </c>
      <c r="J9" s="10" t="s">
        <v>660</v>
      </c>
      <c r="K9" s="10">
        <v>3.3</v>
      </c>
      <c r="L9" s="10" t="s">
        <v>661</v>
      </c>
    </row>
    <row r="10" spans="1:12" x14ac:dyDescent="0.2">
      <c r="A10" s="10" t="s">
        <v>640</v>
      </c>
      <c r="B10" s="10" t="s">
        <v>653</v>
      </c>
      <c r="C10" s="10" t="s">
        <v>155</v>
      </c>
      <c r="D10" s="10" t="s">
        <v>662</v>
      </c>
      <c r="E10" s="10" t="s">
        <v>641</v>
      </c>
      <c r="F10" s="10" t="s">
        <v>158</v>
      </c>
      <c r="G10" s="10" t="s">
        <v>150</v>
      </c>
      <c r="H10" s="10" t="s">
        <v>663</v>
      </c>
      <c r="I10" s="10" t="s">
        <v>44</v>
      </c>
      <c r="J10" s="10" t="s">
        <v>643</v>
      </c>
      <c r="K10" s="10">
        <v>315</v>
      </c>
      <c r="L10" s="10" t="s">
        <v>664</v>
      </c>
    </row>
    <row r="11" spans="1:12" x14ac:dyDescent="0.2">
      <c r="A11" s="10" t="s">
        <v>648</v>
      </c>
      <c r="B11" s="10" t="s">
        <v>653</v>
      </c>
      <c r="C11" s="10" t="s">
        <v>161</v>
      </c>
      <c r="D11" s="10" t="s">
        <v>665</v>
      </c>
      <c r="E11" s="10" t="s">
        <v>649</v>
      </c>
      <c r="F11" s="10" t="s">
        <v>164</v>
      </c>
      <c r="G11" s="10" t="s">
        <v>165</v>
      </c>
      <c r="H11" s="10" t="s">
        <v>666</v>
      </c>
      <c r="I11" s="10" t="s">
        <v>44</v>
      </c>
      <c r="J11" s="10" t="s">
        <v>651</v>
      </c>
      <c r="K11" s="10">
        <v>0.4</v>
      </c>
      <c r="L11" s="10" t="s">
        <v>667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FC5E8"/>
  </sheetPr>
  <dimension ref="A1:I56"/>
  <sheetViews>
    <sheetView workbookViewId="0">
      <pane ySplit="1" topLeftCell="A25" activePane="bottomLeft" state="frozen"/>
      <selection pane="bottomLeft" activeCell="A53" sqref="A53"/>
    </sheetView>
  </sheetViews>
  <sheetFormatPr baseColWidth="10" defaultColWidth="8.83203125" defaultRowHeight="15" x14ac:dyDescent="0.2"/>
  <cols>
    <col min="1" max="1" width="45" customWidth="1"/>
    <col min="2" max="2" width="8" customWidth="1"/>
    <col min="3" max="3" width="17" customWidth="1"/>
    <col min="4" max="4" width="45" customWidth="1"/>
    <col min="5" max="5" width="32" customWidth="1"/>
    <col min="6" max="6" width="45" customWidth="1"/>
    <col min="7" max="7" width="25" customWidth="1"/>
    <col min="8" max="8" width="45" customWidth="1"/>
    <col min="9" max="9" width="14" customWidth="1"/>
  </cols>
  <sheetData>
    <row r="1" spans="1:9" x14ac:dyDescent="0.2">
      <c r="A1" s="11" t="s">
        <v>623</v>
      </c>
      <c r="B1" s="11" t="s">
        <v>7</v>
      </c>
      <c r="C1" s="11" t="s">
        <v>668</v>
      </c>
      <c r="D1" s="11" t="s">
        <v>669</v>
      </c>
      <c r="E1" s="11" t="s">
        <v>670</v>
      </c>
      <c r="F1" s="11" t="s">
        <v>671</v>
      </c>
      <c r="G1" s="11" t="s">
        <v>672</v>
      </c>
      <c r="H1" s="11" t="s">
        <v>16</v>
      </c>
      <c r="I1" s="11" t="s">
        <v>673</v>
      </c>
    </row>
    <row r="2" spans="1:9" x14ac:dyDescent="0.2">
      <c r="A2" s="12" t="s">
        <v>674</v>
      </c>
      <c r="B2" s="12"/>
      <c r="C2" s="12"/>
      <c r="D2" s="12"/>
      <c r="E2" s="12"/>
      <c r="F2" s="12"/>
      <c r="G2" s="12"/>
      <c r="H2" s="12"/>
      <c r="I2" s="12"/>
    </row>
    <row r="3" spans="1:9" x14ac:dyDescent="0.2">
      <c r="A3" s="12" t="s">
        <v>675</v>
      </c>
      <c r="B3" s="12" t="s">
        <v>44</v>
      </c>
      <c r="C3" s="12" t="s">
        <v>59</v>
      </c>
      <c r="D3" s="12" t="s">
        <v>676</v>
      </c>
      <c r="E3" s="12" t="s">
        <v>677</v>
      </c>
      <c r="F3" s="12" t="s">
        <v>678</v>
      </c>
      <c r="G3" s="12"/>
      <c r="H3" s="12"/>
      <c r="I3" s="12"/>
    </row>
    <row r="4" spans="1:9" x14ac:dyDescent="0.2">
      <c r="A4" s="12" t="s">
        <v>679</v>
      </c>
      <c r="B4" s="12" t="s">
        <v>44</v>
      </c>
      <c r="C4" s="12" t="s">
        <v>59</v>
      </c>
      <c r="D4" s="12" t="s">
        <v>680</v>
      </c>
      <c r="E4" s="12" t="s">
        <v>677</v>
      </c>
      <c r="F4" s="12" t="s">
        <v>681</v>
      </c>
      <c r="G4" s="12"/>
      <c r="H4" s="12"/>
      <c r="I4" s="12"/>
    </row>
    <row r="5" spans="1:9" x14ac:dyDescent="0.2">
      <c r="A5" s="12" t="s">
        <v>539</v>
      </c>
      <c r="B5" s="12" t="s">
        <v>44</v>
      </c>
      <c r="C5" s="12" t="s">
        <v>59</v>
      </c>
      <c r="D5" s="12" t="s">
        <v>682</v>
      </c>
      <c r="E5" s="12" t="s">
        <v>683</v>
      </c>
      <c r="F5" s="12" t="s">
        <v>684</v>
      </c>
      <c r="G5" s="12"/>
      <c r="H5" s="12"/>
      <c r="I5" s="12"/>
    </row>
    <row r="6" spans="1:9" x14ac:dyDescent="0.2">
      <c r="A6" s="12" t="s">
        <v>33</v>
      </c>
      <c r="B6" s="12" t="s">
        <v>44</v>
      </c>
      <c r="C6" s="12" t="s">
        <v>59</v>
      </c>
      <c r="D6" s="12" t="s">
        <v>685</v>
      </c>
      <c r="E6" s="12" t="s">
        <v>686</v>
      </c>
      <c r="F6" s="12" t="s">
        <v>687</v>
      </c>
      <c r="G6" s="12"/>
      <c r="H6" s="12"/>
      <c r="I6" s="12"/>
    </row>
    <row r="7" spans="1:9" x14ac:dyDescent="0.2">
      <c r="A7" s="12" t="s">
        <v>688</v>
      </c>
      <c r="B7" s="12" t="s">
        <v>44</v>
      </c>
      <c r="C7" s="12" t="s">
        <v>59</v>
      </c>
      <c r="D7" s="12" t="s">
        <v>689</v>
      </c>
      <c r="E7" s="12" t="s">
        <v>686</v>
      </c>
      <c r="F7" s="12" t="s">
        <v>690</v>
      </c>
      <c r="G7" s="12"/>
      <c r="H7" s="12"/>
      <c r="I7" s="12"/>
    </row>
    <row r="8" spans="1:9" x14ac:dyDescent="0.2">
      <c r="A8" s="12" t="s">
        <v>443</v>
      </c>
      <c r="B8" s="12" t="s">
        <v>44</v>
      </c>
      <c r="C8" s="12" t="s">
        <v>59</v>
      </c>
      <c r="D8" s="12"/>
      <c r="E8" s="12" t="s">
        <v>691</v>
      </c>
      <c r="F8" s="12"/>
      <c r="G8" s="12" t="s">
        <v>692</v>
      </c>
      <c r="H8" s="12"/>
      <c r="I8" s="12"/>
    </row>
    <row r="9" spans="1:9" x14ac:dyDescent="0.2">
      <c r="A9" s="12" t="s">
        <v>693</v>
      </c>
      <c r="B9" s="12" t="s">
        <v>44</v>
      </c>
      <c r="C9" s="12" t="s">
        <v>694</v>
      </c>
      <c r="D9" s="12" t="s">
        <v>682</v>
      </c>
      <c r="E9" s="12" t="s">
        <v>683</v>
      </c>
      <c r="F9" s="12" t="s">
        <v>695</v>
      </c>
      <c r="G9" s="12"/>
      <c r="H9" s="12"/>
      <c r="I9" s="12"/>
    </row>
    <row r="10" spans="1:9" x14ac:dyDescent="0.2">
      <c r="A10" s="12" t="s">
        <v>696</v>
      </c>
      <c r="B10" s="12" t="s">
        <v>44</v>
      </c>
      <c r="C10" s="12" t="s">
        <v>694</v>
      </c>
      <c r="D10" s="12" t="s">
        <v>697</v>
      </c>
      <c r="E10" s="12" t="s">
        <v>698</v>
      </c>
      <c r="F10" s="12" t="s">
        <v>699</v>
      </c>
      <c r="G10" s="12"/>
      <c r="H10" s="12"/>
      <c r="I10" s="12"/>
    </row>
    <row r="11" spans="1:9" x14ac:dyDescent="0.2">
      <c r="A11" s="12" t="s">
        <v>700</v>
      </c>
      <c r="B11" s="12" t="s">
        <v>44</v>
      </c>
      <c r="C11" s="12" t="s">
        <v>694</v>
      </c>
      <c r="D11" s="12" t="s">
        <v>701</v>
      </c>
      <c r="E11" s="12" t="s">
        <v>698</v>
      </c>
      <c r="F11" s="12" t="s">
        <v>702</v>
      </c>
      <c r="G11" s="12"/>
      <c r="H11" s="12"/>
      <c r="I11" s="12"/>
    </row>
    <row r="12" spans="1:9" x14ac:dyDescent="0.2">
      <c r="A12" s="12" t="s">
        <v>703</v>
      </c>
      <c r="B12" s="12" t="s">
        <v>44</v>
      </c>
      <c r="C12" s="12" t="s">
        <v>694</v>
      </c>
      <c r="D12" s="12"/>
      <c r="E12" s="12" t="s">
        <v>691</v>
      </c>
      <c r="F12" s="12"/>
      <c r="G12" s="12" t="s">
        <v>704</v>
      </c>
      <c r="H12" s="12" t="s">
        <v>705</v>
      </c>
      <c r="I12" s="12"/>
    </row>
    <row r="13" spans="1:9" x14ac:dyDescent="0.2">
      <c r="A13" s="12" t="s">
        <v>675</v>
      </c>
      <c r="B13" s="12" t="s">
        <v>44</v>
      </c>
      <c r="C13" s="12" t="s">
        <v>34</v>
      </c>
      <c r="D13" s="12"/>
      <c r="E13" s="12" t="s">
        <v>691</v>
      </c>
      <c r="F13" s="12"/>
      <c r="G13" s="12" t="s">
        <v>704</v>
      </c>
      <c r="H13" s="12" t="s">
        <v>705</v>
      </c>
      <c r="I13" s="12"/>
    </row>
    <row r="14" spans="1:9" x14ac:dyDescent="0.2">
      <c r="A14" s="12" t="s">
        <v>679</v>
      </c>
      <c r="B14" s="12" t="s">
        <v>44</v>
      </c>
      <c r="C14" s="12" t="s">
        <v>34</v>
      </c>
      <c r="D14" s="12" t="s">
        <v>706</v>
      </c>
      <c r="E14" s="12" t="s">
        <v>707</v>
      </c>
      <c r="F14" s="12" t="s">
        <v>708</v>
      </c>
      <c r="G14" s="12"/>
      <c r="H14" s="12"/>
      <c r="I14" s="12"/>
    </row>
    <row r="15" spans="1:9" x14ac:dyDescent="0.2">
      <c r="A15" s="12" t="s">
        <v>33</v>
      </c>
      <c r="B15" s="12" t="s">
        <v>44</v>
      </c>
      <c r="C15" s="12" t="s">
        <v>34</v>
      </c>
      <c r="D15" s="12" t="s">
        <v>709</v>
      </c>
      <c r="E15" s="12" t="s">
        <v>691</v>
      </c>
      <c r="F15" s="12" t="s">
        <v>710</v>
      </c>
      <c r="G15" s="12"/>
      <c r="H15" s="12"/>
      <c r="I15" s="12"/>
    </row>
    <row r="16" spans="1:9" x14ac:dyDescent="0.2">
      <c r="A16" s="12" t="s">
        <v>688</v>
      </c>
      <c r="B16" s="12" t="s">
        <v>44</v>
      </c>
      <c r="C16" s="12" t="s">
        <v>34</v>
      </c>
      <c r="D16" s="12" t="s">
        <v>709</v>
      </c>
      <c r="E16" s="12" t="s">
        <v>691</v>
      </c>
      <c r="F16" s="12" t="s">
        <v>710</v>
      </c>
      <c r="G16" s="12"/>
      <c r="H16" s="12"/>
      <c r="I16" s="12"/>
    </row>
    <row r="17" spans="1:9" x14ac:dyDescent="0.2">
      <c r="A17" s="12" t="s">
        <v>711</v>
      </c>
      <c r="B17" s="12" t="s">
        <v>44</v>
      </c>
      <c r="C17" s="12" t="s">
        <v>712</v>
      </c>
      <c r="D17" s="12"/>
      <c r="E17" s="12"/>
      <c r="F17" s="12"/>
      <c r="G17" s="12" t="s">
        <v>704</v>
      </c>
      <c r="H17" s="12" t="s">
        <v>705</v>
      </c>
      <c r="I17" s="12"/>
    </row>
    <row r="18" spans="1:9" x14ac:dyDescent="0.2">
      <c r="A18" s="12" t="s">
        <v>713</v>
      </c>
      <c r="B18" s="12"/>
      <c r="C18" s="12"/>
      <c r="D18" s="12"/>
      <c r="E18" s="12"/>
      <c r="F18" s="12"/>
      <c r="G18" s="12"/>
      <c r="H18" s="12"/>
      <c r="I18" s="12"/>
    </row>
    <row r="19" spans="1:9" x14ac:dyDescent="0.2">
      <c r="A19" s="12" t="s">
        <v>282</v>
      </c>
      <c r="B19" s="12" t="s">
        <v>714</v>
      </c>
      <c r="C19" s="12"/>
      <c r="D19" s="12" t="s">
        <v>715</v>
      </c>
      <c r="E19" s="12" t="s">
        <v>716</v>
      </c>
      <c r="F19" s="12" t="s">
        <v>717</v>
      </c>
      <c r="G19" s="12"/>
      <c r="H19" s="12"/>
      <c r="I19" s="12"/>
    </row>
    <row r="20" spans="1:9" x14ac:dyDescent="0.2">
      <c r="A20" s="12" t="s">
        <v>316</v>
      </c>
      <c r="B20" s="12" t="s">
        <v>44</v>
      </c>
      <c r="C20" s="12"/>
      <c r="D20" s="12" t="s">
        <v>718</v>
      </c>
      <c r="E20" s="12" t="s">
        <v>707</v>
      </c>
      <c r="F20" s="12" t="s">
        <v>719</v>
      </c>
      <c r="G20" s="12"/>
      <c r="H20" s="12"/>
      <c r="I20" s="12"/>
    </row>
    <row r="21" spans="1:9" x14ac:dyDescent="0.2">
      <c r="A21" s="12" t="s">
        <v>320</v>
      </c>
      <c r="B21" s="12" t="s">
        <v>44</v>
      </c>
      <c r="C21" s="12"/>
      <c r="D21" s="12" t="s">
        <v>720</v>
      </c>
      <c r="E21" s="12" t="s">
        <v>686</v>
      </c>
      <c r="F21" s="12" t="s">
        <v>721</v>
      </c>
      <c r="G21" s="12"/>
      <c r="H21" s="12"/>
      <c r="I21" s="12"/>
    </row>
    <row r="22" spans="1:9" x14ac:dyDescent="0.2">
      <c r="A22" s="12" t="s">
        <v>323</v>
      </c>
      <c r="B22" s="12" t="s">
        <v>44</v>
      </c>
      <c r="C22" s="12"/>
      <c r="D22" s="12" t="s">
        <v>722</v>
      </c>
      <c r="E22" s="12" t="s">
        <v>691</v>
      </c>
      <c r="F22" s="12" t="s">
        <v>723</v>
      </c>
      <c r="G22" s="12"/>
      <c r="H22" s="12"/>
      <c r="I22" s="12"/>
    </row>
    <row r="23" spans="1:9" x14ac:dyDescent="0.2">
      <c r="A23" s="12" t="s">
        <v>352</v>
      </c>
      <c r="B23" s="12" t="s">
        <v>44</v>
      </c>
      <c r="C23" s="12"/>
      <c r="D23" s="12" t="s">
        <v>724</v>
      </c>
      <c r="E23" s="12" t="s">
        <v>686</v>
      </c>
      <c r="F23" s="12" t="s">
        <v>352</v>
      </c>
      <c r="G23" s="12"/>
      <c r="H23" s="12" t="s">
        <v>725</v>
      </c>
      <c r="I23" s="12"/>
    </row>
    <row r="24" spans="1:9" x14ac:dyDescent="0.2">
      <c r="A24" s="12" t="s">
        <v>380</v>
      </c>
      <c r="B24" s="12" t="s">
        <v>44</v>
      </c>
      <c r="C24" s="12"/>
      <c r="D24" s="12" t="s">
        <v>726</v>
      </c>
      <c r="E24" s="12" t="s">
        <v>707</v>
      </c>
      <c r="F24" s="12" t="s">
        <v>380</v>
      </c>
      <c r="G24" s="12"/>
      <c r="H24" s="12"/>
      <c r="I24" s="12"/>
    </row>
    <row r="25" spans="1:9" x14ac:dyDescent="0.2">
      <c r="A25" s="12" t="s">
        <v>397</v>
      </c>
      <c r="B25" s="12" t="s">
        <v>44</v>
      </c>
      <c r="C25" s="12"/>
      <c r="D25" s="12" t="s">
        <v>727</v>
      </c>
      <c r="E25" s="12" t="s">
        <v>707</v>
      </c>
      <c r="F25" s="12" t="s">
        <v>397</v>
      </c>
      <c r="G25" s="12"/>
      <c r="H25" s="12"/>
      <c r="I25" s="12"/>
    </row>
    <row r="26" spans="1:9" x14ac:dyDescent="0.2">
      <c r="A26" s="12" t="s">
        <v>401</v>
      </c>
      <c r="B26" s="12" t="s">
        <v>44</v>
      </c>
      <c r="C26" s="12"/>
      <c r="D26" s="12" t="s">
        <v>728</v>
      </c>
      <c r="E26" s="12" t="s">
        <v>686</v>
      </c>
      <c r="F26" s="12" t="s">
        <v>401</v>
      </c>
      <c r="G26" s="12"/>
      <c r="H26" s="12"/>
      <c r="I26" s="12"/>
    </row>
    <row r="27" spans="1:9" x14ac:dyDescent="0.2">
      <c r="A27" s="12" t="s">
        <v>422</v>
      </c>
      <c r="B27" s="12" t="s">
        <v>44</v>
      </c>
      <c r="C27" s="12"/>
      <c r="D27" s="12" t="s">
        <v>729</v>
      </c>
      <c r="E27" s="12" t="s">
        <v>686</v>
      </c>
      <c r="F27" s="12" t="s">
        <v>730</v>
      </c>
      <c r="G27" s="12"/>
      <c r="H27" s="12"/>
      <c r="I27" s="12"/>
    </row>
    <row r="28" spans="1:9" x14ac:dyDescent="0.2">
      <c r="A28" s="12" t="s">
        <v>425</v>
      </c>
      <c r="B28" s="12" t="s">
        <v>44</v>
      </c>
      <c r="C28" s="12"/>
      <c r="D28" s="12" t="s">
        <v>731</v>
      </c>
      <c r="E28" s="12" t="s">
        <v>686</v>
      </c>
      <c r="F28" s="12" t="s">
        <v>732</v>
      </c>
      <c r="G28" s="12"/>
      <c r="H28" s="12"/>
      <c r="I28" s="12"/>
    </row>
    <row r="29" spans="1:9" x14ac:dyDescent="0.2">
      <c r="A29" s="12" t="s">
        <v>733</v>
      </c>
      <c r="B29" s="12"/>
      <c r="C29" s="12"/>
      <c r="D29" s="12"/>
      <c r="E29" s="12"/>
      <c r="F29" s="12"/>
      <c r="G29" s="12"/>
      <c r="H29" s="12"/>
      <c r="I29" s="12"/>
    </row>
    <row r="30" spans="1:9" x14ac:dyDescent="0.2">
      <c r="A30" s="12" t="s">
        <v>734</v>
      </c>
      <c r="B30" s="12" t="s">
        <v>44</v>
      </c>
      <c r="C30" s="12" t="s">
        <v>59</v>
      </c>
      <c r="D30" s="12" t="s">
        <v>735</v>
      </c>
      <c r="E30" s="12" t="s">
        <v>686</v>
      </c>
      <c r="F30" s="12" t="s">
        <v>736</v>
      </c>
      <c r="G30" s="12"/>
      <c r="H30" s="12"/>
      <c r="I30" s="12"/>
    </row>
    <row r="31" spans="1:9" x14ac:dyDescent="0.2">
      <c r="A31" s="12" t="s">
        <v>737</v>
      </c>
      <c r="B31" s="12" t="s">
        <v>44</v>
      </c>
      <c r="C31" s="12" t="s">
        <v>59</v>
      </c>
      <c r="D31" s="12" t="s">
        <v>738</v>
      </c>
      <c r="E31" s="12" t="s">
        <v>686</v>
      </c>
      <c r="F31" s="12" t="s">
        <v>739</v>
      </c>
      <c r="G31" s="12"/>
      <c r="H31" s="12" t="s">
        <v>740</v>
      </c>
      <c r="I31" s="12"/>
    </row>
    <row r="32" spans="1:9" x14ac:dyDescent="0.2">
      <c r="A32" s="12" t="s">
        <v>356</v>
      </c>
      <c r="B32" s="12" t="s">
        <v>44</v>
      </c>
      <c r="C32" s="12" t="s">
        <v>59</v>
      </c>
      <c r="D32" s="12" t="s">
        <v>741</v>
      </c>
      <c r="E32" s="12" t="s">
        <v>691</v>
      </c>
      <c r="F32" s="12" t="s">
        <v>742</v>
      </c>
      <c r="G32" s="12"/>
      <c r="H32" s="12" t="s">
        <v>743</v>
      </c>
      <c r="I32" s="12"/>
    </row>
    <row r="33" spans="1:9" x14ac:dyDescent="0.2">
      <c r="A33" s="12" t="s">
        <v>744</v>
      </c>
      <c r="B33" s="12" t="s">
        <v>44</v>
      </c>
      <c r="C33" s="12" t="s">
        <v>59</v>
      </c>
      <c r="D33" s="12" t="s">
        <v>745</v>
      </c>
      <c r="E33" s="12" t="s">
        <v>698</v>
      </c>
      <c r="F33" s="12" t="s">
        <v>746</v>
      </c>
      <c r="G33" s="12"/>
      <c r="H33" s="12"/>
      <c r="I33" s="12"/>
    </row>
    <row r="34" spans="1:9" x14ac:dyDescent="0.2">
      <c r="A34" s="12" t="s">
        <v>747</v>
      </c>
      <c r="B34" s="12" t="s">
        <v>44</v>
      </c>
      <c r="C34" s="12" t="s">
        <v>59</v>
      </c>
      <c r="D34" s="12" t="s">
        <v>748</v>
      </c>
      <c r="E34" s="12" t="s">
        <v>691</v>
      </c>
      <c r="F34" s="12" t="s">
        <v>749</v>
      </c>
      <c r="G34" s="12"/>
      <c r="H34" s="12"/>
      <c r="I34" s="12"/>
    </row>
    <row r="35" spans="1:9" x14ac:dyDescent="0.2">
      <c r="A35" s="12" t="s">
        <v>750</v>
      </c>
      <c r="B35" s="12"/>
      <c r="C35" s="12"/>
      <c r="D35" s="12"/>
      <c r="E35" s="12"/>
      <c r="F35" s="12"/>
      <c r="G35" s="12"/>
      <c r="H35" s="12"/>
      <c r="I35" s="12"/>
    </row>
    <row r="36" spans="1:9" x14ac:dyDescent="0.2">
      <c r="A36" s="12" t="s">
        <v>751</v>
      </c>
      <c r="B36" s="12" t="s">
        <v>752</v>
      </c>
      <c r="C36" s="12"/>
      <c r="D36" s="12" t="s">
        <v>753</v>
      </c>
      <c r="E36" s="12" t="s">
        <v>691</v>
      </c>
      <c r="F36" s="12" t="s">
        <v>754</v>
      </c>
      <c r="G36" s="12"/>
      <c r="H36" s="12"/>
      <c r="I36" s="12"/>
    </row>
    <row r="37" spans="1:9" x14ac:dyDescent="0.2">
      <c r="A37" s="12" t="s">
        <v>755</v>
      </c>
      <c r="B37" s="12"/>
      <c r="C37" s="12"/>
      <c r="D37" s="12"/>
      <c r="E37" s="12"/>
      <c r="F37" s="12"/>
      <c r="G37" s="12"/>
      <c r="H37" s="12"/>
      <c r="I37" s="12"/>
    </row>
    <row r="38" spans="1:9" x14ac:dyDescent="0.2">
      <c r="A38" s="12" t="s">
        <v>756</v>
      </c>
      <c r="B38" s="12" t="s">
        <v>757</v>
      </c>
      <c r="C38" s="12"/>
      <c r="D38" s="12" t="s">
        <v>758</v>
      </c>
      <c r="E38" s="12" t="s">
        <v>759</v>
      </c>
      <c r="F38" s="12" t="s">
        <v>760</v>
      </c>
      <c r="G38" s="12"/>
      <c r="H38" s="12"/>
      <c r="I38" s="12"/>
    </row>
    <row r="39" spans="1:9" x14ac:dyDescent="0.2">
      <c r="A39" s="12" t="s">
        <v>761</v>
      </c>
      <c r="B39" s="12" t="s">
        <v>44</v>
      </c>
      <c r="C39" s="12" t="s">
        <v>59</v>
      </c>
      <c r="D39" s="12" t="s">
        <v>762</v>
      </c>
      <c r="E39" s="12" t="s">
        <v>691</v>
      </c>
      <c r="F39" s="12" t="s">
        <v>763</v>
      </c>
      <c r="G39" s="12"/>
      <c r="H39" s="12"/>
      <c r="I39" s="12"/>
    </row>
    <row r="40" spans="1:9" x14ac:dyDescent="0.2">
      <c r="A40" s="12" t="s">
        <v>761</v>
      </c>
      <c r="B40" s="12" t="s">
        <v>44</v>
      </c>
      <c r="C40" s="12" t="s">
        <v>34</v>
      </c>
      <c r="D40" s="12"/>
      <c r="E40" s="12" t="s">
        <v>691</v>
      </c>
      <c r="F40" s="12"/>
      <c r="G40" s="12" t="s">
        <v>704</v>
      </c>
      <c r="H40" s="12" t="s">
        <v>705</v>
      </c>
      <c r="I40" s="12"/>
    </row>
    <row r="41" spans="1:9" x14ac:dyDescent="0.2">
      <c r="A41" s="12" t="s">
        <v>764</v>
      </c>
      <c r="B41" s="12" t="s">
        <v>44</v>
      </c>
      <c r="C41" s="12"/>
      <c r="D41" s="12" t="s">
        <v>765</v>
      </c>
      <c r="E41" s="12" t="s">
        <v>707</v>
      </c>
      <c r="F41" s="12" t="s">
        <v>766</v>
      </c>
      <c r="G41" s="12"/>
      <c r="H41" s="12"/>
      <c r="I41" s="12" t="s">
        <v>767</v>
      </c>
    </row>
    <row r="42" spans="1:9" x14ac:dyDescent="0.2">
      <c r="A42" s="12" t="s">
        <v>297</v>
      </c>
      <c r="B42" s="12" t="s">
        <v>44</v>
      </c>
      <c r="C42" s="12"/>
      <c r="D42" s="12" t="s">
        <v>768</v>
      </c>
      <c r="E42" s="12" t="s">
        <v>707</v>
      </c>
      <c r="F42" s="12" t="s">
        <v>769</v>
      </c>
      <c r="G42" s="12"/>
      <c r="H42" s="12"/>
      <c r="I42" s="12" t="s">
        <v>770</v>
      </c>
    </row>
    <row r="43" spans="1:9" x14ac:dyDescent="0.2">
      <c r="A43" s="12" t="s">
        <v>292</v>
      </c>
      <c r="B43" s="12" t="s">
        <v>44</v>
      </c>
      <c r="C43" s="12"/>
      <c r="D43" s="12" t="s">
        <v>771</v>
      </c>
      <c r="E43" s="12" t="s">
        <v>686</v>
      </c>
      <c r="F43" s="12" t="s">
        <v>766</v>
      </c>
      <c r="G43" s="12"/>
      <c r="H43" s="12"/>
      <c r="I43" s="12" t="s">
        <v>772</v>
      </c>
    </row>
    <row r="44" spans="1:9" x14ac:dyDescent="0.2">
      <c r="A44" s="12" t="s">
        <v>300</v>
      </c>
      <c r="B44" s="12" t="s">
        <v>44</v>
      </c>
      <c r="C44" s="12"/>
      <c r="D44" s="12" t="s">
        <v>773</v>
      </c>
      <c r="E44" s="12" t="s">
        <v>707</v>
      </c>
      <c r="F44" s="12" t="s">
        <v>766</v>
      </c>
      <c r="G44" s="12"/>
      <c r="H44" s="12"/>
      <c r="I44" s="12" t="s">
        <v>774</v>
      </c>
    </row>
    <row r="45" spans="1:9" x14ac:dyDescent="0.2">
      <c r="A45" s="12" t="s">
        <v>775</v>
      </c>
      <c r="B45" s="12"/>
      <c r="C45" s="12"/>
      <c r="D45" s="12"/>
      <c r="E45" s="12"/>
      <c r="F45" s="12"/>
      <c r="G45" s="12"/>
      <c r="H45" s="12"/>
      <c r="I45" s="12"/>
    </row>
    <row r="46" spans="1:9" x14ac:dyDescent="0.2">
      <c r="A46" s="12" t="s">
        <v>776</v>
      </c>
      <c r="B46" s="12" t="s">
        <v>44</v>
      </c>
      <c r="C46" s="12"/>
      <c r="D46" s="12" t="s">
        <v>777</v>
      </c>
      <c r="E46" s="12" t="s">
        <v>686</v>
      </c>
      <c r="F46" s="12" t="s">
        <v>778</v>
      </c>
      <c r="G46" s="12"/>
      <c r="H46" s="12"/>
      <c r="I46" s="12"/>
    </row>
    <row r="47" spans="1:9" x14ac:dyDescent="0.2">
      <c r="A47" s="12" t="s">
        <v>779</v>
      </c>
      <c r="B47" s="12" t="s">
        <v>44</v>
      </c>
      <c r="C47" s="12"/>
      <c r="D47" s="12" t="s">
        <v>780</v>
      </c>
      <c r="E47" s="12" t="s">
        <v>691</v>
      </c>
      <c r="F47" s="12" t="s">
        <v>781</v>
      </c>
      <c r="G47" s="12"/>
      <c r="H47" s="12"/>
      <c r="I47" s="12"/>
    </row>
    <row r="48" spans="1:9" x14ac:dyDescent="0.2">
      <c r="A48" s="12" t="s">
        <v>782</v>
      </c>
      <c r="B48" s="12" t="s">
        <v>241</v>
      </c>
      <c r="C48" s="12"/>
      <c r="D48" s="12" t="s">
        <v>783</v>
      </c>
      <c r="E48" s="12" t="s">
        <v>691</v>
      </c>
      <c r="F48" s="12" t="s">
        <v>784</v>
      </c>
      <c r="G48" s="12"/>
      <c r="H48" s="12"/>
      <c r="I48" s="12"/>
    </row>
    <row r="49" spans="1:9" x14ac:dyDescent="0.2">
      <c r="A49" s="12" t="s">
        <v>785</v>
      </c>
      <c r="B49" s="12" t="s">
        <v>757</v>
      </c>
      <c r="C49" s="12"/>
      <c r="D49" s="12" t="s">
        <v>758</v>
      </c>
      <c r="E49" s="12" t="s">
        <v>759</v>
      </c>
      <c r="F49" s="12" t="s">
        <v>760</v>
      </c>
      <c r="G49" s="12"/>
      <c r="H49" s="12"/>
      <c r="I49" s="12"/>
    </row>
    <row r="50" spans="1:9" x14ac:dyDescent="0.2">
      <c r="A50" s="12" t="s">
        <v>786</v>
      </c>
      <c r="B50" s="12"/>
      <c r="C50" s="12"/>
      <c r="D50" s="12"/>
      <c r="E50" s="12"/>
      <c r="F50" s="12"/>
      <c r="G50" s="12"/>
      <c r="H50" s="12"/>
      <c r="I50" s="12"/>
    </row>
    <row r="51" spans="1:9" x14ac:dyDescent="0.2">
      <c r="A51" s="12" t="s">
        <v>362</v>
      </c>
      <c r="B51" s="12" t="s">
        <v>44</v>
      </c>
      <c r="C51" s="12"/>
      <c r="D51" s="12" t="s">
        <v>787</v>
      </c>
      <c r="E51" s="12" t="s">
        <v>716</v>
      </c>
      <c r="F51" s="12" t="s">
        <v>788</v>
      </c>
      <c r="G51" s="12"/>
      <c r="H51" s="12" t="s">
        <v>789</v>
      </c>
      <c r="I51" s="12" t="s">
        <v>774</v>
      </c>
    </row>
    <row r="52" spans="1:9" x14ac:dyDescent="0.2">
      <c r="A52" s="12" t="s">
        <v>334</v>
      </c>
      <c r="B52" s="12" t="s">
        <v>44</v>
      </c>
      <c r="C52" s="12"/>
      <c r="D52" s="12" t="s">
        <v>790</v>
      </c>
      <c r="E52" s="12" t="s">
        <v>698</v>
      </c>
      <c r="F52" s="12" t="s">
        <v>791</v>
      </c>
      <c r="G52" s="12"/>
      <c r="H52" s="12" t="s">
        <v>792</v>
      </c>
      <c r="I52" s="12" t="s">
        <v>774</v>
      </c>
    </row>
    <row r="53" spans="1:9" x14ac:dyDescent="0.2">
      <c r="A53" s="12" t="s">
        <v>329</v>
      </c>
      <c r="B53" s="12" t="s">
        <v>44</v>
      </c>
      <c r="C53" s="12"/>
      <c r="D53" s="12" t="s">
        <v>793</v>
      </c>
      <c r="E53" s="12" t="s">
        <v>698</v>
      </c>
      <c r="F53" s="12" t="s">
        <v>794</v>
      </c>
      <c r="G53" s="12"/>
      <c r="H53" s="12" t="s">
        <v>795</v>
      </c>
      <c r="I53" s="12" t="s">
        <v>770</v>
      </c>
    </row>
    <row r="54" spans="1:9" x14ac:dyDescent="0.2">
      <c r="A54" s="12" t="s">
        <v>407</v>
      </c>
      <c r="B54" s="12" t="s">
        <v>44</v>
      </c>
      <c r="C54" s="12"/>
      <c r="D54" s="12" t="s">
        <v>796</v>
      </c>
      <c r="E54" s="12" t="s">
        <v>716</v>
      </c>
      <c r="F54" s="12" t="s">
        <v>797</v>
      </c>
      <c r="G54" s="12"/>
      <c r="H54" s="12" t="s">
        <v>798</v>
      </c>
      <c r="I54" s="12" t="s">
        <v>770</v>
      </c>
    </row>
    <row r="55" spans="1:9" x14ac:dyDescent="0.2">
      <c r="A55" s="12" t="s">
        <v>430</v>
      </c>
      <c r="B55" s="12" t="s">
        <v>44</v>
      </c>
      <c r="C55" s="12"/>
      <c r="D55" s="12" t="s">
        <v>799</v>
      </c>
      <c r="E55" s="12" t="s">
        <v>716</v>
      </c>
      <c r="F55" s="12" t="s">
        <v>800</v>
      </c>
      <c r="G55" s="12"/>
      <c r="H55" s="12" t="s">
        <v>801</v>
      </c>
      <c r="I55" s="12" t="s">
        <v>772</v>
      </c>
    </row>
    <row r="56" spans="1:9" x14ac:dyDescent="0.2">
      <c r="A56" s="12" t="s">
        <v>366</v>
      </c>
      <c r="B56" s="12" t="s">
        <v>44</v>
      </c>
      <c r="C56" s="12"/>
      <c r="D56" s="12" t="s">
        <v>802</v>
      </c>
      <c r="E56" s="12" t="s">
        <v>716</v>
      </c>
      <c r="F56" s="12" t="s">
        <v>800</v>
      </c>
      <c r="G56" s="12"/>
      <c r="H56" s="12" t="s">
        <v>801</v>
      </c>
      <c r="I56" s="12" t="s">
        <v>774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FC5E8"/>
  </sheetPr>
  <dimension ref="A1:J24"/>
  <sheetViews>
    <sheetView workbookViewId="0">
      <pane ySplit="1" topLeftCell="A2" activePane="bottomLeft" state="frozen"/>
      <selection pane="bottomLeft"/>
    </sheetView>
  </sheetViews>
  <sheetFormatPr baseColWidth="10" defaultColWidth="8.83203125" defaultRowHeight="15" x14ac:dyDescent="0.2"/>
  <cols>
    <col min="1" max="1" width="45" customWidth="1"/>
    <col min="2" max="2" width="8" customWidth="1"/>
    <col min="3" max="3" width="45" customWidth="1"/>
    <col min="4" max="4" width="28" customWidth="1"/>
    <col min="5" max="5" width="45" customWidth="1"/>
    <col min="6" max="6" width="28" customWidth="1"/>
    <col min="7" max="7" width="45" customWidth="1"/>
    <col min="8" max="8" width="19" customWidth="1"/>
    <col min="9" max="10" width="45" customWidth="1"/>
  </cols>
  <sheetData>
    <row r="1" spans="1:10" x14ac:dyDescent="0.2">
      <c r="A1" s="11" t="s">
        <v>803</v>
      </c>
      <c r="B1" s="11" t="s">
        <v>7</v>
      </c>
      <c r="C1" s="11" t="s">
        <v>669</v>
      </c>
      <c r="D1" s="11" t="s">
        <v>670</v>
      </c>
      <c r="E1" s="11" t="s">
        <v>671</v>
      </c>
      <c r="F1" s="11" t="s">
        <v>804</v>
      </c>
      <c r="G1" s="11" t="s">
        <v>805</v>
      </c>
      <c r="H1" s="11" t="s">
        <v>806</v>
      </c>
      <c r="I1" s="11" t="s">
        <v>807</v>
      </c>
      <c r="J1" s="11" t="s">
        <v>16</v>
      </c>
    </row>
    <row r="2" spans="1:10" x14ac:dyDescent="0.2">
      <c r="A2" s="12" t="s">
        <v>675</v>
      </c>
      <c r="B2" s="12" t="s">
        <v>808</v>
      </c>
      <c r="C2" s="12" t="s">
        <v>676</v>
      </c>
      <c r="D2" s="12" t="s">
        <v>677</v>
      </c>
      <c r="E2" s="12" t="s">
        <v>678</v>
      </c>
      <c r="F2" s="12" t="s">
        <v>809</v>
      </c>
      <c r="G2" s="12" t="s">
        <v>810</v>
      </c>
      <c r="H2" s="12">
        <v>1</v>
      </c>
      <c r="I2" s="12" t="s">
        <v>811</v>
      </c>
      <c r="J2" s="12"/>
    </row>
    <row r="3" spans="1:10" x14ac:dyDescent="0.2">
      <c r="A3" s="12" t="s">
        <v>679</v>
      </c>
      <c r="B3" s="12" t="s">
        <v>808</v>
      </c>
      <c r="C3" s="12" t="s">
        <v>680</v>
      </c>
      <c r="D3" s="12" t="s">
        <v>677</v>
      </c>
      <c r="E3" s="12" t="s">
        <v>681</v>
      </c>
      <c r="F3" s="12" t="s">
        <v>809</v>
      </c>
      <c r="G3" s="12" t="s">
        <v>810</v>
      </c>
      <c r="H3" s="12">
        <v>1</v>
      </c>
      <c r="I3" s="12" t="s">
        <v>811</v>
      </c>
      <c r="J3" s="12"/>
    </row>
    <row r="4" spans="1:10" x14ac:dyDescent="0.2">
      <c r="A4" s="12" t="s">
        <v>539</v>
      </c>
      <c r="B4" s="12" t="s">
        <v>808</v>
      </c>
      <c r="C4" s="12" t="s">
        <v>682</v>
      </c>
      <c r="D4" s="12" t="s">
        <v>683</v>
      </c>
      <c r="E4" s="12" t="s">
        <v>684</v>
      </c>
      <c r="F4" s="12" t="s">
        <v>809</v>
      </c>
      <c r="G4" s="12" t="s">
        <v>810</v>
      </c>
      <c r="H4" s="12">
        <v>1</v>
      </c>
      <c r="I4" s="12" t="s">
        <v>811</v>
      </c>
      <c r="J4" s="12"/>
    </row>
    <row r="5" spans="1:10" x14ac:dyDescent="0.2">
      <c r="A5" s="12" t="s">
        <v>696</v>
      </c>
      <c r="B5" s="12" t="s">
        <v>808</v>
      </c>
      <c r="C5" s="12" t="s">
        <v>697</v>
      </c>
      <c r="D5" s="12" t="s">
        <v>698</v>
      </c>
      <c r="E5" s="12" t="s">
        <v>699</v>
      </c>
      <c r="F5" s="12" t="s">
        <v>809</v>
      </c>
      <c r="G5" s="12" t="s">
        <v>810</v>
      </c>
      <c r="H5" s="12">
        <v>80</v>
      </c>
      <c r="I5" s="12" t="s">
        <v>812</v>
      </c>
      <c r="J5" s="12"/>
    </row>
    <row r="6" spans="1:10" x14ac:dyDescent="0.2">
      <c r="A6" s="12" t="s">
        <v>700</v>
      </c>
      <c r="B6" s="12" t="s">
        <v>808</v>
      </c>
      <c r="C6" s="12" t="s">
        <v>701</v>
      </c>
      <c r="D6" s="12" t="s">
        <v>698</v>
      </c>
      <c r="E6" s="12" t="s">
        <v>702</v>
      </c>
      <c r="F6" s="12" t="s">
        <v>809</v>
      </c>
      <c r="G6" s="12" t="s">
        <v>810</v>
      </c>
      <c r="H6" s="12">
        <v>80</v>
      </c>
      <c r="I6" s="12" t="s">
        <v>812</v>
      </c>
      <c r="J6" s="12"/>
    </row>
    <row r="7" spans="1:10" x14ac:dyDescent="0.2">
      <c r="A7" s="12" t="s">
        <v>33</v>
      </c>
      <c r="B7" s="12" t="s">
        <v>808</v>
      </c>
      <c r="C7" s="12" t="s">
        <v>685</v>
      </c>
      <c r="D7" s="12" t="s">
        <v>686</v>
      </c>
      <c r="E7" s="12" t="s">
        <v>687</v>
      </c>
      <c r="F7" s="12" t="s">
        <v>809</v>
      </c>
      <c r="G7" s="12" t="s">
        <v>810</v>
      </c>
      <c r="H7" s="12">
        <v>100</v>
      </c>
      <c r="I7" s="12" t="s">
        <v>813</v>
      </c>
      <c r="J7" s="12" t="s">
        <v>814</v>
      </c>
    </row>
    <row r="8" spans="1:10" x14ac:dyDescent="0.2">
      <c r="A8" s="12" t="s">
        <v>688</v>
      </c>
      <c r="B8" s="12" t="s">
        <v>808</v>
      </c>
      <c r="C8" s="12" t="s">
        <v>689</v>
      </c>
      <c r="D8" s="12" t="s">
        <v>686</v>
      </c>
      <c r="E8" s="12" t="s">
        <v>690</v>
      </c>
      <c r="F8" s="12" t="s">
        <v>809</v>
      </c>
      <c r="G8" s="12" t="s">
        <v>810</v>
      </c>
      <c r="H8" s="12">
        <v>65</v>
      </c>
      <c r="I8" s="12" t="s">
        <v>815</v>
      </c>
      <c r="J8" s="12"/>
    </row>
    <row r="9" spans="1:10" x14ac:dyDescent="0.2">
      <c r="A9" s="12" t="s">
        <v>703</v>
      </c>
      <c r="B9" s="12" t="s">
        <v>808</v>
      </c>
      <c r="C9" s="12" t="s">
        <v>816</v>
      </c>
      <c r="D9" s="12" t="s">
        <v>686</v>
      </c>
      <c r="E9" s="12" t="s">
        <v>817</v>
      </c>
      <c r="F9" s="12" t="s">
        <v>809</v>
      </c>
      <c r="G9" s="12" t="s">
        <v>810</v>
      </c>
      <c r="H9" s="12"/>
      <c r="I9" s="12"/>
      <c r="J9" s="12"/>
    </row>
    <row r="10" spans="1:10" x14ac:dyDescent="0.2">
      <c r="A10" s="12" t="s">
        <v>711</v>
      </c>
      <c r="B10" s="12" t="s">
        <v>808</v>
      </c>
      <c r="C10" s="12"/>
      <c r="D10" s="12"/>
      <c r="E10" s="12"/>
      <c r="F10" s="12">
        <v>0.33600000000000002</v>
      </c>
      <c r="G10" s="12" t="s">
        <v>818</v>
      </c>
      <c r="H10" s="12"/>
      <c r="I10" s="12"/>
      <c r="J10" s="12"/>
    </row>
    <row r="11" spans="1:10" x14ac:dyDescent="0.2">
      <c r="A11" s="12" t="s">
        <v>693</v>
      </c>
      <c r="B11" s="12" t="s">
        <v>808</v>
      </c>
      <c r="C11" s="12" t="s">
        <v>682</v>
      </c>
      <c r="D11" s="12" t="s">
        <v>683</v>
      </c>
      <c r="E11" s="12" t="s">
        <v>695</v>
      </c>
      <c r="F11" s="12" t="s">
        <v>809</v>
      </c>
      <c r="G11" s="12" t="s">
        <v>810</v>
      </c>
      <c r="H11" s="12">
        <v>1</v>
      </c>
      <c r="I11" s="12" t="s">
        <v>811</v>
      </c>
      <c r="J11" s="12" t="s">
        <v>819</v>
      </c>
    </row>
    <row r="12" spans="1:10" x14ac:dyDescent="0.2">
      <c r="A12" s="12"/>
      <c r="B12" s="12"/>
      <c r="C12" s="12"/>
      <c r="D12" s="12"/>
      <c r="E12" s="12"/>
      <c r="F12" s="12"/>
      <c r="G12" s="12"/>
      <c r="H12" s="12"/>
      <c r="I12" s="12"/>
      <c r="J12" s="12"/>
    </row>
    <row r="13" spans="1:10" x14ac:dyDescent="0.2">
      <c r="A13" s="12"/>
      <c r="B13" s="12"/>
      <c r="C13" s="12"/>
      <c r="D13" s="12"/>
      <c r="E13" s="12"/>
      <c r="F13" s="12"/>
      <c r="G13" s="12"/>
      <c r="H13" s="12"/>
      <c r="I13" s="12"/>
      <c r="J13" s="12"/>
    </row>
    <row r="14" spans="1:10" x14ac:dyDescent="0.2">
      <c r="A14" s="12" t="s">
        <v>820</v>
      </c>
      <c r="B14" s="12"/>
      <c r="C14" s="12"/>
      <c r="D14" s="12"/>
      <c r="E14" s="12"/>
      <c r="F14" s="12"/>
      <c r="G14" s="12"/>
      <c r="H14" s="12"/>
      <c r="I14" s="12"/>
      <c r="J14" s="12"/>
    </row>
    <row r="15" spans="1:10" x14ac:dyDescent="0.2">
      <c r="A15" s="12" t="s">
        <v>821</v>
      </c>
      <c r="B15" s="12"/>
      <c r="C15" s="12"/>
      <c r="D15" s="12"/>
      <c r="E15" s="12"/>
      <c r="F15" s="12"/>
      <c r="G15" s="12"/>
      <c r="H15" s="12"/>
      <c r="I15" s="12"/>
      <c r="J15" s="12"/>
    </row>
    <row r="16" spans="1:10" x14ac:dyDescent="0.2">
      <c r="A16" s="12" t="s">
        <v>822</v>
      </c>
      <c r="B16" s="12"/>
      <c r="C16" s="12"/>
      <c r="D16" s="12"/>
      <c r="E16" s="12"/>
      <c r="F16" s="12"/>
      <c r="G16" s="12"/>
      <c r="H16" s="12"/>
      <c r="I16" s="12"/>
      <c r="J16" s="12"/>
    </row>
    <row r="17" spans="1:10" x14ac:dyDescent="0.2">
      <c r="A17" s="12" t="s">
        <v>823</v>
      </c>
      <c r="B17" s="12"/>
      <c r="C17" s="12"/>
      <c r="D17" s="12"/>
      <c r="E17" s="12"/>
      <c r="F17" s="12"/>
      <c r="G17" s="12"/>
      <c r="H17" s="12"/>
      <c r="I17" s="12"/>
      <c r="J17" s="12"/>
    </row>
    <row r="18" spans="1:10" x14ac:dyDescent="0.2">
      <c r="A18" s="12" t="s">
        <v>356</v>
      </c>
      <c r="B18" s="12" t="s">
        <v>808</v>
      </c>
      <c r="C18" s="12"/>
      <c r="D18" s="12"/>
      <c r="E18" s="12"/>
      <c r="F18" s="12">
        <v>0</v>
      </c>
      <c r="G18" s="12" t="s">
        <v>824</v>
      </c>
      <c r="H18" s="12" t="s">
        <v>825</v>
      </c>
      <c r="I18" s="12" t="s">
        <v>825</v>
      </c>
      <c r="J18" s="12"/>
    </row>
    <row r="19" spans="1:10" x14ac:dyDescent="0.2">
      <c r="A19" s="12" t="s">
        <v>737</v>
      </c>
      <c r="B19" s="12" t="s">
        <v>808</v>
      </c>
      <c r="C19" s="12"/>
      <c r="D19" s="12"/>
      <c r="E19" s="12"/>
      <c r="F19" s="12">
        <v>0</v>
      </c>
      <c r="G19" s="12" t="s">
        <v>824</v>
      </c>
      <c r="H19" s="12" t="s">
        <v>825</v>
      </c>
      <c r="I19" s="12" t="s">
        <v>825</v>
      </c>
      <c r="J19" s="12"/>
    </row>
    <row r="20" spans="1:10" x14ac:dyDescent="0.2">
      <c r="A20" s="12" t="s">
        <v>826</v>
      </c>
      <c r="B20" s="12" t="s">
        <v>808</v>
      </c>
      <c r="C20" s="12"/>
      <c r="D20" s="12"/>
      <c r="E20" s="12"/>
      <c r="F20" s="12">
        <v>0</v>
      </c>
      <c r="G20" s="12" t="s">
        <v>824</v>
      </c>
      <c r="H20" s="12" t="s">
        <v>825</v>
      </c>
      <c r="I20" s="12" t="s">
        <v>825</v>
      </c>
      <c r="J20" s="12"/>
    </row>
    <row r="21" spans="1:10" x14ac:dyDescent="0.2">
      <c r="A21" s="12" t="s">
        <v>744</v>
      </c>
      <c r="B21" s="12" t="s">
        <v>808</v>
      </c>
      <c r="C21" s="12"/>
      <c r="D21" s="12"/>
      <c r="E21" s="12"/>
      <c r="F21" s="12">
        <v>0</v>
      </c>
      <c r="G21" s="12" t="s">
        <v>824</v>
      </c>
      <c r="H21" s="12" t="s">
        <v>825</v>
      </c>
      <c r="I21" s="12" t="s">
        <v>825</v>
      </c>
      <c r="J21" s="12"/>
    </row>
    <row r="22" spans="1:10" x14ac:dyDescent="0.2">
      <c r="A22" s="12" t="s">
        <v>747</v>
      </c>
      <c r="B22" s="12" t="s">
        <v>808</v>
      </c>
      <c r="C22" s="12"/>
      <c r="D22" s="12"/>
      <c r="E22" s="12"/>
      <c r="F22" s="12">
        <v>0</v>
      </c>
      <c r="G22" s="12" t="s">
        <v>824</v>
      </c>
      <c r="H22" s="12" t="s">
        <v>825</v>
      </c>
      <c r="I22" s="12" t="s">
        <v>825</v>
      </c>
      <c r="J22" s="12"/>
    </row>
    <row r="23" spans="1:10" x14ac:dyDescent="0.2">
      <c r="A23" s="12" t="s">
        <v>443</v>
      </c>
      <c r="B23" s="12" t="s">
        <v>808</v>
      </c>
      <c r="C23" s="12"/>
      <c r="D23" s="12"/>
      <c r="E23" s="12"/>
      <c r="F23" s="12">
        <v>0.26516849999999997</v>
      </c>
      <c r="G23" s="12" t="s">
        <v>827</v>
      </c>
      <c r="H23" s="12">
        <v>1</v>
      </c>
      <c r="I23" s="12" t="s">
        <v>828</v>
      </c>
      <c r="J23" s="12"/>
    </row>
    <row r="24" spans="1:10" x14ac:dyDescent="0.2">
      <c r="A24" s="12" t="s">
        <v>282</v>
      </c>
      <c r="B24" s="12" t="s">
        <v>829</v>
      </c>
      <c r="C24" s="12" t="s">
        <v>715</v>
      </c>
      <c r="D24" s="12" t="s">
        <v>716</v>
      </c>
      <c r="E24" s="12" t="s">
        <v>717</v>
      </c>
      <c r="F24" s="12" t="s">
        <v>809</v>
      </c>
      <c r="G24" s="12" t="s">
        <v>810</v>
      </c>
      <c r="H24" s="12">
        <v>65</v>
      </c>
      <c r="I24" s="12" t="s">
        <v>830</v>
      </c>
      <c r="J24" s="12"/>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FC5E8"/>
  </sheetPr>
  <dimension ref="A1:I29"/>
  <sheetViews>
    <sheetView workbookViewId="0">
      <pane ySplit="1" topLeftCell="A2" activePane="bottomLeft" state="frozen"/>
      <selection pane="bottomLeft"/>
    </sheetView>
  </sheetViews>
  <sheetFormatPr baseColWidth="10" defaultColWidth="8.83203125" defaultRowHeight="15" x14ac:dyDescent="0.2"/>
  <cols>
    <col min="1" max="2" width="45" customWidth="1"/>
    <col min="3" max="3" width="19" customWidth="1"/>
    <col min="4" max="4" width="15" customWidth="1"/>
    <col min="5" max="5" width="32" customWidth="1"/>
    <col min="6" max="6" width="45" customWidth="1"/>
    <col min="7" max="7" width="27" customWidth="1"/>
    <col min="8" max="8" width="34" customWidth="1"/>
    <col min="9" max="9" width="40" customWidth="1"/>
  </cols>
  <sheetData>
    <row r="1" spans="1:9" x14ac:dyDescent="0.2">
      <c r="A1" s="11" t="s">
        <v>803</v>
      </c>
      <c r="B1" s="11" t="s">
        <v>7</v>
      </c>
      <c r="C1" s="11" t="s">
        <v>831</v>
      </c>
      <c r="D1" s="11" t="s">
        <v>832</v>
      </c>
      <c r="E1" s="11" t="s">
        <v>833</v>
      </c>
      <c r="F1" s="11" t="s">
        <v>834</v>
      </c>
      <c r="G1" s="11" t="s">
        <v>835</v>
      </c>
      <c r="H1" s="11" t="s">
        <v>836</v>
      </c>
      <c r="I1" s="11" t="s">
        <v>837</v>
      </c>
    </row>
    <row r="2" spans="1:9" x14ac:dyDescent="0.2">
      <c r="A2" s="12" t="s">
        <v>443</v>
      </c>
      <c r="B2" s="12" t="s">
        <v>808</v>
      </c>
      <c r="C2" s="12">
        <v>0.8</v>
      </c>
      <c r="D2" s="12">
        <v>0.9</v>
      </c>
      <c r="E2" s="12">
        <v>22.5</v>
      </c>
      <c r="F2" s="12" t="s">
        <v>838</v>
      </c>
      <c r="G2" s="12">
        <v>0.6</v>
      </c>
      <c r="H2" s="12">
        <v>0.25</v>
      </c>
      <c r="I2" s="12"/>
    </row>
    <row r="3" spans="1:9" x14ac:dyDescent="0.2">
      <c r="A3" s="12" t="s">
        <v>675</v>
      </c>
      <c r="B3" s="12" t="s">
        <v>808</v>
      </c>
      <c r="C3" s="12">
        <v>0.8</v>
      </c>
      <c r="D3" s="12">
        <v>0.9</v>
      </c>
      <c r="E3" s="12">
        <v>16</v>
      </c>
      <c r="F3" s="12" t="s">
        <v>839</v>
      </c>
      <c r="G3" s="12">
        <v>0.6</v>
      </c>
      <c r="H3" s="12">
        <v>0.25</v>
      </c>
      <c r="I3" s="12"/>
    </row>
    <row r="4" spans="1:9" x14ac:dyDescent="0.2">
      <c r="A4" s="12" t="s">
        <v>679</v>
      </c>
      <c r="B4" s="12" t="s">
        <v>808</v>
      </c>
      <c r="C4" s="12">
        <v>0.8</v>
      </c>
      <c r="D4" s="12">
        <v>0.9</v>
      </c>
      <c r="E4" s="12">
        <v>16</v>
      </c>
      <c r="F4" s="12" t="s">
        <v>840</v>
      </c>
      <c r="G4" s="12">
        <v>0.6</v>
      </c>
      <c r="H4" s="12">
        <v>0.25</v>
      </c>
      <c r="I4" s="12"/>
    </row>
    <row r="5" spans="1:9" x14ac:dyDescent="0.2">
      <c r="A5" s="12" t="s">
        <v>33</v>
      </c>
      <c r="B5" s="12" t="s">
        <v>808</v>
      </c>
      <c r="C5" s="12">
        <v>0.8</v>
      </c>
      <c r="D5" s="12">
        <v>0.9</v>
      </c>
      <c r="E5" s="12">
        <v>18.5</v>
      </c>
      <c r="F5" s="12" t="s">
        <v>841</v>
      </c>
      <c r="G5" s="12">
        <v>0.6</v>
      </c>
      <c r="H5" s="12">
        <v>0.25</v>
      </c>
      <c r="I5" s="12"/>
    </row>
    <row r="6" spans="1:9" x14ac:dyDescent="0.2">
      <c r="A6" s="12" t="s">
        <v>688</v>
      </c>
      <c r="B6" s="12" t="s">
        <v>808</v>
      </c>
      <c r="C6" s="12">
        <v>0.8</v>
      </c>
      <c r="D6" s="12">
        <v>0.9</v>
      </c>
      <c r="E6" s="12">
        <v>19.5</v>
      </c>
      <c r="F6" s="12" t="s">
        <v>842</v>
      </c>
      <c r="G6" s="12">
        <v>0.6</v>
      </c>
      <c r="H6" s="12">
        <v>0.25</v>
      </c>
      <c r="I6" s="12"/>
    </row>
    <row r="7" spans="1:9" x14ac:dyDescent="0.2">
      <c r="A7" s="12" t="s">
        <v>539</v>
      </c>
      <c r="B7" s="12" t="s">
        <v>808</v>
      </c>
      <c r="C7" s="12">
        <v>0.8</v>
      </c>
      <c r="D7" s="12">
        <v>0.9</v>
      </c>
      <c r="E7" s="12">
        <v>17.5</v>
      </c>
      <c r="F7" s="12" t="s">
        <v>843</v>
      </c>
      <c r="G7" s="12">
        <v>0.6</v>
      </c>
      <c r="H7" s="12">
        <v>0.25</v>
      </c>
      <c r="I7" s="12"/>
    </row>
    <row r="8" spans="1:9" x14ac:dyDescent="0.2">
      <c r="A8" s="12" t="s">
        <v>693</v>
      </c>
      <c r="B8" s="12" t="s">
        <v>808</v>
      </c>
      <c r="C8" s="12">
        <v>0.8</v>
      </c>
      <c r="D8" s="12">
        <v>0.9</v>
      </c>
      <c r="E8" s="12">
        <v>17</v>
      </c>
      <c r="F8" s="12" t="s">
        <v>843</v>
      </c>
      <c r="G8" s="12">
        <v>0.6</v>
      </c>
      <c r="H8" s="12">
        <v>0.25</v>
      </c>
      <c r="I8" s="12"/>
    </row>
    <row r="9" spans="1:9" x14ac:dyDescent="0.2">
      <c r="A9" s="12" t="s">
        <v>696</v>
      </c>
      <c r="B9" s="12" t="s">
        <v>808</v>
      </c>
      <c r="C9" s="12">
        <v>0.8</v>
      </c>
      <c r="D9" s="12">
        <v>0.9</v>
      </c>
      <c r="E9" s="12">
        <v>19</v>
      </c>
      <c r="F9" s="12" t="s">
        <v>844</v>
      </c>
      <c r="G9" s="12">
        <v>0.6</v>
      </c>
      <c r="H9" s="12">
        <v>0.25</v>
      </c>
      <c r="I9" s="12"/>
    </row>
    <row r="10" spans="1:9" x14ac:dyDescent="0.2">
      <c r="A10" s="12" t="s">
        <v>700</v>
      </c>
      <c r="B10" s="12" t="s">
        <v>808</v>
      </c>
      <c r="C10" s="12">
        <v>0.8</v>
      </c>
      <c r="D10" s="12">
        <v>0.9</v>
      </c>
      <c r="E10" s="12">
        <v>19</v>
      </c>
      <c r="F10" s="12" t="s">
        <v>844</v>
      </c>
      <c r="G10" s="12">
        <v>0.6</v>
      </c>
      <c r="H10" s="12">
        <v>0.25</v>
      </c>
      <c r="I10" s="12"/>
    </row>
    <row r="11" spans="1:9" x14ac:dyDescent="0.2">
      <c r="A11" s="12" t="s">
        <v>703</v>
      </c>
      <c r="B11" s="12" t="s">
        <v>808</v>
      </c>
      <c r="C11" s="12">
        <v>0.8</v>
      </c>
      <c r="D11" s="12">
        <v>0.9</v>
      </c>
      <c r="E11" s="12">
        <v>11</v>
      </c>
      <c r="F11" s="12" t="s">
        <v>845</v>
      </c>
      <c r="G11" s="12">
        <v>0.6</v>
      </c>
      <c r="H11" s="12">
        <v>0.25</v>
      </c>
      <c r="I11" s="12"/>
    </row>
    <row r="12" spans="1:9" x14ac:dyDescent="0.2">
      <c r="A12" s="12" t="s">
        <v>711</v>
      </c>
      <c r="B12" s="12" t="s">
        <v>808</v>
      </c>
      <c r="C12" s="12">
        <v>0.8</v>
      </c>
      <c r="D12" s="12">
        <v>0.9</v>
      </c>
      <c r="E12" s="12">
        <v>10</v>
      </c>
      <c r="F12" s="12" t="s">
        <v>846</v>
      </c>
      <c r="G12" s="12">
        <v>0.6</v>
      </c>
      <c r="H12" s="12">
        <v>0.25</v>
      </c>
      <c r="I12" s="12"/>
    </row>
    <row r="13" spans="1:9" x14ac:dyDescent="0.2">
      <c r="A13" s="12" t="s">
        <v>847</v>
      </c>
      <c r="B13" s="12" t="s">
        <v>808</v>
      </c>
      <c r="C13" s="12">
        <v>0.8</v>
      </c>
      <c r="D13" s="12">
        <v>0.9</v>
      </c>
      <c r="E13" s="12">
        <v>16.350000000000001</v>
      </c>
      <c r="F13" s="12" t="s">
        <v>848</v>
      </c>
      <c r="G13" s="12">
        <v>0.6</v>
      </c>
      <c r="H13" s="12">
        <v>0.25</v>
      </c>
      <c r="I13" s="12"/>
    </row>
    <row r="14" spans="1:9" x14ac:dyDescent="0.2">
      <c r="A14" s="12" t="s">
        <v>282</v>
      </c>
      <c r="B14" s="12" t="s">
        <v>808</v>
      </c>
      <c r="C14" s="12">
        <v>0.8</v>
      </c>
      <c r="D14" s="12">
        <v>0.9</v>
      </c>
      <c r="E14" s="12">
        <v>17.7</v>
      </c>
      <c r="F14" s="12" t="s">
        <v>849</v>
      </c>
      <c r="G14" s="12">
        <v>0.6</v>
      </c>
      <c r="H14" s="12">
        <v>0.25</v>
      </c>
      <c r="I14" s="12" t="s">
        <v>779</v>
      </c>
    </row>
    <row r="15" spans="1:9" x14ac:dyDescent="0.2">
      <c r="A15" s="12" t="s">
        <v>316</v>
      </c>
      <c r="B15" s="12" t="s">
        <v>808</v>
      </c>
      <c r="C15" s="12">
        <v>0.8</v>
      </c>
      <c r="D15" s="12">
        <v>0.9</v>
      </c>
      <c r="E15" s="12"/>
      <c r="F15" s="12"/>
      <c r="G15" s="12">
        <v>0.6</v>
      </c>
      <c r="H15" s="12">
        <v>0.25</v>
      </c>
      <c r="I15" s="12"/>
    </row>
    <row r="16" spans="1:9" x14ac:dyDescent="0.2">
      <c r="A16" s="12" t="s">
        <v>320</v>
      </c>
      <c r="B16" s="12" t="s">
        <v>808</v>
      </c>
      <c r="C16" s="12">
        <v>0.8</v>
      </c>
      <c r="D16" s="12">
        <v>0.9</v>
      </c>
      <c r="E16" s="12"/>
      <c r="F16" s="12"/>
      <c r="G16" s="12">
        <v>0.6</v>
      </c>
      <c r="H16" s="12">
        <v>0.25</v>
      </c>
      <c r="I16" s="12"/>
    </row>
    <row r="17" spans="1:9" x14ac:dyDescent="0.2">
      <c r="A17" s="12" t="s">
        <v>323</v>
      </c>
      <c r="B17" s="12" t="s">
        <v>808</v>
      </c>
      <c r="C17" s="12">
        <v>0.8</v>
      </c>
      <c r="D17" s="12">
        <v>0.9</v>
      </c>
      <c r="E17" s="12">
        <v>14.2</v>
      </c>
      <c r="F17" s="12" t="s">
        <v>850</v>
      </c>
      <c r="G17" s="12">
        <v>0.6</v>
      </c>
      <c r="H17" s="12">
        <v>0.25</v>
      </c>
      <c r="I17" s="12"/>
    </row>
    <row r="18" spans="1:9" x14ac:dyDescent="0.2">
      <c r="A18" s="12" t="s">
        <v>380</v>
      </c>
      <c r="B18" s="12" t="s">
        <v>808</v>
      </c>
      <c r="C18" s="12">
        <v>0.8</v>
      </c>
      <c r="D18" s="12">
        <v>0.9</v>
      </c>
      <c r="E18" s="12"/>
      <c r="F18" s="12"/>
      <c r="G18" s="12">
        <v>0.6</v>
      </c>
      <c r="H18" s="12">
        <v>0.25</v>
      </c>
      <c r="I18" s="12"/>
    </row>
    <row r="19" spans="1:9" x14ac:dyDescent="0.2">
      <c r="A19" s="12" t="s">
        <v>397</v>
      </c>
      <c r="B19" s="12" t="s">
        <v>808</v>
      </c>
      <c r="C19" s="12">
        <v>0.8</v>
      </c>
      <c r="D19" s="12">
        <v>0.9</v>
      </c>
      <c r="E19" s="12"/>
      <c r="F19" s="12"/>
      <c r="G19" s="12">
        <v>0.6</v>
      </c>
      <c r="H19" s="12">
        <v>0.25</v>
      </c>
      <c r="I19" s="12"/>
    </row>
    <row r="20" spans="1:9" x14ac:dyDescent="0.2">
      <c r="A20" s="12" t="s">
        <v>401</v>
      </c>
      <c r="B20" s="12" t="s">
        <v>808</v>
      </c>
      <c r="C20" s="12">
        <v>0.8</v>
      </c>
      <c r="D20" s="12">
        <v>0.9</v>
      </c>
      <c r="E20" s="12"/>
      <c r="F20" s="12"/>
      <c r="G20" s="12">
        <v>0.6</v>
      </c>
      <c r="H20" s="12">
        <v>0.25</v>
      </c>
      <c r="I20" s="12"/>
    </row>
    <row r="21" spans="1:9" x14ac:dyDescent="0.2">
      <c r="A21" s="12" t="s">
        <v>422</v>
      </c>
      <c r="B21" s="12" t="s">
        <v>808</v>
      </c>
      <c r="C21" s="12">
        <v>0.8</v>
      </c>
      <c r="D21" s="12">
        <v>0.9</v>
      </c>
      <c r="E21" s="12">
        <v>23</v>
      </c>
      <c r="F21" s="12" t="s">
        <v>851</v>
      </c>
      <c r="G21" s="12">
        <v>0.6</v>
      </c>
      <c r="H21" s="12">
        <v>0.25</v>
      </c>
      <c r="I21" s="12"/>
    </row>
    <row r="22" spans="1:9" x14ac:dyDescent="0.2">
      <c r="A22" s="12" t="s">
        <v>352</v>
      </c>
      <c r="B22" s="12" t="s">
        <v>808</v>
      </c>
      <c r="C22" s="12">
        <v>0.8</v>
      </c>
      <c r="D22" s="12">
        <v>0.9</v>
      </c>
      <c r="E22" s="12"/>
      <c r="F22" s="12"/>
      <c r="G22" s="12">
        <v>0.6</v>
      </c>
      <c r="H22" s="12">
        <v>0.25</v>
      </c>
      <c r="I22" s="12"/>
    </row>
    <row r="23" spans="1:9" x14ac:dyDescent="0.2">
      <c r="A23" s="12" t="s">
        <v>356</v>
      </c>
      <c r="B23" s="12" t="s">
        <v>808</v>
      </c>
      <c r="C23" s="12">
        <v>0.8</v>
      </c>
      <c r="D23" s="12">
        <v>0.9</v>
      </c>
      <c r="E23" s="12"/>
      <c r="F23" s="12"/>
      <c r="G23" s="12">
        <v>0.6</v>
      </c>
      <c r="H23" s="12">
        <v>0.25</v>
      </c>
      <c r="I23" s="12"/>
    </row>
    <row r="24" spans="1:9" x14ac:dyDescent="0.2">
      <c r="A24" s="12" t="s">
        <v>330</v>
      </c>
      <c r="B24" s="12" t="s">
        <v>808</v>
      </c>
      <c r="C24" s="12">
        <v>0.8</v>
      </c>
      <c r="D24" s="12">
        <v>0.9</v>
      </c>
      <c r="E24" s="12"/>
      <c r="F24" s="12"/>
      <c r="G24" s="12">
        <v>0.6</v>
      </c>
      <c r="H24" s="12">
        <v>0.25</v>
      </c>
      <c r="I24" s="12"/>
    </row>
    <row r="25" spans="1:9" x14ac:dyDescent="0.2">
      <c r="A25" s="12"/>
      <c r="B25" s="12"/>
      <c r="C25" s="12"/>
      <c r="D25" s="12"/>
      <c r="E25" s="12"/>
      <c r="F25" s="12"/>
      <c r="G25" s="12"/>
      <c r="H25" s="12"/>
      <c r="I25" s="12"/>
    </row>
    <row r="26" spans="1:9" x14ac:dyDescent="0.2">
      <c r="A26" s="12"/>
      <c r="B26" s="12"/>
      <c r="C26" s="12"/>
      <c r="D26" s="12"/>
      <c r="E26" s="12"/>
      <c r="F26" s="12"/>
      <c r="G26" s="12"/>
      <c r="H26" s="12"/>
      <c r="I26" s="12"/>
    </row>
    <row r="27" spans="1:9" x14ac:dyDescent="0.2">
      <c r="A27" s="12" t="s">
        <v>852</v>
      </c>
      <c r="B27" s="12" t="s">
        <v>853</v>
      </c>
      <c r="C27" s="12"/>
      <c r="D27" s="12"/>
      <c r="E27" s="12"/>
      <c r="F27" s="12"/>
      <c r="G27" s="12"/>
      <c r="H27" s="12"/>
      <c r="I27" s="12"/>
    </row>
    <row r="28" spans="1:9" x14ac:dyDescent="0.2">
      <c r="A28" s="12" t="s">
        <v>854</v>
      </c>
      <c r="B28" s="12"/>
      <c r="C28" s="12"/>
      <c r="D28" s="12"/>
      <c r="E28" s="12"/>
      <c r="F28" s="12"/>
      <c r="G28" s="12"/>
      <c r="H28" s="12"/>
      <c r="I28" s="12"/>
    </row>
    <row r="29" spans="1:9" x14ac:dyDescent="0.2">
      <c r="A29" s="12" t="s">
        <v>855</v>
      </c>
      <c r="B29" s="12"/>
      <c r="C29" s="12"/>
      <c r="D29" s="12"/>
      <c r="E29" s="12"/>
      <c r="F29" s="12"/>
      <c r="G29" s="12"/>
      <c r="H29" s="12"/>
      <c r="I29" s="12"/>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FC5E8"/>
  </sheetPr>
  <dimension ref="A1:F6"/>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3" width="20" customWidth="1"/>
    <col min="4" max="4" width="38" customWidth="1"/>
    <col min="5" max="5" width="37" customWidth="1"/>
    <col min="6" max="6" width="44" customWidth="1"/>
  </cols>
  <sheetData>
    <row r="1" spans="1:6" x14ac:dyDescent="0.2">
      <c r="A1" s="11" t="s">
        <v>856</v>
      </c>
      <c r="B1" s="11" t="s">
        <v>857</v>
      </c>
      <c r="C1" s="11" t="s">
        <v>858</v>
      </c>
      <c r="D1" s="11" t="s">
        <v>859</v>
      </c>
      <c r="E1" s="11" t="s">
        <v>860</v>
      </c>
      <c r="F1" s="11" t="s">
        <v>861</v>
      </c>
    </row>
    <row r="2" spans="1:6" x14ac:dyDescent="0.2">
      <c r="A2" s="12" t="s">
        <v>75</v>
      </c>
      <c r="B2" s="12" t="s">
        <v>764</v>
      </c>
      <c r="C2" s="12" t="s">
        <v>215</v>
      </c>
      <c r="D2" s="12" t="s">
        <v>776</v>
      </c>
      <c r="E2" s="12"/>
      <c r="F2" s="12"/>
    </row>
    <row r="3" spans="1:6" x14ac:dyDescent="0.2">
      <c r="A3" s="12" t="s">
        <v>79</v>
      </c>
      <c r="B3" s="12" t="s">
        <v>297</v>
      </c>
      <c r="C3" s="12" t="s">
        <v>215</v>
      </c>
      <c r="D3" s="12" t="s">
        <v>779</v>
      </c>
      <c r="E3" s="12"/>
      <c r="F3" s="12"/>
    </row>
    <row r="4" spans="1:6" x14ac:dyDescent="0.2">
      <c r="A4" s="12" t="s">
        <v>81</v>
      </c>
      <c r="B4" s="12" t="s">
        <v>297</v>
      </c>
      <c r="C4" s="12" t="s">
        <v>215</v>
      </c>
      <c r="D4" s="12"/>
      <c r="E4" s="12"/>
      <c r="F4" s="12"/>
    </row>
    <row r="5" spans="1:6" x14ac:dyDescent="0.2">
      <c r="A5" s="12" t="s">
        <v>83</v>
      </c>
      <c r="B5" s="12" t="s">
        <v>292</v>
      </c>
      <c r="C5" s="12" t="s">
        <v>233</v>
      </c>
      <c r="D5" s="12"/>
      <c r="E5" s="12" t="s">
        <v>782</v>
      </c>
      <c r="F5" s="12" t="s">
        <v>785</v>
      </c>
    </row>
    <row r="6" spans="1:6" x14ac:dyDescent="0.2">
      <c r="A6" s="12" t="s">
        <v>85</v>
      </c>
      <c r="B6" s="12" t="s">
        <v>300</v>
      </c>
      <c r="C6" s="12" t="s">
        <v>233</v>
      </c>
      <c r="D6" s="12"/>
      <c r="E6" s="12"/>
      <c r="F6" s="12"/>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6B26B"/>
  </sheetPr>
  <dimension ref="A1:E9"/>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14" customWidth="1"/>
    <col min="3" max="3" width="15" customWidth="1"/>
    <col min="4" max="4" width="45" customWidth="1"/>
    <col min="5" max="5" width="42" customWidth="1"/>
  </cols>
  <sheetData>
    <row r="1" spans="1:5" x14ac:dyDescent="0.2">
      <c r="A1" s="13" t="s">
        <v>862</v>
      </c>
      <c r="B1" s="13" t="s">
        <v>167</v>
      </c>
      <c r="C1" s="13" t="s">
        <v>7</v>
      </c>
      <c r="D1" s="13" t="s">
        <v>6</v>
      </c>
      <c r="E1" s="13" t="s">
        <v>14</v>
      </c>
    </row>
    <row r="2" spans="1:5" x14ac:dyDescent="0.2">
      <c r="A2" s="14" t="s">
        <v>863</v>
      </c>
      <c r="B2" s="14">
        <v>100</v>
      </c>
      <c r="C2" s="14" t="s">
        <v>67</v>
      </c>
      <c r="D2" s="14" t="s">
        <v>864</v>
      </c>
      <c r="E2" s="14" t="s">
        <v>865</v>
      </c>
    </row>
    <row r="3" spans="1:5" x14ac:dyDescent="0.2">
      <c r="A3" s="14" t="s">
        <v>866</v>
      </c>
      <c r="B3" s="14">
        <v>50</v>
      </c>
      <c r="C3" s="14" t="s">
        <v>867</v>
      </c>
      <c r="D3" s="14" t="s">
        <v>868</v>
      </c>
      <c r="E3" s="14" t="s">
        <v>869</v>
      </c>
    </row>
    <row r="4" spans="1:5" x14ac:dyDescent="0.2">
      <c r="A4" s="14" t="s">
        <v>870</v>
      </c>
      <c r="B4" s="14">
        <v>1</v>
      </c>
      <c r="C4" s="14" t="s">
        <v>23</v>
      </c>
      <c r="D4" s="14" t="s">
        <v>871</v>
      </c>
      <c r="E4" s="14" t="s">
        <v>872</v>
      </c>
    </row>
    <row r="5" spans="1:5" x14ac:dyDescent="0.2">
      <c r="A5" s="14" t="s">
        <v>873</v>
      </c>
      <c r="B5" s="14">
        <v>3.6666669999999999</v>
      </c>
      <c r="C5" s="14" t="s">
        <v>874</v>
      </c>
      <c r="D5" s="14" t="s">
        <v>875</v>
      </c>
      <c r="E5" s="14" t="s">
        <v>876</v>
      </c>
    </row>
    <row r="6" spans="1:5" x14ac:dyDescent="0.2">
      <c r="A6" s="14" t="s">
        <v>877</v>
      </c>
      <c r="B6" s="14">
        <v>3.6</v>
      </c>
      <c r="C6" s="14" t="s">
        <v>878</v>
      </c>
      <c r="D6" s="14" t="s">
        <v>879</v>
      </c>
      <c r="E6" s="14" t="s">
        <v>876</v>
      </c>
    </row>
    <row r="7" spans="1:5" x14ac:dyDescent="0.2">
      <c r="A7" s="14" t="s">
        <v>880</v>
      </c>
      <c r="B7" s="14" t="s">
        <v>761</v>
      </c>
      <c r="C7" s="14" t="s">
        <v>23</v>
      </c>
      <c r="D7" s="14" t="s">
        <v>881</v>
      </c>
      <c r="E7" s="14"/>
    </row>
    <row r="8" spans="1:5" x14ac:dyDescent="0.2">
      <c r="A8" s="14" t="s">
        <v>882</v>
      </c>
      <c r="B8" s="14" t="s">
        <v>756</v>
      </c>
      <c r="C8" s="14" t="s">
        <v>23</v>
      </c>
      <c r="D8" s="14" t="s">
        <v>883</v>
      </c>
      <c r="E8" s="14"/>
    </row>
    <row r="9" spans="1:5" x14ac:dyDescent="0.2">
      <c r="A9" s="14" t="s">
        <v>884</v>
      </c>
      <c r="B9" s="14" t="s">
        <v>847</v>
      </c>
      <c r="C9" s="14" t="s">
        <v>23</v>
      </c>
      <c r="D9" s="14" t="s">
        <v>885</v>
      </c>
      <c r="E9" s="14"/>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6B26B"/>
  </sheetPr>
  <dimension ref="A1:M12"/>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13" customWidth="1"/>
    <col min="3" max="11" width="14" customWidth="1"/>
    <col min="12" max="12" width="15" customWidth="1"/>
    <col min="13" max="13" width="45" customWidth="1"/>
  </cols>
  <sheetData>
    <row r="1" spans="1:13" x14ac:dyDescent="0.2">
      <c r="A1" s="13" t="s">
        <v>886</v>
      </c>
      <c r="B1" s="13" t="s">
        <v>887</v>
      </c>
      <c r="C1" s="13" t="s">
        <v>888</v>
      </c>
      <c r="D1" s="13" t="s">
        <v>889</v>
      </c>
      <c r="E1" s="13" t="s">
        <v>890</v>
      </c>
      <c r="F1" s="13" t="s">
        <v>891</v>
      </c>
      <c r="G1" s="13" t="s">
        <v>892</v>
      </c>
      <c r="H1" s="13" t="s">
        <v>893</v>
      </c>
      <c r="I1" s="13" t="s">
        <v>894</v>
      </c>
      <c r="J1" s="13" t="s">
        <v>895</v>
      </c>
      <c r="K1" s="13" t="s">
        <v>896</v>
      </c>
      <c r="L1" s="13" t="s">
        <v>897</v>
      </c>
      <c r="M1" s="13" t="s">
        <v>14</v>
      </c>
    </row>
    <row r="2" spans="1:13" x14ac:dyDescent="0.2">
      <c r="A2" s="14">
        <v>1</v>
      </c>
      <c r="B2" s="14">
        <v>0</v>
      </c>
      <c r="C2" s="14">
        <v>-7.0000000000000007E-2</v>
      </c>
      <c r="D2" s="14">
        <v>-0.15</v>
      </c>
      <c r="E2" s="14">
        <v>-0.23</v>
      </c>
      <c r="F2" s="14">
        <v>-0.32</v>
      </c>
      <c r="G2" s="14">
        <v>-0.4</v>
      </c>
      <c r="H2" s="14">
        <v>-0.5</v>
      </c>
      <c r="I2" s="14">
        <v>-0.6</v>
      </c>
      <c r="J2" s="14">
        <v>-0.71</v>
      </c>
      <c r="K2" s="14">
        <v>-0.84</v>
      </c>
      <c r="L2" s="14">
        <v>-0.99</v>
      </c>
      <c r="M2" s="14" t="s">
        <v>898</v>
      </c>
    </row>
    <row r="3" spans="1:13" x14ac:dyDescent="0.2">
      <c r="A3" s="14">
        <v>10</v>
      </c>
      <c r="B3" s="14">
        <v>0.04</v>
      </c>
      <c r="C3" s="14">
        <v>-0.04</v>
      </c>
      <c r="D3" s="14">
        <v>-0.12</v>
      </c>
      <c r="E3" s="14">
        <v>-0.2</v>
      </c>
      <c r="F3" s="14">
        <v>-0.28000000000000003</v>
      </c>
      <c r="G3" s="14">
        <v>-0.37</v>
      </c>
      <c r="H3" s="14">
        <v>-0.46</v>
      </c>
      <c r="I3" s="14">
        <v>-0.56999999999999995</v>
      </c>
      <c r="J3" s="14">
        <v>-0.68</v>
      </c>
      <c r="K3" s="14">
        <v>-0.8</v>
      </c>
      <c r="L3" s="14">
        <v>-0.96</v>
      </c>
      <c r="M3" s="14" t="s">
        <v>898</v>
      </c>
    </row>
    <row r="4" spans="1:13" x14ac:dyDescent="0.2">
      <c r="A4" s="14">
        <v>20</v>
      </c>
      <c r="B4" s="14">
        <v>0.08</v>
      </c>
      <c r="C4" s="14">
        <v>0</v>
      </c>
      <c r="D4" s="14">
        <v>-0.08</v>
      </c>
      <c r="E4" s="14">
        <v>-0.16</v>
      </c>
      <c r="F4" s="14">
        <v>-0.24</v>
      </c>
      <c r="G4" s="14">
        <v>-0.33</v>
      </c>
      <c r="H4" s="14">
        <v>-0.42</v>
      </c>
      <c r="I4" s="14">
        <v>-0.53</v>
      </c>
      <c r="J4" s="14">
        <v>-0.64</v>
      </c>
      <c r="K4" s="14">
        <v>-0.76</v>
      </c>
      <c r="L4" s="14">
        <v>-0.92</v>
      </c>
      <c r="M4" s="14" t="s">
        <v>898</v>
      </c>
    </row>
    <row r="5" spans="1:13" x14ac:dyDescent="0.2">
      <c r="A5" s="14">
        <v>30</v>
      </c>
      <c r="B5" s="14">
        <v>0.12</v>
      </c>
      <c r="C5" s="14">
        <v>0.04</v>
      </c>
      <c r="D5" s="14">
        <v>-0.04</v>
      </c>
      <c r="E5" s="14">
        <v>-0.12</v>
      </c>
      <c r="F5" s="14">
        <v>-0.2</v>
      </c>
      <c r="G5" s="14">
        <v>-0.28999999999999998</v>
      </c>
      <c r="H5" s="14">
        <v>-0.38</v>
      </c>
      <c r="I5" s="14">
        <v>-0.48</v>
      </c>
      <c r="J5" s="14">
        <v>-0.6</v>
      </c>
      <c r="K5" s="14">
        <v>-0.72</v>
      </c>
      <c r="L5" s="14">
        <v>-0.88</v>
      </c>
      <c r="M5" s="14" t="s">
        <v>898</v>
      </c>
    </row>
    <row r="6" spans="1:13" x14ac:dyDescent="0.2">
      <c r="A6" s="14">
        <v>40</v>
      </c>
      <c r="B6" s="14">
        <v>0.16</v>
      </c>
      <c r="C6" s="14">
        <v>0.09</v>
      </c>
      <c r="D6" s="14">
        <v>0.01</v>
      </c>
      <c r="E6" s="14">
        <v>-0.08</v>
      </c>
      <c r="F6" s="14">
        <v>-0.16</v>
      </c>
      <c r="G6" s="14">
        <v>-0.25</v>
      </c>
      <c r="H6" s="14">
        <v>-0.34</v>
      </c>
      <c r="I6" s="14">
        <v>-0.44</v>
      </c>
      <c r="J6" s="14">
        <v>-0.55000000000000004</v>
      </c>
      <c r="K6" s="14">
        <v>-0.68</v>
      </c>
      <c r="L6" s="14">
        <v>-0.84</v>
      </c>
      <c r="M6" s="14" t="s">
        <v>898</v>
      </c>
    </row>
    <row r="7" spans="1:13" x14ac:dyDescent="0.2">
      <c r="A7" s="14">
        <v>50</v>
      </c>
      <c r="B7" s="14">
        <v>0.2</v>
      </c>
      <c r="C7" s="14">
        <v>0.13</v>
      </c>
      <c r="D7" s="14">
        <v>0.05</v>
      </c>
      <c r="E7" s="14">
        <v>-0.03</v>
      </c>
      <c r="F7" s="14">
        <v>-0.12</v>
      </c>
      <c r="G7" s="14">
        <v>-0.21</v>
      </c>
      <c r="H7" s="14">
        <v>-0.3</v>
      </c>
      <c r="I7" s="14">
        <v>-0.4</v>
      </c>
      <c r="J7" s="14">
        <v>-0.51</v>
      </c>
      <c r="K7" s="14">
        <v>-0.64</v>
      </c>
      <c r="L7" s="14">
        <v>-0.8</v>
      </c>
      <c r="M7" s="14" t="s">
        <v>898</v>
      </c>
    </row>
    <row r="8" spans="1:13" x14ac:dyDescent="0.2">
      <c r="A8" s="14">
        <v>60</v>
      </c>
      <c r="B8" s="14">
        <v>0.25</v>
      </c>
      <c r="C8" s="14">
        <v>0.17</v>
      </c>
      <c r="D8" s="14">
        <v>0.09</v>
      </c>
      <c r="E8" s="14">
        <v>0.01</v>
      </c>
      <c r="F8" s="14">
        <v>-7.0000000000000007E-2</v>
      </c>
      <c r="G8" s="14">
        <v>-0.16</v>
      </c>
      <c r="H8" s="14">
        <v>-0.26</v>
      </c>
      <c r="I8" s="14">
        <v>-0.36</v>
      </c>
      <c r="J8" s="14">
        <v>-0.47</v>
      </c>
      <c r="K8" s="14">
        <v>-0.59</v>
      </c>
      <c r="L8" s="14">
        <v>-0.75</v>
      </c>
      <c r="M8" s="14" t="s">
        <v>898</v>
      </c>
    </row>
    <row r="9" spans="1:13" x14ac:dyDescent="0.2">
      <c r="A9" s="14">
        <v>70</v>
      </c>
      <c r="B9" s="14">
        <v>0.28999999999999998</v>
      </c>
      <c r="C9" s="14">
        <v>0.22</v>
      </c>
      <c r="D9" s="14">
        <v>0.14000000000000001</v>
      </c>
      <c r="E9" s="14">
        <v>0.06</v>
      </c>
      <c r="F9" s="14">
        <v>-0.03</v>
      </c>
      <c r="G9" s="14">
        <v>-0.12</v>
      </c>
      <c r="H9" s="14">
        <v>-0.21</v>
      </c>
      <c r="I9" s="14">
        <v>-0.31</v>
      </c>
      <c r="J9" s="14">
        <v>-0.42</v>
      </c>
      <c r="K9" s="14">
        <v>-0.55000000000000004</v>
      </c>
      <c r="L9" s="14">
        <v>-0.71</v>
      </c>
      <c r="M9" s="14" t="s">
        <v>898</v>
      </c>
    </row>
    <row r="10" spans="1:13" x14ac:dyDescent="0.2">
      <c r="A10" s="14">
        <v>80</v>
      </c>
      <c r="B10" s="14">
        <v>0.34</v>
      </c>
      <c r="C10" s="14">
        <v>0.26</v>
      </c>
      <c r="D10" s="14">
        <v>0.18</v>
      </c>
      <c r="E10" s="14">
        <v>0.1</v>
      </c>
      <c r="F10" s="14">
        <v>0.02</v>
      </c>
      <c r="G10" s="14">
        <v>-7.0000000000000007E-2</v>
      </c>
      <c r="H10" s="14">
        <v>-0.17</v>
      </c>
      <c r="I10" s="14">
        <v>-0.27</v>
      </c>
      <c r="J10" s="14">
        <v>-0.38</v>
      </c>
      <c r="K10" s="14">
        <v>-0.5</v>
      </c>
      <c r="L10" s="14">
        <v>-0.66</v>
      </c>
      <c r="M10" s="14" t="s">
        <v>898</v>
      </c>
    </row>
    <row r="11" spans="1:13" x14ac:dyDescent="0.2">
      <c r="A11" s="14">
        <v>90</v>
      </c>
      <c r="B11" s="14">
        <v>0.38</v>
      </c>
      <c r="C11" s="14">
        <v>0.31</v>
      </c>
      <c r="D11" s="14">
        <v>0.23</v>
      </c>
      <c r="E11" s="14">
        <v>0.15</v>
      </c>
      <c r="F11" s="14">
        <v>0.06</v>
      </c>
      <c r="G11" s="14">
        <v>-0.03</v>
      </c>
      <c r="H11" s="14">
        <v>-0.12</v>
      </c>
      <c r="I11" s="14">
        <v>-0.22</v>
      </c>
      <c r="J11" s="14">
        <v>-0.33</v>
      </c>
      <c r="K11" s="14">
        <v>-0.46</v>
      </c>
      <c r="L11" s="14">
        <v>-0.62</v>
      </c>
      <c r="M11" s="14" t="s">
        <v>898</v>
      </c>
    </row>
    <row r="12" spans="1:13" x14ac:dyDescent="0.2">
      <c r="A12" s="14">
        <v>100</v>
      </c>
      <c r="B12" s="14">
        <v>0.44</v>
      </c>
      <c r="C12" s="14">
        <v>0.37</v>
      </c>
      <c r="D12" s="14">
        <v>0.28999999999999998</v>
      </c>
      <c r="E12" s="14">
        <v>0.21</v>
      </c>
      <c r="F12" s="14">
        <v>0.12</v>
      </c>
      <c r="G12" s="14">
        <v>3.2000000000000001E-2</v>
      </c>
      <c r="H12" s="14">
        <v>-0.06</v>
      </c>
      <c r="I12" s="14">
        <v>-0.16</v>
      </c>
      <c r="J12" s="14">
        <v>-0.27</v>
      </c>
      <c r="K12" s="14">
        <v>-0.4</v>
      </c>
      <c r="L12" s="14">
        <v>-0.56000000000000005</v>
      </c>
      <c r="M12" s="14" t="s">
        <v>898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6B26B"/>
  </sheetPr>
  <dimension ref="A1:D5"/>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15" customWidth="1"/>
    <col min="3" max="3" width="22" customWidth="1"/>
    <col min="4" max="4" width="45" customWidth="1"/>
  </cols>
  <sheetData>
    <row r="1" spans="1:4" x14ac:dyDescent="0.2">
      <c r="A1" s="13" t="s">
        <v>899</v>
      </c>
      <c r="B1" s="13" t="s">
        <v>900</v>
      </c>
      <c r="C1" s="13" t="s">
        <v>901</v>
      </c>
      <c r="D1" s="13" t="s">
        <v>14</v>
      </c>
    </row>
    <row r="2" spans="1:4" x14ac:dyDescent="0.2">
      <c r="A2" s="14" t="s">
        <v>902</v>
      </c>
      <c r="B2" s="14">
        <v>0.217</v>
      </c>
      <c r="C2" s="14"/>
      <c r="D2" s="14" t="s">
        <v>903</v>
      </c>
    </row>
    <row r="3" spans="1:4" x14ac:dyDescent="0.2">
      <c r="A3" s="14" t="s">
        <v>904</v>
      </c>
      <c r="B3" s="14">
        <v>0.25900000000000001</v>
      </c>
      <c r="C3" s="14">
        <v>172.9</v>
      </c>
      <c r="D3" s="14" t="s">
        <v>903</v>
      </c>
    </row>
    <row r="4" spans="1:4" x14ac:dyDescent="0.2">
      <c r="A4" s="14" t="s">
        <v>905</v>
      </c>
      <c r="B4" s="14">
        <v>0.33800000000000002</v>
      </c>
      <c r="C4" s="14">
        <v>18.510000000000002</v>
      </c>
      <c r="D4" s="14" t="s">
        <v>903</v>
      </c>
    </row>
    <row r="5" spans="1:4" x14ac:dyDescent="0.2">
      <c r="A5" s="14" t="s">
        <v>906</v>
      </c>
      <c r="B5" s="14">
        <v>0.186</v>
      </c>
      <c r="C5" s="14">
        <v>1.1859999999999999</v>
      </c>
      <c r="D5" s="14" t="s">
        <v>903</v>
      </c>
    </row>
  </sheetData>
  <pageMargins left="0.75" right="0.75" top="1" bottom="1" header="0.5" footer="0.5"/>
</worksheet>
</file>

<file path=docMetadata/LabelInfo.xml><?xml version="1.0" encoding="utf-8"?>
<clbl:labelList xmlns:clbl="http://schemas.microsoft.com/office/2020/mipLabelMetadata">
  <clbl:label id="{d465f887-04a9-4c17-8b62-103eddccf68b}" enabled="1" method="Standard" siteId="{ca2a7f76-dbd7-4ec0-9108-6b3d524fb7c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fu_comparison</vt:lpstr>
      <vt:lpstr>study_setup</vt:lpstr>
      <vt:lpstr>impact_categories</vt:lpstr>
      <vt:lpstr>scenarios</vt:lpstr>
      <vt:lpstr>lci_baselines</vt:lpstr>
      <vt:lpstr>lci_raw_biopol</vt:lpstr>
      <vt:lpstr>lci_raw_knit</vt:lpstr>
      <vt:lpstr>lci_raw_timber</vt:lpstr>
      <vt:lpstr>lci_raw_cfw</vt:lpstr>
      <vt:lpstr>product_size_formulas</vt:lpstr>
      <vt:lpstr>unit_burdens_dataSources</vt:lpstr>
      <vt:lpstr>benefits_constants_dataSources</vt:lpstr>
      <vt:lpstr>EoL_constants</vt:lpstr>
      <vt:lpstr>eol_routes</vt:lpstr>
      <vt:lpstr>constants</vt:lpstr>
      <vt:lpstr>gwpbio_table</vt:lpstr>
      <vt:lpstr>dcf_bern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Tsui, T.P.Y. (Tanya)</cp:lastModifiedBy>
  <dcterms:created xsi:type="dcterms:W3CDTF">2026-09-25T12:10:23Z</dcterms:created>
  <dcterms:modified xsi:type="dcterms:W3CDTF">2026-09-29T14:51:30Z</dcterms:modified>
</cp:coreProperties>
</file>
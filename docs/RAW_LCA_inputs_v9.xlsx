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biobased_construction_impact_calculator/docs/"/>
    </mc:Choice>
  </mc:AlternateContent>
  <xr:revisionPtr revIDLastSave="2" documentId="11_01CE299951EC36AEFF5DB2346CC0EB4C25C8E889" xr6:coauthVersionLast="47" xr6:coauthVersionMax="47" xr10:uidLastSave="{8D917A82-04A7-0849-B414-45717002C143}"/>
  <bookViews>
    <workbookView xWindow="0" yWindow="660" windowWidth="29400" windowHeight="18460" firstSheet="2" activeTab="8" xr2:uid="{00000000-000D-0000-FFFF-FFFF00000000}"/>
  </bookViews>
  <sheets>
    <sheet name="README" sheetId="1" r:id="rId1"/>
    <sheet name="fu_comparison" sheetId="2" r:id="rId2"/>
    <sheet name="study_setup" sheetId="3" r:id="rId3"/>
    <sheet name="impact_categories" sheetId="4" r:id="rId4"/>
    <sheet name="scenarios" sheetId="5" r:id="rId5"/>
    <sheet name="lci_baselines" sheetId="10" r:id="rId6"/>
    <sheet name="lci_raw_biopol" sheetId="6" r:id="rId7"/>
    <sheet name="lci_raw_knit" sheetId="9" r:id="rId8"/>
    <sheet name="lci_raw_timber" sheetId="7" r:id="rId9"/>
    <sheet name="lci_raw_cfw" sheetId="8" r:id="rId10"/>
    <sheet name="product_size_formulas" sheetId="11" r:id="rId11"/>
    <sheet name="unit_burdens_dataSources" sheetId="12" r:id="rId12"/>
    <sheet name="benefits_constants_dataSources" sheetId="13" r:id="rId13"/>
    <sheet name="EoL_constants" sheetId="14" r:id="rId14"/>
    <sheet name="eol_routes" sheetId="15" r:id="rId15"/>
    <sheet name="constants" sheetId="16" r:id="rId16"/>
    <sheet name="gwpbio_table" sheetId="17" r:id="rId17"/>
    <sheet name="dcf_bern" sheetId="18" r:id="rId18"/>
  </sheets>
  <calcPr calcId="0"/>
</workbook>
</file>

<file path=xl/sharedStrings.xml><?xml version="1.0" encoding="utf-8"?>
<sst xmlns="http://schemas.openxmlformats.org/spreadsheetml/2006/main" count="3542" uniqueCount="894">
  <si>
    <t>case</t>
  </si>
  <si>
    <t>group</t>
  </si>
  <si>
    <t>stage</t>
  </si>
  <si>
    <t>item</t>
  </si>
  <si>
    <t>qualifier</t>
  </si>
  <si>
    <t>parameter</t>
  </si>
  <si>
    <t>description</t>
  </si>
  <si>
    <t>unit</t>
  </si>
  <si>
    <t>typical</t>
  </si>
  <si>
    <t>min</t>
  </si>
  <si>
    <t>max</t>
  </si>
  <si>
    <t>scaled_up</t>
  </si>
  <si>
    <t>distribution</t>
  </si>
  <si>
    <t>choices</t>
  </si>
  <si>
    <t>source</t>
  </si>
  <si>
    <t>status</t>
  </si>
  <si>
    <t>comments</t>
  </si>
  <si>
    <t>raw_biopol</t>
  </si>
  <si>
    <t>design</t>
  </si>
  <si>
    <t>product size</t>
  </si>
  <si>
    <t>product</t>
  </si>
  <si>
    <t>wall_height</t>
  </si>
  <si>
    <t>Height of the wall</t>
  </si>
  <si>
    <t>m</t>
  </si>
  <si>
    <t>fixed</t>
  </si>
  <si>
    <t>Functional unit: a 3 m high partition wall (fu_comparison); same for all compared walls</t>
  </si>
  <si>
    <t>partner estimate</t>
  </si>
  <si>
    <t>fixed: standard storey height, must equal for the compared walls</t>
  </si>
  <si>
    <t>thickness_ratio</t>
  </si>
  <si>
    <t>Wall height divided by wall thickness</t>
  </si>
  <si>
    <t>-</t>
  </si>
  <si>
    <t>triangular</t>
  </si>
  <si>
    <t>RAW printed wall of 0.30 m thickness (height 3 m / 10); Confirmed by the LCA team lead (Tanya) on 2026-09-29</t>
  </si>
  <si>
    <t>Range 8-12 = 0.25-0.375 m. A thick, single-material printed wall is needed for stability and to carry its own weight; also the same ratio as the adobe baseline (lci_baselines), so the comparison is on equal geometry logic.</t>
  </si>
  <si>
    <t>density</t>
  </si>
  <si>
    <t>Density of the finished biopolymer wall</t>
  </si>
  <si>
    <t>kg/m3</t>
  </si>
  <si>
    <t>Finished (dried) wall density incl. voids, Confirmed by the LCA team lead (Tanya) on 2026-09-29; comparable bio-based fibre composites such as hempcrete are ~300-450 kg/m3 (general knowledge, not re-checked online)</t>
  </si>
  <si>
    <t>350 kg/m3 (280-420) is plausible: sawdust/fibre bulk densities are ~100-250 kg/m3 and the pea-protein binder densifies it; light but heavier than pure fibre insulation.</t>
  </si>
  <si>
    <t>production</t>
  </si>
  <si>
    <t>Pea protein binder</t>
  </si>
  <si>
    <t>virgin</t>
  </si>
  <si>
    <t>share of input mass</t>
  </si>
  <si>
    <t>Share of the production input mass made of this material (virgin); the shares of one stage add up to 100 %</t>
  </si>
  <si>
    <t>%</t>
  </si>
  <si>
    <t>RAW recipe (dry-mass shares), Confirmed by the LCA team lead (Tanya) on 2026-09-29</t>
  </si>
  <si>
    <t>Protein is the binder and the bulk of the dry mass (70%). Shares are dry mass; water is not part of the BOM and enters through the baking yield. Range +-20% of the value, shares are re-normalised to 100%.</t>
  </si>
  <si>
    <t>Sawdust</t>
  </si>
  <si>
    <t>co-product</t>
  </si>
  <si>
    <t>Share of the production input mass made of this material (co-product); the shares of one stage add up to 100 %</t>
  </si>
  <si>
    <t>Sawdust is the filler/fibre from wood-processing residues (20%). Shares are dry mass; water is not part of the BOM and enters through the baking yield. Range +-20% of the value, shares are re-normalised to 100%.</t>
  </si>
  <si>
    <t>Seagrass</t>
  </si>
  <si>
    <t>wild-harvested</t>
  </si>
  <si>
    <t>Share of the production input mass made of this material (wild-harvested); the shares of one stage add up to 100 %</t>
  </si>
  <si>
    <t>Seagrass fibre (10%) adds fibre reinforcement and is a beach-cast, wild-harvested residue. Shares are dry mass; water is not part of the BOM and enters through the baking yield. Range +-20% of the value, shares are re-normalised to 100%.</t>
  </si>
  <si>
    <t>repair</t>
  </si>
  <si>
    <t>Share of the repair input mass made of this material (virgin); the shares of one stage add up to 100 %</t>
  </si>
  <si>
    <t>Assumption (Claude), based on production recipe 70/20/10 with sawdust replaced by hemp fibre</t>
  </si>
  <si>
    <t>Repair paste assumed to differ from the production paste: more binder for adhesion to the old wall and hemp fibre (crack-bridging, longer than sawdust) instead of sawdust. Assumption by Claude - please confirm. Shares add up to 100%.</t>
  </si>
  <si>
    <t>Share of the repair input mass made of this material (wild-harvested); the shares of one stage add up to 100 %</t>
  </si>
  <si>
    <t>Hemp fiber</t>
  </si>
  <si>
    <t>manufacturing</t>
  </si>
  <si>
    <t>Milling</t>
  </si>
  <si>
    <t>machine weight</t>
  </si>
  <si>
    <t>Weight of the machine used in this step (used to account for machine wear)</t>
  </si>
  <si>
    <t>kg</t>
  </si>
  <si>
    <t>PROTOTYPE machine assumed: laboratory cutting mill of the Retsch SM 300 class (studio/workshop fine-milling of sawdust and seagrass). Weight 160 kg and 3 kW motor from Retsch SM 300 datasheet (retsch.com product data sheet). SCALED-UP machine assumed: industrial biomass hammer mill, medium class (22-55 kW, 0.5-2.5 t/h; Lansonmachines hammer mill guide). 1500 kg is a typical mass for a 30 kW mill (assumption, not retrieved).</t>
  </si>
  <si>
    <t>literature</t>
  </si>
  <si>
    <t>Was 65 kg. Datasheet weight for the prototype; the industrial value is an engineering assumption.</t>
  </si>
  <si>
    <t>power</t>
  </si>
  <si>
    <t>Electric power the machine draws while running</t>
  </si>
  <si>
    <t>kW</t>
  </si>
  <si>
    <t>PROTOTYPE machine assumed: laboratory cutting mill of the Retsch SM 300 class (studio/workshop fine-milling of sawdust and seagrass). Motor rating 3 kW (Retsch datasheet); average draw under load assumed ~65% of rating = 2.0 kW. SCALED-UP machine assumed: industrial biomass hammer mill, medium class (22-55 kW, 0.5-2.5 t/h; Lansonmachines hammer mill guide). 30 kW, mid-range of the 22-55 kW medium class.</t>
  </si>
  <si>
    <t>Rated 3 kW is the ceiling; a mill idles/loads intermittently, so the average is lower.</t>
  </si>
  <si>
    <t>output rate</t>
  </si>
  <si>
    <t>Mass of material the machine processes per hour</t>
  </si>
  <si>
    <t>kg/hr</t>
  </si>
  <si>
    <t>PROTOTYPE machine assumed: laboratory cutting mill of the Retsch SM 300 class (studio/workshop fine-milling of sawdust and seagrass). Throughput not given in the datasheet; 3 kg/h is an engineering estimate for batch milling of dry sawdust/seagrass through a 1-4 mm screen. SCALED-UP machine assumed: industrial biomass hammer mill, medium class (22-55 kW, 0.5-2.5 t/h; Lansonmachines hammer mill guide). 1000 kg/h at 30 kW = 30 kWh/t, inside the 25-60 kWh/t range for softwood/straw (Lansonmachines).</t>
  </si>
  <si>
    <t>Energy check: prototype 2.0 kW / 3 kg/h = 0.67 kWh/kg vs industrial 0.03 kWh/kg: a ~20x gap, typical for a lab mill run at low utilisation.</t>
  </si>
  <si>
    <t>machine lifetime</t>
  </si>
  <si>
    <t>Operating hours before the machine is worn out</t>
  </si>
  <si>
    <t>hrs</t>
  </si>
  <si>
    <t>PROTOTYPE machine assumed: laboratory cutting mill of the Retsch SM 300 class (studio/workshop fine-milling of sawdust and seagrass).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Hammer mills run 20-30 y with wear parts replaced; 30,000 h assumed.</t>
  </si>
  <si>
    <t>Lifetime logic: see source.</t>
  </si>
  <si>
    <t>process yield</t>
  </si>
  <si>
    <t>Share of the material entering this step that leaves it as usable output (the rest is waste)</t>
  </si>
  <si>
    <t>PROTOTYPE machine assumed: laboratory cutting mill of the Retsch SM 300 class (studio/workshop fine-milling of sawdust and seagrass). Fine dust lost to the extraction filter and mill housing (~5%) in a studio without dust return; industrial mills recover it (yield cannot be scaled up separately on this sheet).</t>
  </si>
  <si>
    <t>Was 100. Scaled-up variant keeps the prototype yield because only weight/power/rate/lifetime can be scaled.</t>
  </si>
  <si>
    <t>machine source</t>
  </si>
  <si>
    <t>Whether the machine is new (virgin) or reused/recycled (recycled)</t>
  </si>
  <si>
    <t>choice</t>
  </si>
  <si>
    <t>virgin;recycled</t>
  </si>
  <si>
    <t>Assumption: all machinery (studio and industrial) is bought new, i.e. virgin</t>
  </si>
  <si>
    <t>Mixing</t>
  </si>
  <si>
    <t>PROTOTYPE machine assumed: ~30 L spiral/planetary paste mixer of the bakery/studio type (batches of ~10 kg). Weight and 1.5 kW motor are typical catalogue values for a 30 L spiral mixer (not retrieved online). SCALED-UP machine assumed: ~500 L industrial paddle/twin-shaft batch mixer. ~1 t is typical for a 500 L twin-shaft mixer (assumption).</t>
  </si>
  <si>
    <t>Was 150 kg.</t>
  </si>
  <si>
    <t>PROTOTYPE machine assumed: ~30 L spiral/planetary paste mixer of the bakery/studio type (batches of ~10 kg). 1.5 kW motor. SCALED-UP machine assumed: ~500 L industrial paddle/twin-shaft batch mixer. 11 kW is typical for a 500 L batch mixer (assumption).</t>
  </si>
  <si>
    <t>Rated motor power used as the average draw because paste mixing loads the motor continuously.</t>
  </si>
  <si>
    <t>PROTOTYPE machine assumed: ~30 L spiral/planetary paste mixer of the bakery/studio type (batches of ~10 kg). ~10 kg batch every ~30 min incl. loading and cleaning = ~20 kg/h peak; 10 kg/h allows for waiting on the printer. SCALED-UP machine assumed: ~500 L industrial paddle/twin-shaft batch mixer. ~0.5 t per batch, 2 batches/h = 1 t/h.</t>
  </si>
  <si>
    <t>Energy check: 1.5 kW / 10 kg/h = 0.15 kWh/kg prototype vs 0.011 kWh/kg industrial.</t>
  </si>
  <si>
    <t>PROTOTYPE machine assumed: ~30 L spiral/planetary paste mixer of the bakery/studio type (batches of ~10 kg).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</si>
  <si>
    <t>PROTOTYPE machine assumed: ~30 L spiral/planetary paste mixer of the bakery/studio type (batches of ~10 kg). ~5% of a small batch stays on the bowl/paddle and in the hose; industrial batches lose &lt;1% (not scalable on this sheet).</t>
  </si>
  <si>
    <t>Was 100.</t>
  </si>
  <si>
    <t>3D printing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</si>
  <si>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Sum ~650 kg. SCALED-UP machine assumed: the same robot with a high-flow extruder and heavier feed/pump, run continuously (LDM XXL-type extruder is rated up to 180 L/h; robot path speed is the limit). ~700 kg with a larger pump and extruder.</t>
  </si>
  <si>
    <t>Was 1000 kg. Robot weight and controller weight are not verified against the ABB datasheet (blocked); feeder weight is from WASP.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</si>
  <si>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Robot + controller ~1.0 kW average (assumption), feeder 0.45 kW (WASP) and a small compressor ~0.5 kW = ~2.0 kW. SCALED-UP machine assumed: the same robot with a high-flow extruder and heavier feed/pump, run continuously (LDM XXL-type extruder is rated up to 180 L/h; robot path speed is the limit). 2.5 kW with a larger feed pump.</t>
  </si>
  <si>
    <t>Was 0.4 kW (robot only). The old scaled-up 2 kW is replaced by 2.5.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</si>
  <si>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Extruder 5 L/h x ~1.2 kg/L paste, run below its rating = ~5 kg/h of wet paste. SCALED-UP machine assumed: the same robot with a high-flow extruder and heavier feed/pump, run continuously (LDM XXL-type extruder is rated up to 180 L/h; robot path speed is the limit). Bead 12 mm x 6 mm at 100 mm/s = 26 L/h = ~30 kg/h. Basis is wet paste mass, consistent with the baking yield (water loss).</t>
  </si>
  <si>
    <t>Was 0.875 kg/h (scaled-up 15). Both are now tied to bead geometry / extruder rating.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</si>
  <si>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</si>
  <si>
    <t>Was 50000 (scaled-up 40000).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</si>
  <si>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Purging, priming and failed/scrapped prints ~10% in a studio (material is mostly re-mixed, so not all is waste); industrial line would be higher but yield cannot be scaled up separately.</t>
  </si>
  <si>
    <t>Baking</t>
  </si>
  <si>
    <t>PROTOTYPE machine assumed: ~1 m3 electric convection oven (1 m x 2 m x 0.5 m chamber), modelled on the Memmert UF1060 (1,060 L, 7 kW connected load, 252 kg, up to 300 C; memmert.com UF1060 page and datasheet). Weight 252 kg from Memmert. SCALED-UP machine assumed: the same type, an industrial ~10 m3 electric convection batch oven with better insulation. ~3 t (10x volume at ~12x less steel per m3, assumption).</t>
  </si>
  <si>
    <t>Was 400 kg.</t>
  </si>
  <si>
    <t>PROTOTYPE machine assumed: ~1 m3 electric convection oven (1 m x 2 m x 0.5 m chamber), modelled on the Memmert UF1060 (1,060 L, 7 kW connected load, 252 kg, up to 300 C; memmert.com UF1060 page and datasheet). Connected load 7 kW (Memmert); average over a cycle ~4 kW (full power only during heat-up, thermostat duty cycle afterwards; assumption). SCALED-UP machine assumed: the same type, an industrial ~10 m3 electric convection batch oven with better insulation. ~30 kW average, ~7x for 10x volume (relatively less shell loss).</t>
  </si>
  <si>
    <t>Was 5 kW.</t>
  </si>
  <si>
    <t>PROTOTYPE machine assumed: ~1 m3 electric convection oven (1 m x 2 m x 0.5 m chamber), modelled on the Memmert UF1060 (1,060 L, 7 kW connected load, 252 kg, up to 300 C; memmert.com UF1060 page and datasheet). Energy balance, not a datasheet value: 50% yield = 0.5 kg water per kg wet input x 0.63 kWh/kg latent heat = 0.32 kWh/kg; at ~40% oven efficiency = ~0.8 kWh/kg, so ~4 kW supports ~5 kg/h (a ~60 kg wet batch per 12 h). SCALED-UP machine assumed: the same type, an industrial ~10 m3 electric convection batch oven with better insulation. Efficiency ~65% with insulation and air recirculation = ~0.5 kWh/kg, so 30 kW supports ~60 kg/h.</t>
  </si>
  <si>
    <t>Was 1.75 kg/h, then 8 kg/h (in v6, when the yield was 70%). Lowered because a lower yield means more water to evaporate per kg. Check the real cycle time/batch size of the studio oven and replace.</t>
  </si>
  <si>
    <t>PROTOTYPE machine assumed: ~1 m3 electric convection oven (1 m x 2 m x 0.5 m chamber), modelled on the Memmert UF1060 (1,060 L, 7 kW connected load, 252 kg, up to 300 C; memmert.com UF1060 page and datasheet).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Industrial ovens run 20+ y; 40,000 h assumed.</t>
  </si>
  <si>
    <t>Was 20000.</t>
  </si>
  <si>
    <t>PROTOTYPE machine assumed: ~1 m3 electric convection oven (1 m x 2 m x 0.5 m chamber), modelled on the Memmert UF1060 (1,060 L, 7 kW connected load, 252 kg, up to 300 C; memmert.com UF1060 page and datasheet). Yield = dry mass share of the wet printed paste. Evidence: printable earth/clay mixes hold 20-37 wt% water, i.e. 63-80% yield (MDPI Buildings 2026, 16(6), 1261; review of clay/sawdust printing, water/dry ratio 0.37-0.58 = 27-37 wt% water, ScienceDirect S2590123024012799); a printable wood-cellulose-lignin ink lost 74% of its mass on drying, i.e. 26% yield (PMC10942110). Fibrous, protein-bound pastes (sawdust, seagrass, pea protein) need more water than earth, so the low-to-middle of that range is used.</t>
  </si>
  <si>
    <t>Was 70%. 70% is the top of the earth-mixture range; a lignocellulosic paste is closer to 40-60%. NEEDS THE ACTUAL RECIPE: please replace with (dry mass / wet paste mass) from the lab. Water is included in the mass basis of all upstream steps (wet basis). Residual moisture in the dried product (~5-10%) is not modelled. Two sources on bio-based pastes (WUR report, Springer wood LDM paper) could not be read (rate limit).</t>
  </si>
  <si>
    <t>Repair machinery = smaller portable on-site equipment (answer of the LCA team lead 2026-09-29). Portable ~100-120 L drum/paddle mortar-type mixer, ~80 kg (typical catalogue value, not retrieved)</t>
  </si>
  <si>
    <t>Was placeholder 80 kg; kept.</t>
  </si>
  <si>
    <t>Repair machinery = smaller portable on-site equipment (answer of the LCA team lead 2026-09-29). 1.5 kW motor typical for a portable 100-120 L mixer (not retrieved)</t>
  </si>
  <si>
    <t>Kept.</t>
  </si>
  <si>
    <t>Repair machinery = smaller portable on-site equipment (answer of the LCA team lead 2026-09-29). ~15 kg paste per batch, one batch per hour incl. setup and cleaning (assumption)</t>
  </si>
  <si>
    <t>Kept 15 kg/h.</t>
  </si>
  <si>
    <t>Repair machinery = smaller portable on-site equipment (answer of the LCA team lead 2026-09-29). Lifetime: portable/light-duty equipment lasts ~5,000-10,000 operating hours (assumption, not retrieved).</t>
  </si>
  <si>
    <t>Was 15000 h; lowered because portable equipment is lighter duty.</t>
  </si>
  <si>
    <t>Repair machinery = smaller portable on-site equipment (answer of the LCA team lead 2026-09-29). ~5% of a small batch stays in the drum and on tools (same logic as production mixing)</t>
  </si>
  <si>
    <t>Was 98%.</t>
  </si>
  <si>
    <t>Repair machinery = smaller portable on-site equipment (answer of the LCA team lead 2026-09-29). Small portable/gantry paste printer (~150-200 kg) with a WASP-type continuous feeder (60 kg, 450 W; 3dwasp.com) = ~250 kg</t>
  </si>
  <si>
    <t>Repair machinery = smaller portable on-site equipment (answer of the LCA team lead 2026-09-29). Feeder 0.45 kW (WASP) + motion/controller ~0.5 kW + small compressor ~0.5 kW = ~1.5 kW</t>
  </si>
  <si>
    <t>Was 2.5 kW; lowered because no industrial robot is involved.</t>
  </si>
  <si>
    <t>Repair machinery = smaller portable on-site equipment (answer of the LCA team lead 2026-09-29). Small LDM-type extruder rated 2.5 L/h (~3 kg/h; 3dwasp.com) run at ~30%, because patching is slow, precise work</t>
  </si>
  <si>
    <t>Was 0.5 kg/h.</t>
  </si>
  <si>
    <t>Was 20000 h.</t>
  </si>
  <si>
    <t>Repair machinery = smaller portable on-site equipment (answer of the LCA team lead 2026-09-29). Purging/priming and failed passes ~10%, same as production printing</t>
  </si>
  <si>
    <t>Was 92%.</t>
  </si>
  <si>
    <t>circularity</t>
  </si>
  <si>
    <t>use</t>
  </si>
  <si>
    <t>expected lifetime</t>
  </si>
  <si>
    <t>Years the product lasts before any repair</t>
  </si>
  <si>
    <t>yrs</t>
  </si>
  <si>
    <t>RAW wall, Confirmed by the LCA team lead (Tanya) on 2026-09-29</t>
  </si>
  <si>
    <t>Unfired protein-bound bio-composite is moisture-sensitive and can degrade (biological attack), so 20 y before first repair is a conservative interior-wall value; hempcrete-type walls last 50+ y when protected. No product-specific durability test exists yet.</t>
  </si>
  <si>
    <t>lifetime extension per repair</t>
  </si>
  <si>
    <t>Years added to the product's life by one repair</t>
  </si>
  <si>
    <t>One patch repair restores the worn/damaged surface and buys about half of the original life. Number of repairs to reach the FU service life = ceil((service life - 20) / 10).</t>
  </si>
  <si>
    <t>repair material</t>
  </si>
  <si>
    <t>share of product mass per repair</t>
  </si>
  <si>
    <t>Mass of material added per repair, as a share of the product mass</t>
  </si>
  <si>
    <t>Patching ~10% of the wall mass per repair (damaged surface layer). Ties to the repair recipe and machines above.</t>
  </si>
  <si>
    <t>end-of-life</t>
  </si>
  <si>
    <t>waste</t>
  </si>
  <si>
    <t>composted</t>
  </si>
  <si>
    <t>share of waste</t>
  </si>
  <si>
    <t>Share of the product's end-of-life mass that goes to this route (the routes add up to 100 %): composted</t>
  </si>
  <si>
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</si>
  <si>
    <t>Typical: municipal bio-waste captured separately ~46% (2022) minus rejects = ~42% composted or digested (anaerobic digestion is counted here, no separate route). Max 79% = Eurostat all-sector biogenic waste. Scaled-up: mandatory separate collection and the 65% recycling target push this to ~55%. NOTE: methods.md says the scaled-up variant leaves end of life unchanged, so these scaled_up values are stored here but may not be read by the model.</t>
  </si>
  <si>
    <t>recycled_open</t>
  </si>
  <si>
    <t>Share of the product's end-of-life mass that goes to this route (the routes add up to 100 %): recycled (open loop)</t>
  </si>
  <si>
    <t>Typical: no biowaste statistic for material recycling of a composite wall; wood waste is ~48% material-recycled in the EU (Eurostat 2018) so a small open-loop share (e.g. as filler or board feedstock) is assumed. Scaled-up: an industrial producer can establish a take-back/filler route.</t>
  </si>
  <si>
    <t>recycled_closed</t>
  </si>
  <si>
    <t>Share of the product's end-of-life mass that goes to this route (the routes add up to 100 %): recycled (closed loop)</t>
  </si>
  <si>
    <t>Typical: no closed-loop recycling of printed bio-composite exists today. Scaled-up: a manufacturer could grind and re-wet panel waste into new paste (10% assumed, purely a scenario).</t>
  </si>
  <si>
    <t>incinerated</t>
  </si>
  <si>
    <t>Share of the product's end-of-life mass that goes to this route (the routes add up to 100 %): incinerated with energy recovery</t>
  </si>
  <si>
    <t>Typical: residual (non-captured) share ~54% split between incineration and landfill in the ratio of municipal waste practice, 27:24 (ECN) = ~28% incineration. In the NL nearly all residual waste is incinerated (landfill ban), so the max is 45%. Scaled-up: falls as organic recycling grows.</t>
  </si>
  <si>
    <t>landfilled</t>
  </si>
  <si>
    <t>Share of the product's end-of-life mass that goes to this route (the routes add up to 100 %): landfilled</t>
  </si>
  <si>
    <t>Typical: the other part of the residual ~54% = ~25% landfill (EU municipal average). Min 2% ~ Eurostat all-sector biogenic waste (1.5%) and NL practice. Scaled-up: 5% respects the 10% landfill cap of the Landfill Directive for 2035.</t>
  </si>
  <si>
    <t>location</t>
  </si>
  <si>
    <t>general</t>
  </si>
  <si>
    <t>Country whose electricity mix is used for every process step, and whose grid is displaced by energy recovered at end of life</t>
  </si>
  <si>
    <t>country code</t>
  </si>
  <si>
    <t>NL</t>
  </si>
  <si>
    <t>Model choice: Netherlands (RAW project location); electricity mix and heat/electricity credit of incineration use the NL grid</t>
  </si>
  <si>
    <t>Only affects electricity for every process step and the energy credit of incineration. Change on study_setup / choices if you model another country.</t>
  </si>
  <si>
    <t>topic</t>
  </si>
  <si>
    <t>explanation</t>
  </si>
  <si>
    <t>RAW LCA inputs (v2)</t>
  </si>
  <si>
    <t>All numbers of the RAW comparative LCA live in this workbook. The model reads it (via a snapshot saved in the code repository), so every value you enter is used in the results. Nothing is hidden in the code.</t>
  </si>
  <si>
    <t>Tab groups</t>
  </si>
  <si>
    <t>Tabs are grouped and ordered by their role in the LCA; each group has its own colour (tab, header row and cells). The lci_raw_* tabs are filled in by the case partners; all other tabs are maintained by the LCA team - please do not edit them, ask instead.</t>
  </si>
  <si>
    <t>1 Goal and scope (purple)</t>
  </si>
  <si>
    <t>fu_comparison, study_setup, impact_categories, scenarios</t>
  </si>
  <si>
    <t>2 Life cycle inventories (LCI) (teal)</t>
  </si>
  <si>
    <t>lci_raw_biopol, lci_raw_timber, lci_raw_cfw, lci_raw_knit, lci_baselines</t>
  </si>
  <si>
    <t>3 Product size (parametric LCA) (green)</t>
  </si>
  <si>
    <t>product_size_formulas</t>
  </si>
  <si>
    <t>4 Data sources and end-of-life constants (blue)</t>
  </si>
  <si>
    <t>unit_burdens_dataSources, benefits_constants_dataSources, EoL_constants, eol_routes</t>
  </si>
  <si>
    <t>5 Modelling constants (orange)</t>
  </si>
  <si>
    <t>constants, gwpbio_table, dcf_bern</t>
  </si>
  <si>
    <t>fu_comparison</t>
  </si>
  <si>
    <t>One row per RAW case: its functional unit (name, function, service life over which it is compared with its baselines), its quantifier (e.g. beam span in m), and the baseline products (conventional bio-based / conventional fossil-based) it is compared with.</t>
  </si>
  <si>
    <t>RAW case LCI tabs</t>
  </si>
  <si>
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</si>
  <si>
    <t>Baseline LCI tab</t>
  </si>
  <si>
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</si>
  <si>
    <t>Product size rows</t>
  </si>
  <si>
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</si>
  <si>
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</si>
  <si>
    <t>typical / min / max</t>
  </si>
  <si>
    <t>typical = your best estimate. min and max = how low / high it could realistically be. If a number is fixed, set min = max = typical. Rows with missing min/max are highlighted in red; they are treated as fixed.</t>
  </si>
  <si>
    <t>triangular (typical is the most likely value), uniform, fixed, or choice (for text values such as a country code or virgin/recycled).</t>
  </si>
  <si>
    <t>source / status</t>
  </si>
  <si>
    <t>source = where the number comes from (measurement, colleague, paper, datasheet). status: placeholder (first guess by the LCA team, highlighted yellow), partner estimate, measured, literature.</t>
  </si>
  <si>
    <t>stage / item</t>
  </si>
  <si>
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</si>
  <si>
    <t>Shares</t>
  </si>
  <si>
    <t>Bill-of-materials shares and end-of-life shares of one stage should add up to 100 %. The model re-normalises them.</t>
  </si>
  <si>
    <t>Process yield</t>
  </si>
  <si>
    <t>Share of the material entering a step that leaves it as good output (the rest becomes waste). Output rate = kg processed per hour. Machine lifetime = operating hours.</t>
  </si>
  <si>
    <t>Repairs</t>
  </si>
  <si>
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</si>
  <si>
    <t>Scaling up a machine</t>
  </si>
  <si>
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</si>
  <si>
    <t>Do not</t>
  </si>
  <si>
    <t>Do not rename tabs or columns, and do not delete rows without asking: the model reads them by name. You may add rows: copy a row of the same kind and change `item` (a new material must exist on tab unit_burdens_dataSources).</t>
  </si>
  <si>
    <t>Version</t>
  </si>
  <si>
    <t>v2, 2026-09-25. Initial values are first guesses by the LCA team (status = placeholder) and must be replaced by the partners. Method description: docs/methods.md in the code repository.</t>
  </si>
  <si>
    <t>raw_case</t>
  </si>
  <si>
    <t>fu_name</t>
  </si>
  <si>
    <t>function</t>
  </si>
  <si>
    <t>service_life</t>
  </si>
  <si>
    <t>service_life_unit</t>
  </si>
  <si>
    <t>quantifier_label</t>
  </si>
  <si>
    <t>quantifier_unit</t>
  </si>
  <si>
    <t>baseline_biobased</t>
  </si>
  <si>
    <t>baseline_fossil</t>
  </si>
  <si>
    <t>raw_timber</t>
  </si>
  <si>
    <t>Structural beam (reclaimed timber CNC beam vs. baselines)</t>
  </si>
  <si>
    <t>Structural beam spanning between two supports</t>
  </si>
  <si>
    <t>beam span</t>
  </si>
  <si>
    <t>glulam beam</t>
  </si>
  <si>
    <t>reinforced concrete beam</t>
  </si>
  <si>
    <t>raw_cfw</t>
  </si>
  <si>
    <t>Structural beam (coreless filament winding vs. baselines)</t>
  </si>
  <si>
    <t>Interior wall (3D-printed biopolymer vs. baselines)</t>
  </si>
  <si>
    <t>Interior partition wall</t>
  </si>
  <si>
    <t>wall length</t>
  </si>
  <si>
    <t>adobe brick for interior wall</t>
  </si>
  <si>
    <t>clay brick for interior wall</t>
  </si>
  <si>
    <t>raw_knit</t>
  </si>
  <si>
    <t>Architectural membrane (knitted hemp vs. baseline)</t>
  </si>
  <si>
    <t>Architectural membrane covering a surface</t>
  </si>
  <si>
    <t>membrane coverage</t>
  </si>
  <si>
    <t>m2</t>
  </si>
  <si>
    <t>synthetic polymer architectural membrane</t>
  </si>
  <si>
    <t>value</t>
  </si>
  <si>
    <t>spec_span</t>
  </si>
  <si>
    <t>Beam span used for the beam cases (raw_timber, raw_cfw and their baselines)</t>
  </si>
  <si>
    <t>spec_length</t>
  </si>
  <si>
    <t>Wall length used for the wall case (raw_biopol and its baselines)</t>
  </si>
  <si>
    <t>spec_coverage</t>
  </si>
  <si>
    <t>Membrane coverage used for the membrane case (raw_knit and its baseline)</t>
  </si>
  <si>
    <t>sweep_span</t>
  </si>
  <si>
    <t>3:12:10</t>
  </si>
  <si>
    <t>min:max:steps (m)</t>
  </si>
  <si>
    <t>Range of beam spans for the spec sweep</t>
  </si>
  <si>
    <t>sweep_length</t>
  </si>
  <si>
    <t>2:12:11</t>
  </si>
  <si>
    <t>Range of wall lengths for the spec sweep</t>
  </si>
  <si>
    <t>sweep_coverage</t>
  </si>
  <si>
    <t>10:500:10</t>
  </si>
  <si>
    <t>min:max:steps (m2)</t>
  </si>
  <si>
    <t>Range of membrane coverages for the spec sweep</t>
  </si>
  <si>
    <t>location_choices</t>
  </si>
  <si>
    <t>NL;DE;FR;ES;IT;PL;SE</t>
  </si>
  <si>
    <t>country codes</t>
  </si>
  <si>
    <t>Countries between which the location parameters vary in the sensitivity/uncertainty analysis (placeholder list)</t>
  </si>
  <si>
    <t>mc_iterations</t>
  </si>
  <si>
    <t>#</t>
  </si>
  <si>
    <t>Monte Carlo iterations for the parameter uncertainty analysis</t>
  </si>
  <si>
    <t>interval_percentiles</t>
  </si>
  <si>
    <t>5;95</t>
  </si>
  <si>
    <t>percent</t>
  </si>
  <si>
    <t>Lower and upper percentile of the uncertainty intervals drawn in the charts</t>
  </si>
  <si>
    <t>ecoinvent_version</t>
  </si>
  <si>
    <t>ecoinvent release used for the background</t>
  </si>
  <si>
    <t>ecoinvent_system_model</t>
  </si>
  <si>
    <t>cutoff</t>
  </si>
  <si>
    <t>ecoinvent system model</t>
  </si>
  <si>
    <t>impact_method</t>
  </si>
  <si>
    <t>EF v3.1</t>
  </si>
  <si>
    <t>LCIA method family (Brightway method names ecoinvent-&lt;version&gt; / &lt;family&gt; / ...)</t>
  </si>
  <si>
    <t>mc_seed</t>
  </si>
  <si>
    <t>Random seed (makes results reproducible)</t>
  </si>
  <si>
    <t>background_mc_iterations</t>
  </si>
  <si>
    <t>Brightway Monte Carlo iterations sampled for the background (ecoinvent) uncertainty</t>
  </si>
  <si>
    <t>sobol_base_samples</t>
  </si>
  <si>
    <t>Base sample size N of the Sobol sensitivity analysis</t>
  </si>
  <si>
    <t>category</t>
  </si>
  <si>
    <t>label</t>
  </si>
  <si>
    <t>plot_in_bar_charts</t>
  </si>
  <si>
    <t>climate change</t>
  </si>
  <si>
    <t>kg CO2-eq</t>
  </si>
  <si>
    <t>True</t>
  </si>
  <si>
    <t>ozone depletion</t>
  </si>
  <si>
    <t>kg CFC-11-eq</t>
  </si>
  <si>
    <t>particulate matter formation</t>
  </si>
  <si>
    <t>disease incidence</t>
  </si>
  <si>
    <t>acidification</t>
  </si>
  <si>
    <t>mol H+-eq</t>
  </si>
  <si>
    <t>eutrophication: freshwater</t>
  </si>
  <si>
    <t>kg P-eq</t>
  </si>
  <si>
    <t>freshwater eutrophication</t>
  </si>
  <si>
    <t>land use</t>
  </si>
  <si>
    <t>dimensionless (soil quality index)</t>
  </si>
  <si>
    <t>water use</t>
  </si>
  <si>
    <t>m3 world-eq deprived</t>
  </si>
  <si>
    <t>material resources: metals/minerals</t>
  </si>
  <si>
    <t>kg Sb-eq</t>
  </si>
  <si>
    <t>mineral resources</t>
  </si>
  <si>
    <t>climate change: biogenic</t>
  </si>
  <si>
    <t>False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</si>
  <si>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</si>
  <si>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</si>
  <si>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</si>
  <si>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</si>
  <si>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</si>
  <si>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</si>
  <si>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</si>
  <si>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</si>
  <si>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</si>
  <si>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</si>
  <si>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</si>
  <si>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</si>
  <si>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</si>
  <si>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</si>
  <si>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</si>
  <si>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</si>
  <si>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</si>
  <si>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</si>
  <si>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</si>
  <si>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</si>
  <si>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</si>
  <si>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photochemical oxidant formation: human health</t>
  </si>
  <si>
    <t>dimensionless (tropospheric ozone concentration increase)</t>
  </si>
  <si>
    <t>scenario_id</t>
  </si>
  <si>
    <t>premise_model</t>
  </si>
  <si>
    <t>premise_pathway</t>
  </si>
  <si>
    <t>premise_year</t>
  </si>
  <si>
    <t>in_results</t>
  </si>
  <si>
    <t>baseline</t>
  </si>
  <si>
    <t>today</t>
  </si>
  <si>
    <t>Ecoinvent 3.12 cut-off as is</t>
  </si>
  <si>
    <t>image_SSP2-M_2050</t>
  </si>
  <si>
    <t>2050 (SSP2-M)</t>
  </si>
  <si>
    <t>image</t>
  </si>
  <si>
    <t>SSP2-M</t>
  </si>
  <si>
    <t>premise scenario, medium ambition</t>
  </si>
  <si>
    <t>image_SSP2-L_2050</t>
  </si>
  <si>
    <t>SSP2-L</t>
  </si>
  <si>
    <t>premise scenario used for the 2050 results</t>
  </si>
  <si>
    <t>depth_ratio</t>
  </si>
  <si>
    <t>Beam span divided by beam depth</t>
  </si>
  <si>
    <t>product_LCIs formula (previous version of the sheet)</t>
  </si>
  <si>
    <t>placeholder</t>
  </si>
  <si>
    <t>width_ratio</t>
  </si>
  <si>
    <t>Beam depth divided by beam width</t>
  </si>
  <si>
    <t>Density of the finished timber beam</t>
  </si>
  <si>
    <t>Hard wood</t>
  </si>
  <si>
    <t>recycled</t>
  </si>
  <si>
    <t>Share of the production input mass made of this material (recycled); the shares of one stage add up to 100 %</t>
  </si>
  <si>
    <t>Share of the repair input mass made of this material (recycled); the shares of one stage add up to 100 %</t>
  </si>
  <si>
    <t>Scanning</t>
  </si>
  <si>
    <t>HTML tool preset (placeholder)</t>
  </si>
  <si>
    <t>CNC milling</t>
  </si>
  <si>
    <t>fibre_length_per_span</t>
  </si>
  <si>
    <t>Metres of fibre wound per metre of beam span</t>
  </si>
  <si>
    <t>m/m</t>
  </si>
  <si>
    <t>fibre_mass_per_length</t>
  </si>
  <si>
    <t>Mass of one metre of fibre (incl. resin)</t>
  </si>
  <si>
    <t>kg/m</t>
  </si>
  <si>
    <t>Fiber glue (epoxy resin)</t>
  </si>
  <si>
    <t>Rope production</t>
  </si>
  <si>
    <t>Coreless filament winding</t>
  </si>
  <si>
    <t>areal_density</t>
  </si>
  <si>
    <t>Mass of membrane per m2 of coverage</t>
  </si>
  <si>
    <t>kg/m2</t>
  </si>
  <si>
    <t>Partner formula (Yulia) for the knitted hemp membrane, 0.4 kg/m2 (product_size_formulas); Answers of the LCA team lead 2026-09-29: 100% hemp, no coating; carding and spinning already on industrial lines, only knitting is a lab/CNC prototype machine</t>
  </si>
  <si>
    <t>Plausible: a coarse-gauge knit of thick hemp yarn (Nm ~3-6) weighs ~0.3-0.5 kg/m2; lighter than coated PVC-polyester membranes (0.8-1.3 kg/m2). Range +-20%.</t>
  </si>
  <si>
    <t>Answers of the LCA team lead 2026-09-29: 100% hemp, no coating; carding and spinning already on industrial lines, only knitting is a lab/CNC prototype machine</t>
  </si>
  <si>
    <t>Single-material product: the only ingredient is hemp fibre, so the share is fixed at 100%.</t>
  </si>
  <si>
    <t>Carding &amp; roving</t>
  </si>
  <si>
    <t>PROTOTYPE machinery assumed: hemp/flax bast-fibre line at an existing textile mill (opening + carding, drawing frames and roving frame). No datasheet found; values are engineering estimates anchored on textile specific-energy data (see comment). ~3 t for card + drawing frame + roving frame (assumption).</t>
  </si>
  <si>
    <t xml:space="preserve">Kept from the tool preset; plausible for a small bast-fibre line. | Scaled-up: left blank on purpose, because the prototype already runs on an industrial line. </t>
  </si>
  <si>
    <t>PROTOTYPE machinery assumed: hemp/flax bast-fibre line at an existing textile mill (opening + carding, drawing frames and roving frame). No datasheet found; values are engineering estimates anchored on textile specific-energy data (see comment). 12 kW installed for card (~8 kW), drawing (~2 kW) and roving (~2 kW).</t>
  </si>
  <si>
    <t xml:space="preserve">Energy check: 12 kW / 15 kg/h = 0.8 kWh/kg, in the range of card + draw + rove for coarse fibre (~0.5-1 kWh/kg, assumption). | Scaled-up: left blank on purpose, because the prototype already runs on an industrial line. </t>
  </si>
  <si>
    <t>PROTOTYPE machinery assumed: hemp/flax bast-fibre line at an existing textile mill (opening + carding, drawing frames and roving frame). No datasheet found; values are engineering estimates anchored on textile specific-energy data (see comment). ~15 kg/h for a small bast-fibre line running hemp batches.</t>
  </si>
  <si>
    <t xml:space="preserve">Bast-fibre cards are slower than cotton cards; larger lines run 50+ kg/h (assumption). | Scaled-up: left blank on purpose, because the prototype already runs on an industrial line. </t>
  </si>
  <si>
    <t>PROTOTYPE machinery assumed: hemp/flax bast-fibre line at an existing textile mill (opening + carding, drawing frames and roving frame). No datasheet found; values are engineering estimates anchored on textile specific-energy data (see comment). Lifetime: textile mill machines run ~4,000-5,000 h/y for 10-15 y = 40,000-75,000 h (assumption, not retrieved).</t>
  </si>
  <si>
    <t xml:space="preserve">Kept. | Scaled-up: left blank on purpose, because the prototype already runs on an industrial line. </t>
  </si>
  <si>
    <t>PROTOTYPE machinery assumed: hemp/flax bast-fibre line at an existing textile mill (opening + carding, drawing frames and roving frame). No datasheet found; values are engineering estimates anchored on textile specific-energy data (see comment). Carding loses ~10-20% of hemp fibre as shive, dust and short fibre (noil); assumption, no source found.</t>
  </si>
  <si>
    <t>Kept 85%.</t>
  </si>
  <si>
    <t>Assumption: all machinery is bought new (virgin)</t>
  </si>
  <si>
    <t>Value stays virgin.</t>
  </si>
  <si>
    <t>Spinning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</si>
  <si>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~1.5 t for a 50-100 spindle frame (assumption).</t>
  </si>
  <si>
    <t xml:space="preserve">Was 800 kg. | Scaled-up: left blank on purpose, because the prototype already runs on an industrial line. 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</si>
  <si>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5 kW = ~0.83 kWh/kg at 6 kg/h.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</si>
  <si>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~100 spindles x ~60 g/spindle/h (coarse yarn ~100 tex, ~6,000 rpm, ~60% efficiency) = ~6 kg/h.</t>
  </si>
  <si>
    <t xml:space="preserve">Was 8 kg/h. | Scaled-up: left blank on purpose, because the prototype already runs on an industrial line. 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</si>
  <si>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Lifetime: textile mill machines run ~4,000-5,000 h/y for 10-15 y = 40,000-75,000 h (assumption, not retrieved).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</si>
  <si>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Yarn breaks and end waste ~3-6% (assumption).</t>
  </si>
  <si>
    <t>CNC knitting</t>
  </si>
  <si>
    <t xml:space="preserve">PROTOTYPE machinery assumed: electronic flat-bed CNC knitting machine of the Stoll CMS class (127 cm / 50 in working width, 3 systems, gauge E5-E20; Stoll CMS 530 ki page) in a fabrication lab. ~1.2 t estimated for the 127 cm width; a wider (244 cm) used Stoll CMS is listed at 1,900 kg (Exapro). SCALED-UP machine assumed: the same machine type at industrial scale, a wider (~244 cm) multi-system flat-bed knitting machine in a knitting mill; a used Stoll CMS of this class weighs 1,900 kg (Exapro listing). </t>
  </si>
  <si>
    <t>Was 1500 kg (scaled-up 2000).</t>
  </si>
  <si>
    <t>PROTOTYPE machinery assumed: electronic flat-bed CNC knitting machine of the Stoll CMS class (127 cm / 50 in working width, 3 systems, gauge E5-E20; Stoll CMS 530 ki page) in a fabrication lab. Installed load ~2-3 kW for a 3-system flat-bed machine, average draw ~2 kW (assumption; power not given on the Stoll pages). SCALED-UP machine assumed: the same machine type at industrial scale, a wider (~244 cm) multi-system flat-bed knitting machine in a knitting mill; a used Stoll CMS of this class weighs 1,900 kg (Exapro listing). 3 kW: wider bed and more systems, average draw assumed.</t>
  </si>
  <si>
    <t>Scaled-up was 4 kW.</t>
  </si>
  <si>
    <t>PROTOTYPE machinery assumed: electronic flat-bed CNC knitting machine of the Stoll CMS class (127 cm / 50 in working width, 3 systems, gauge E5-E20; Stoll CMS 530 ki page) in a fabrication lab. ~4 m2/h of coarse hemp knit at 0.4 kg/m2 = ~1.5 kg/h (shaped knits, tuck/plating structures run slowly; assumption). SCALED-UP machine assumed: the same machine type at industrial scale, a wider (~244 cm) multi-system flat-bed knitting machine in a knitting mill; a used Stoll CMS of this class weighs 1,900 kg (Exapro listing). ~5 kg/h: ~2x the working width and 4 instead of 3 systems, run at high utilisation = 0.6 kWh/kg.</t>
  </si>
  <si>
    <t>Scaled-up was 1.5 kg/h, lower than the prototype, which cannot be right for an industrial machine.</t>
  </si>
  <si>
    <t>PROTOTYPE machinery assumed: electronic flat-bed CNC knitting machine of the Stoll CMS class (127 cm / 50 in working width, 3 systems, gauge E5-E20; Stoll CMS 530 ki page) in a fabrication lab. Lifetime: lab knitting machine in use ~1,000-1,500 h/y for 10-15 y = 10,000-20,000 h (assumption); a mill would reach ~50,000 h. SCALED-UP machine assumed: the same machine type at industrial scale, a wider (~244 cm) multi-system flat-bed knitting machine in a knitting mill; a used Stoll CMS of this class weighs 1,900 kg (Exapro listing). Mill lifetime 50,000 h (12 y x 4,000-4,500 h/y).</t>
  </si>
  <si>
    <t>Scaled-up kept at 50,000 h.</t>
  </si>
  <si>
    <t>PROTOTYPE machinery assumed: electronic flat-bed CNC knitting machine of the Stoll CMS class (127 cm / 50 in working width, 3 systems, gauge E5-E20; Stoll CMS 530 ki page) in a fabrication lab. Yarn breaks, edge trimming and start-up/test rows ~5% (assumption).</t>
  </si>
  <si>
    <t>PROTOTYPE machinery assumed: hemp/flax bast-fibre line at an existing textile mill (opening + carding, drawing frames and roving frame). No datasheet found; values are engineering estimates anchored on textile specific-energy data (see comment). ~3 t for card + drawing frame + roving frame (assumption). Repair uses the same machine as production (repair panels are made on the same lines).</t>
  </si>
  <si>
    <t>Kept from the tool preset; plausible for a small bast-fibre line.</t>
  </si>
  <si>
    <t>PROTOTYPE machinery assumed: hemp/flax bast-fibre line at an existing textile mill (opening + carding, drawing frames and roving frame). No datasheet found; values are engineering estimates anchored on textile specific-energy data (see comment). 12 kW installed for card (~8 kW), drawing (~2 kW) and roving (~2 kW). Repair uses the same machine as production (repair panels are made on the same lines).</t>
  </si>
  <si>
    <t>Energy check: 12 kW / 15 kg/h = 0.8 kWh/kg, in the range of card + draw + rove for coarse fibre (~0.5-1 kWh/kg, assumption).</t>
  </si>
  <si>
    <t>PROTOTYPE machinery assumed: hemp/flax bast-fibre line at an existing textile mill (opening + carding, drawing frames and roving frame). No datasheet found; values are engineering estimates anchored on textile specific-energy data (see comment). ~15 kg/h for a small bast-fibre line running hemp batches. Repair uses the same machine as production (repair panels are made on the same lines).</t>
  </si>
  <si>
    <t>Bast-fibre cards are slower than cotton cards; larger lines run 50+ kg/h (assumption).</t>
  </si>
  <si>
    <t>PROTOTYPE machinery assumed: hemp/flax bast-fibre line at an existing textile mill (opening + carding, drawing frames and roving frame). No datasheet found; values are engineering estimates anchored on textile specific-energy data (see comment). Lifetime: textile mill machines run ~4,000-5,000 h/y for 10-15 y = 40,000-75,000 h (assumption, not retrieved). Repair uses the same machine as production (repair panels are made on the same lines).</t>
  </si>
  <si>
    <t>PROTOTYPE machinery assumed: hemp/flax bast-fibre line at an existing textile mill (opening + carding, drawing frames and roving frame). No datasheet found; values are engineering estimates anchored on textile specific-energy data (see comment). Carding loses ~10-20% of hemp fibre as shive, dust and short fibre (noil); assumption, no source found. Repair uses the same machine as production (repair panels are made on the same lines).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</si>
  <si>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~1.5 t for a 50-100 spindle frame (assumption). Repair uses the same machine as production (repair panels are made on the same lines).</t>
  </si>
  <si>
    <t>Was 800 kg.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</si>
  <si>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5 kW = ~0.83 kWh/kg at 6 kg/h. Repair uses the same machine as production (repair panels are made on the same lines).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</si>
  <si>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~100 spindles x ~60 g/spindle/h (coarse yarn ~100 tex, ~6,000 rpm, ~60% efficiency) = ~6 kg/h. Repair uses the same machine as production (repair panels are made on the same lines).</t>
  </si>
  <si>
    <t>Was 8 kg/h.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</si>
  <si>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Lifetime: textile mill machines run ~4,000-5,000 h/y for 10-15 y = 40,000-75,000 h (assumption, not retrieved). Repair uses the same machine as production (repair panels are made on the same lines).</t>
  </si>
  <si>
    <t>PROTOTYPE machinery assumed: wet ring-spinning frame for bast fibre (~50-100 spindles) at an existing textile mill. No datasheet found; values are engineering estimates anchored on ring-spinning specific energy (1.32 kWh/kg for a fine 20 tex combed yarn, Textile School 'Energy consumption for different type of yarns'; coarse hemp yarn needs less). Yarn breaks and end waste ~3-6% (assumption). Repair uses the same machine as production (repair panels are made on the same lines).</t>
  </si>
  <si>
    <t>PROTOTYPE machinery assumed: electronic flat-bed CNC knitting machine of the Stoll CMS class (127 cm / 50 in working width, 3 systems, gauge E5-E20; Stoll CMS 530 ki page) in a fabrication lab. ~1.2 t estimated for the 127 cm width; a wider (244 cm) used Stoll CMS is listed at 1,900 kg (Exapro). Repair uses the same machine as production (repair panels are made on the same lines).</t>
  </si>
  <si>
    <t>Was 1500 kg.</t>
  </si>
  <si>
    <t>PROTOTYPE machinery assumed: electronic flat-bed CNC knitting machine of the Stoll CMS class (127 cm / 50 in working width, 3 systems, gauge E5-E20; Stoll CMS 530 ki page) in a fabrication lab. Installed load ~2-3 kW for a 3-system flat-bed machine, average draw ~2 kW (assumption; power not given on the Stoll pages). Repair uses the same machine as production (repair panels are made on the same lines).</t>
  </si>
  <si>
    <t>Was 4 kW.</t>
  </si>
  <si>
    <t>PROTOTYPE machinery assumed: electronic flat-bed CNC knitting machine of the Stoll CMS class (127 cm / 50 in working width, 3 systems, gauge E5-E20; Stoll CMS 530 ki page) in a fabrication lab. ~4 m2/h of coarse hemp knit at 0.4 kg/m2 = ~1.5 kg/h (shaped knits, tuck/plating structures run slowly; assumption). Repair uses the same machine as production (repair panels are made on the same lines).</t>
  </si>
  <si>
    <t>Was 2 kg/h. Energy: 2 kW / 1.5 kg/h = 1.3 kWh/kg.</t>
  </si>
  <si>
    <t>PROTOTYPE machinery assumed: electronic flat-bed CNC knitting machine of the Stoll CMS class (127 cm / 50 in working width, 3 systems, gauge E5-E20; Stoll CMS 530 ki page) in a fabrication lab. Lifetime: lab knitting machine in use ~1,000-1,500 h/y for 10-15 y = 10,000-20,000 h (assumption); a mill would reach ~50,000 h. Repair uses the same machine as production (repair panels are made on the same lines).</t>
  </si>
  <si>
    <t>Was 50000 h (mill-scale utilisation).</t>
  </si>
  <si>
    <t>PROTOTYPE machinery assumed: electronic flat-bed CNC knitting machine of the Stoll CMS class (127 cm / 50 in working width, 3 systems, gauge E5-E20; Stoll CMS 530 ki page) in a fabrication lab. Yarn breaks, edge trimming and start-up/test rows ~5% (assumption). Repair uses the same machine as production (repair panels are made on the same lines).</t>
  </si>
  <si>
    <t>Engineering judgement; PVC-coated polyester membranes last ~15-20 y in service (Birdair, ETS), untreated hemp is less UV/mould-resistant outdoors but fine when sheltered</t>
  </si>
  <si>
    <t>Widened from 12-18 to 8-20 y because exposure is unknown (indoor/covered: 20+ y, exposed: ~5-10 y). Replace when the use case is fixed.</t>
  </si>
  <si>
    <t>Engineering judgement: a repair fixes local damage, not the ageing of the rest of the fabric</t>
  </si>
  <si>
    <t>Was 10 y. Set to about half of the expected lifetime (7.5 y).</t>
  </si>
  <si>
    <t>Engineering judgement: patching/replacing the damaged ~10% of the membrane area</t>
  </si>
  <si>
    <t>Range widened to 5-15%.</t>
  </si>
  <si>
    <t>JRC 2019 (EU post-consumer textile waste): only ~22% separately collected; of that 10% reuse, 30% recycling (mostly open-loop into rags/insulation), 50% export, 10% incineration/landfill; recycling capacity 0.7-0.85 Mt/y now, 1.5-2.0 Mt/y projected for 2030-35 (JRC134586); EEA: 73% of EU textile waste incl. mixed waste is landfilled or incinerated (2022), 26% of separately collected (15% incineration, 12% landfill split as ~56:44)</t>
  </si>
  <si>
    <t>Hemp is compostable in principle, but no textile composting route exists at scale; modelled as 0. NOTE: methods.md says the scaled-up variant leaves end of life unchanged, so the scaled_up values on these rows may not be read by the model.</t>
  </si>
  <si>
    <t>Typical: ~27% of textile waste is not incinerated/landfilled (100-73%); nearly all of it is open-loop (rags, insulation), fibre-to-fibre is negligible (JRC). Scaled-up: mandatory separate collection and ~2x recycling capacity by 2030-35 (JRC) raise open-loop recycling.</t>
  </si>
  <si>
    <t>Typical: fibre-to-fibre recycling is still emerging in the EU (JRC). Scaled-up: a single-fibre, uncoated hemp product is ideal feedstock for fibre-to-fibre recycling with a producer take-back (scenario, RAW design intent was 80%).</t>
  </si>
  <si>
    <t>Typical: 73% landfill+incineration split ~55:45 (EEA). Scaled-up: falls as recycling grows.</t>
  </si>
  <si>
    <t>Typical: the other ~45% of the 73% (EEA). Scaled-up: 10% respects the Landfill Directive limit for 2035 (general knowledge, not re-checked online).</t>
  </si>
  <si>
    <t>Change on study_setup / choices if you model another country.</t>
  </si>
  <si>
    <t>Rule of thumb span/depth ~20 for glulam beams (civilsir.com/glulam-span-rule-of-thumb)</t>
  </si>
  <si>
    <t>Single, US-origin rule of thumb; kept range 16-24. Worth checking against EN 1995 / Dutch practice (span/depth 15-20).</t>
  </si>
  <si>
    <t>Beam width = 1/3 to 1/4 of depth (civilsir.com/glulam-span-rule-of-thumb); APA limits depth/width to &lt;=12 (anthonyforest.com APA TT-085)</t>
  </si>
  <si>
    <t>Typical moved from 3 to 3.5 (midpoint of the 3-4 rule of thumb). Lowers beam mass ~14% vs before.</t>
  </si>
  <si>
    <t>Density of glulam timber</t>
  </si>
  <si>
    <t>common sense: between EN 14080 GL24h (~420) and Annebergs EPD (461)</t>
  </si>
  <si>
    <t>Common-sense estimate (Claude, for LCA-team review): GL24h spruce glulam has a mean density of ~420 kg/m3 (EN 14080, from memory) and the Danish EPD declares 461, so 439 sits between the two. Fixed because timber is bought per m3. | earlier note: fixed: glulam timber is bought in m3, at 1 / density m3 per kg of product (production row). 461 (EPD) vs 439 is a 5% difference; if you change this, change the production row to 1/density too.</t>
  </si>
  <si>
    <t>glulam timber</t>
  </si>
  <si>
    <t>amount per kg product</t>
  </si>
  <si>
    <t>Amount of glulam timber per kg of product</t>
  </si>
  <si>
    <t>m3/kg</t>
  </si>
  <si>
    <t>derived: 1/density</t>
  </si>
  <si>
    <t>Common-sense estimate (Claude, for LCA-team review): Exactly 1/density: 1 kg of beam needs 1/439 m3 of glulam, no cutting waste modelled (offcuts are inside the cradle-to-gate dataset). | earlier note: 1 / 439 kg per m3</t>
  </si>
  <si>
    <t>service life</t>
  </si>
  <si>
    <t>Years the product lasts in use</t>
  </si>
  <si>
    <t>Assumed equal to the reinforced concrete beam (structural frame element, protected interior). EN 1990 design working life 50 y (class 3) to 100 y (class 4) (betonhuis.nl); Annebergs glulam EPD declares no RSL</t>
  </si>
  <si>
    <t>Common-sense estimate (Claude, for LCA-team review): A protected glulam beam does not rot or fatigue, so it lasts as long as the building it sits in. Used the same 75 y as concrete (range 50-100 y) so the comparison is not tilted by lifetime alone. | earlier note: Raised from 60. No glulam-specific reference service life found; equal lifetimes avoid biasing the comparison (burdens are scaled by service_life / L). Decision for you: keep 75 or set a glulam-specific value.</t>
  </si>
  <si>
    <t>waste incineration</t>
  </si>
  <si>
    <t>kg of glulam timber that goes to waste incineration at end of life, per kg of product</t>
  </si>
  <si>
    <t>kg/kg</t>
  </si>
  <si>
    <t>common sense, cross-checked with Annebergs glulam EPD (47% recycling / 53% incineration / 0% landfill)</t>
  </si>
  <si>
    <t>Common-sense estimate (Claude, for LCA-team review): Kept your numbers (you said they look fine). Reasoning: glue and preservatives make post-consumer glulam grade B/C wood, which goes mostly to energy recovery (Danish EPD: 53% energy, 47% chips) with a smaller part to chipboard; landfilling is banned or rare in NL/DK/DE, so 10% landfill is on the high side and could be ~0-5%.</t>
  </si>
  <si>
    <t>waste recycling</t>
  </si>
  <si>
    <t>kg of glulam timber that goes to waste recycling at end of life, per kg of product</t>
  </si>
  <si>
    <t>Common-sense estimate (Claude, for LCA-team review): Kept. Recycled into chipboard (open loop); 30% is between practice for glued wood (~10-20%) and the Danish EPD's 47%.</t>
  </si>
  <si>
    <t>waste landfilling</t>
  </si>
  <si>
    <t>kg of glulam timber that goes to waste landfilling at end of life, per kg of product</t>
  </si>
  <si>
    <t>Common-sense estimate (Claude, for LCA-team review): Kept. Probably a slight overestimate for NL (landfill of wood is banned), a reasonable Europe-wide value.</t>
  </si>
  <si>
    <t>Country whose electricity mix is displaced by energy recovered at end of life</t>
  </si>
  <si>
    <t>model choice</t>
  </si>
  <si>
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</si>
  <si>
    <t>Eurocode 2 Table 7.4N basic span/depth limits: 20 simply supported, 14 continuous (anbeal.co.uk/ec2spantodepth)</t>
  </si>
  <si>
    <t>Typical unchanged (12, stocky beam); max raised to 20 = EC2 limit for simply supported beams. Actual depth depends on load, so this stays a design assumption.</t>
  </si>
  <si>
    <t>width_over_depth</t>
  </si>
  <si>
    <t>Beam width divided by beam depth</t>
  </si>
  <si>
    <t>structural rule of thumb</t>
  </si>
  <si>
    <t>Common-sense estimate (Claude, for LCA-team review): Beam width is usually about half the depth (b = h/2, engineers use h/3 to 2h/3 as rule of thumb); narrower beams need more depth, wider ones clash with wall thickness. 0.4-0.6 spans the common range. | earlier note: No source found; b/h 0.4-0.6 is common practice. Left as team assumption.</t>
  </si>
  <si>
    <t>concrete_density</t>
  </si>
  <si>
    <t>Density of reinforced concrete</t>
  </si>
  <si>
    <t>EN 1991-1-1 Annex A: reinforced normal-weight concrete 25 kN/m3 (standard value, not re-checked online this session)</t>
  </si>
  <si>
    <t>Was 2400 (range 1920-2880 = +-20%, too wide for normal-weight concrete). Implied rebar ~150 kg/m3 = 6% of mass, consistent with the steel production row.</t>
  </si>
  <si>
    <t>concrete</t>
  </si>
  <si>
    <t>Amount of concrete per kg of product</t>
  </si>
  <si>
    <t>engineering estimate: rebar ratio 100-250 kg/m3</t>
  </si>
  <si>
    <t>Common-sense estimate (Claude, for LCA-team review): Rebar in RC beams is typically 100-250 kg per m3 of concrete; 150 kg/m3 at 2500 kg/m3 gives 6% steel and 94% concrete. Rebar content is a real uncertainty that changes the beam's footprint a lot (steel is ~10x more carbon-intensive per kg), so it now varies in the uncertainty analysis (shares are re-normalised). Concrete is the complement of steel: 0.90-0.96.</t>
  </si>
  <si>
    <t>steel</t>
  </si>
  <si>
    <t>Amount of steel per kg of product</t>
  </si>
  <si>
    <t>Common-sense estimate (Claude, for LCA-team review): 150 kg rebar per m3 of concrete / 2500 kg per m3 = 6%. Range 100-250 kg/m3 = 4-10%. Stiffer/heavily loaded beams and shorter spans sit at the top of the range.</t>
  </si>
  <si>
    <t>formwork</t>
  </si>
  <si>
    <t>Amount of formwork per kg of product</t>
  </si>
  <si>
    <t>recalculated for density 2500 kg/m3 ; derived from beam geometry, 10 reuses</t>
  </si>
  <si>
    <t>Common-sense estimate (Claude, for LCA-team review): Plywood formwork reused ~10 times; 8.1 kg per 1875 kg beam at 6 m span (formula in the earlier note). Fixed because it is a geometric consequence of the reference span. | earlier note: fixed per kg of beam, exact at the 6 m reference span: formwork 6 x (2 x 0.5 + 0.25) m x 0.018 m x 600 kg/m3 / 10 reuses = 8.1 kg per 1875 kg of beam (6 m x 0.5 x 0.25 m x 2500 kg/m3) = 0.00432 kg/kg</t>
  </si>
  <si>
    <t>EN 1990 design working life 50 y (class 3) to 100 y (class 4); SBR: service life of most concrete structural parts &gt; 100 y (betonhuis.nl/beton-en-de-technische-levensduur)</t>
  </si>
  <si>
    <t>75 = common building-life convention, kept as typical; range widened to 50-100.</t>
  </si>
  <si>
    <t>waste reinforced concrete recycling</t>
  </si>
  <si>
    <t>reinforced concrete</t>
  </si>
  <si>
    <t>kg of reinforced concrete beam (concrete + rebar, treated as a whole) that goes to waste reinforced concrete recycling at end of life, per kg of product</t>
  </si>
  <si>
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</si>
  <si>
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</si>
  <si>
    <t>waste concrete landfilling</t>
  </si>
  <si>
    <t>kg of reinforced concrete beam (concrete + rebar, treated as a whole) that goes to waste concrete landfilling at end of life, per kg of product</t>
  </si>
  <si>
    <t>Complement of recycling row (shares re-normalised to 100%). EU ~7%, NL ~2%; typical 10% kept conservative for whole-Europe scope. Beam's ~6% steel is landfilled with the concrete here (ecoinvent 'waste concrete' dataset).</t>
  </si>
  <si>
    <t>"traditional" coreless filament winded beam</t>
  </si>
  <si>
    <t>Metres of fibre per metre of beam span</t>
  </si>
  <si>
    <t>same value as lci_raw_cfw (Stuttgart CFW paper)</t>
  </si>
  <si>
    <t>Common-sense estimate (Claude, for LCA-team review): Kept identical to the RAW coreless-winding case (lci_raw_cfw), because the baseline is the same structure made with glass/epoxy; using other numbers would bias the comparison.</t>
  </si>
  <si>
    <t>Mass of one metre of glass fibre</t>
  </si>
  <si>
    <t>same value as lci_raw_cfw</t>
  </si>
  <si>
    <t>Common-sense estimate (Claude, for LCA-team review): 0.006 kg/m corresponds to 6000 tex, i.e. a bundle of a few standard 1200-2400 tex glass rovings. Kept equal to lci_raw_cfw for a fair comparison. | to be replaced when the Stuttgart CFW LCA data arrive</t>
  </si>
  <si>
    <t>fibre_mass_share</t>
  </si>
  <si>
    <t>Share of the composite mass that is fibre</t>
  </si>
  <si>
    <t>common sense: typical wet-winding fibre mass fraction 60-70%</t>
  </si>
  <si>
    <t>Common-sense estimate (Claude, for LCA-team review): Wet filament-wound glass/epoxy usually has 60-70% fibre by mass; 60% (range 48-72%) is at the low end, which is safe for uncertain resin uptake. Must equal the glass fibre production row. | to be replaced when the Stuttgart CFW LCA data arrive</t>
  </si>
  <si>
    <t>glass fibre</t>
  </si>
  <si>
    <t>Amount of glass fibre per kg of product</t>
  </si>
  <si>
    <t>derived: = fibre_mass_share</t>
  </si>
  <si>
    <t>Common-sense estimate (Claude, for LCA-team review): Equal to fibre_mass_share (0.6): each kg of composite is 0.6 kg glass fibre. | to be replaced when the Stuttgart CFW LCA data arrive</t>
  </si>
  <si>
    <t>Amount of Fiber glue (epoxy resin) per kg of product</t>
  </si>
  <si>
    <t>derived: 1 - fibre_mass_share</t>
  </si>
  <si>
    <t>Common-sense estimate (Claude, for LCA-team review): Complement of fibre share: 1 - 0.6 = 0.4 kg epoxy per kg composite. | to be replaced when the Stuttgart CFW LCA data arrive</t>
  </si>
  <si>
    <t>common sense: design life of FRP structures ~50 y</t>
  </si>
  <si>
    <t>Common-sense estimate (Claude, for LCA-team review): Glass/epoxy beams in a dry interior do not corrode, but polymers age (moisture, UV, creep) and the design life of composite structures is normally set at 50 y. Kept 50 y (same as RAW case), range 40-60. | earlier note: No source found for GFRP beams in buildings; kept as placeholder.</t>
  </si>
  <si>
    <t>waste inert landfilling</t>
  </si>
  <si>
    <t>kg of glass fibre that goes to waste inert landfilling at end of life, per kg of product</t>
  </si>
  <si>
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</si>
  <si>
    <t>Common-sense estimate (Claude, for LCA-team review): No recycling route for thermoset composite exists at scale in Europe (mechanical grinding and cement co-processing are niche), so the realistic routes are landfill or municipal incineration. Glass does not burn, so it ends up as inert residue anyway. | to be replaced when the Stuttgart CFW LCA data arrive. Glass fibre and epoxy are inseparable in practice; splitting them over two landfill activities is a modelling convenience.</t>
  </si>
  <si>
    <t>waste plastic landfilling</t>
  </si>
  <si>
    <t>kg of Fiber glue (epoxy resin) that goes to waste plastic landfilling at end of life, per kg of product</t>
  </si>
  <si>
    <t>Common-sense estimate (Claude, for LCA-team review): Epoxy is inseparable from the fibre; modelled together with it as landfill. A share would be incinerated in reality; range 32-48% only reflects sampling around 0.4, not route uncertainty. | to be replaced when the Stuttgart CFW LCA data arrive. Glass fibre and epoxy are inseparable in practice; splitting them over two landfill activities is a modelling convenience.</t>
  </si>
  <si>
    <t>functional unit (fu_comparison)</t>
  </si>
  <si>
    <t>Common-sense estimate (Claude, for LCA-team review): Part of the functional unit (3 m partition, standard storey height), must equal for all compared walls. | earlier note: part of the functional unit - keep equal across the compared walls</t>
  </si>
  <si>
    <t>same value as lci_raw_biopol</t>
  </si>
  <si>
    <t>Common-sense estimate (Claude, for LCA-team review): Height/thickness = 10 gives a 0.30 m wall, the thickness of the RAW printed wall (lci_raw_biopol uses the same 10); a thin unreinforced earth wall is limited by slenderness, so 8-12 (0.25-0.375 m) is realistic. Note: this makes adobe ~2.6x thicker than the clay brick partition (0.115 m), so its mass per m of wall is much higher.</t>
  </si>
  <si>
    <t>Density of the adobe wall (mortar is the same material)</t>
  </si>
  <si>
    <t>common sense: adobe/earth block dry density 1200-1900 kg/m3</t>
  </si>
  <si>
    <t>Common-sense estimate (Claude, for LCA-team review): Dry adobe with straw/fibre is 1200-1900 kg/m3 (fully compacted soil reaches ~2000+, which adobe usually does not). Typical 1700, range narrowed to 1300-1900 (was 1360-2040). | earlier note: Adobe brick density: no adobe-specific source retrieved (compacted raw earth optimum 2160 kg/m3 is for rammed earth, not adobe). Kept placeholder.</t>
  </si>
  <si>
    <t>adobe brick</t>
  </si>
  <si>
    <t>Amount of adobe brick per kg of product</t>
  </si>
  <si>
    <t>definition</t>
  </si>
  <si>
    <t>Common-sense estimate (Claude, for LCA-team review): Wall = bricks laid in earth mortar of the same material, so 1 kg wall = 1 kg adobe.</t>
  </si>
  <si>
    <t>common sense</t>
  </si>
  <si>
    <t>Common-sense estimate (Claude, for LCA-team review): Protected interior earth walls last as long as the building if kept dry, but unfired earth is moisture-sensitive and partitions get rebuilt at refurbishments. Set at 60 y (clay brick 75 y): a modest discount for moisture risk, range 40-100. | earlier note: No source found for interior adobe walls. Protected, dry earthen walls can last centuries, so 50 y is conservative and penalises adobe vs clay brick (75 y): decision for you.</t>
  </si>
  <si>
    <t>kg of adobe brick that goes to waste inert landfilling at end of life, per kg of product</t>
  </si>
  <si>
    <t>common sense; adobe is infinitely recyclable in principle (Materials and Structures 2025)</t>
  </si>
  <si>
    <t>Common-sense estimate (Claude, for LCA-team review): Unfired adobe is not fired ceramic: it can be re-wetted and reformed or used as fill/plaster, so about half is reused, half is disposed as inert waste. Range widened to 25-75% because practice is so uncertain. | earlier note: the other 50 % is reused (no treatment). Recycling of raw earth has no activity on the sheet, so it is not modelled.</t>
  </si>
  <si>
    <t>Common-sense estimate (Claude, for LCA-team review): Part of the functional unit (3 m partition), must equal for all compared walls. | earlier note: part of the functional unit - keep equal across the compared walls</t>
  </si>
  <si>
    <t>thickness</t>
  </si>
  <si>
    <t>Wall thickness (standard brick)</t>
  </si>
  <si>
    <t>common sense: NL standard brick width 100-115 mm</t>
  </si>
  <si>
    <t>Common-sense estimate (Claude, for LCA-team review): Standard Dutch brick partition: one brick wide (100 mm Waalformaat) to a half-brick wall (115 mm); range 92-138 mm covers 90 mm to 140 mm partitions.</t>
  </si>
  <si>
    <t>Density of brick and mortar</t>
  </si>
  <si>
    <t>common sense: masonry density 1600-2100 kg/m3</t>
  </si>
  <si>
    <t>Common-sense estimate (Claude, for LCA-team review): Solid clay brick is 1800-2000 kg/m3, perforated brick 1400-1700, mortar ~1800-2000. Wall average 1900 kept; range narrowed to 1600-2100 (was 1520-2280).</t>
  </si>
  <si>
    <t>clay brick</t>
  </si>
  <si>
    <t>Amount of clay brick per kg of product</t>
  </si>
  <si>
    <t>Engineering calculation: Waalformaat brick 210x100x50 mm with 10 mm joints -&gt; face area of brick/module = (210x50)/(220x60) = 79.5%, so mortar = 20.5% of volume; mass share = 0.205x1800/(0.205x1800+0.795x1900) = 19.6% ; derived: 1 - mortar share</t>
  </si>
  <si>
    <t>Common-sense estimate (Claude, for LCA-team review): Complement of the mortar share (0.2), see engineering calculation in the source column. | earlier note: Was 0.84 / 0.16. Assumes 10 mm joints and mortar 1800 kg/m3, brick 1900 kg/m3. Thin-bed (UK/DE) masonry would be ~10%.</t>
  </si>
  <si>
    <t>lime mortar</t>
  </si>
  <si>
    <t>Amount of lime mortar per kg of product</t>
  </si>
  <si>
    <t>see clay brick row (engineering calculation) ; engineering calculation (see clay brick row)</t>
  </si>
  <si>
    <t>Common-sense estimate (Claude, for LCA-team review): Joint volume = 20.5% of a Waalformaat wall (10 mm joints); by mass ~20%. Thin-bed masonry would be ~10%, so 0.2 is a conservative-high value. | earlier note: Was 0.16.</t>
  </si>
  <si>
    <t>Brick facade masonry service life 'ruim boven 75', 100+ y in SBR tables (KNB, eindrapport LCC baksteenmetselwerk)</t>
  </si>
  <si>
    <t>75 kept as typical (building-life convention), max raised to 100. Interior walls are less exposed than facades.</t>
  </si>
  <si>
    <t>waste brick recycling</t>
  </si>
  <si>
    <t>kg of clay brick that goes to waste brick recycling at end of life, per kg of product</t>
  </si>
  <si>
    <t>EU-27 C&amp;D waste 2020-21: 80% recycling + 7% backfilling, 7% landfill, 6% energy recovery (JRC131294 p.10); NL 2012: 98% recovery, ~2% landfill (EC CDW factsheet NL). Same whole-masonry logic as the reinforced concrete beam: crushed as one stream</t>
  </si>
  <si>
    <t>90% of the brick fraction (0.80 kg/kg) recycled incl. backfilling. Selective deconstruction and reuse of whole bricks (24-79% reclaim rates in Finland/Belgium/Denmark, Buildings &amp; Cities 2024) is not modelled, so this is conservative.</t>
  </si>
  <si>
    <t>kg of clay brick that goes to waste inert landfilling at end of life, per kg of product</t>
  </si>
  <si>
    <t>10% of the brick fraction landfilled (range 2-20%).</t>
  </si>
  <si>
    <t>kg of lime mortar that goes to waste inert landfilling at end of life, per kg of product</t>
  </si>
  <si>
    <t>10% of the mortar fraction (0.20 kg/kg) landfilled.</t>
  </si>
  <si>
    <t>kg of lime mortar that goes to waste brick recycling at end of life, per kg of product</t>
  </si>
  <si>
    <t>90% of the mortar fraction stays attached to the bricks and is crushed with them (range 80-98%).</t>
  </si>
  <si>
    <t>Mass of polyester fibre per m2 of coverage</t>
  </si>
  <si>
    <t>common sense: yarn share of PVC-coated PES fabric</t>
  </si>
  <si>
    <t>Common-sense estimate (Claude, for LCA-team review): Kept 0.3 kg/m2: polyester yarn is roughly 25-35% of a 0.8-1.3 kg/m2 coated membrane; see the model-gap note (PVC coating not modelled). Range 0.24-0.36 = +-20%. | earlier note: 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</si>
  <si>
    <t>polyester fiber</t>
  </si>
  <si>
    <t>Amount of polyester fiber per kg of product</t>
  </si>
  <si>
    <t>Common-sense estimate (Claude, for LCA-team review): 1 kg of membrane textile is 1 kg polyester fibre (coating not modelled).</t>
  </si>
  <si>
    <t>weaving</t>
  </si>
  <si>
    <t>Amount of weaving per kg of product</t>
  </si>
  <si>
    <t>Common-sense estimate (Claude, for LCA-team review): Weaving is a per-kg process on the fabric, so 1 kg of weaving per kg of membrane.</t>
  </si>
  <si>
    <t>PVC-coated polyester membranes: design life ~15-20 y, 10-15 y in high-UV climates (Birdair PVC membrane page; ETS PVC membrane page)</t>
  </si>
  <si>
    <t>Was 20 (16-24). 25+ years is claimed only for PTFE/PVDF-topcoated membranes.</t>
  </si>
  <si>
    <t>waste plastic incineration</t>
  </si>
  <si>
    <t>kg of polyester fiber that goes to waste plastic incineration at end of life, per kg of product</t>
  </si>
  <si>
    <t>EU 2022: separately collected textiles: 15% incinerated, 12% landfilled (EEA); plastic packaging 2022: 35.0% energy recovery vs ~24.3% other disposal (European Parliament); recycling assumed ~0 for coated membranes</t>
  </si>
  <si>
    <t>Incineration:landfill = 35/(35+24.3) = 59% (plastics) or 15/(15+12) = 56% (textiles). Was 0.7/0.3. NL has a landfill ban, so NL would be &gt;90% incineration: max set to 0.95.</t>
  </si>
  <si>
    <t>kg of polyester fiber that goes to waste plastic landfilling at end of life, per kg of product</t>
  </si>
  <si>
    <t>Complement of the incineration row.</t>
  </si>
  <si>
    <t>element_type</t>
  </si>
  <si>
    <t>case_type</t>
  </si>
  <si>
    <t>case_name</t>
  </si>
  <si>
    <t>display_name</t>
  </si>
  <si>
    <t>spec_variable</t>
  </si>
  <si>
    <t>spec_label</t>
  </si>
  <si>
    <t>spec_unit</t>
  </si>
  <si>
    <t>activity_name</t>
  </si>
  <si>
    <t>activity_unit</t>
  </si>
  <si>
    <t>formula</t>
  </si>
  <si>
    <t>amount_at_spec_1_check</t>
  </si>
  <si>
    <t>beam</t>
  </si>
  <si>
    <t>conventional bio-based</t>
  </si>
  <si>
    <t>span</t>
  </si>
  <si>
    <t>glulam beam production</t>
  </si>
  <si>
    <t>(span / depth_ratio) * ((span / depth_ratio) / width_ratio) * span * density</t>
  </si>
  <si>
    <t>kg = depth (span / 20) * width (depth / 3) * span * density (439 kg/m3)</t>
  </si>
  <si>
    <t>conventional fossil-based</t>
  </si>
  <si>
    <t>reinforced concrete beam production</t>
  </si>
  <si>
    <t>span * (span / depth_ratio) * (width_over_depth * (span / depth_ratio)) * concrete_density</t>
  </si>
  <si>
    <t>kg = span * depth (span / 12) * width (0.5 * depth) * density (2400 kg/m3)</t>
  </si>
  <si>
    <t>"traditional" coreless filament winded beam production</t>
  </si>
  <si>
    <t>span * fibre_length_per_span * fibre_mass_per_length / fibre_mass_share</t>
  </si>
  <si>
    <t>kg = fibre mass (placeholder values) / fibre share of the composite mass</t>
  </si>
  <si>
    <t>wall</t>
  </si>
  <si>
    <t>length</t>
  </si>
  <si>
    <t>adobe brick for interior wall production</t>
  </si>
  <si>
    <t>length * wall_height * (wall_height / thickness_ratio) * density</t>
  </si>
  <si>
    <t>kg = wall length * height (3m) * thickness (height/10) * density (1700 kg/m3)... mortar is same material, so not listed separately</t>
  </si>
  <si>
    <t>clay brick for interior wall production</t>
  </si>
  <si>
    <t>length * wall_height * thickness * density</t>
  </si>
  <si>
    <t>kg = length * height (3 m) * thickness (0.115 m) * density (1900 kg/m3), brick + mortar</t>
  </si>
  <si>
    <t>membrane</t>
  </si>
  <si>
    <t>coverage</t>
  </si>
  <si>
    <t>synthetic polymer architectural membrane production</t>
  </si>
  <si>
    <t>coverage * areal_density</t>
  </si>
  <si>
    <t>kg = coverage * areal density (0.3 kg/m2)</t>
  </si>
  <si>
    <t>raw</t>
  </si>
  <si>
    <t>RAW reclaimed timber (CNC beam)</t>
  </si>
  <si>
    <t>raw_timber production</t>
  </si>
  <si>
    <t>span * (span / depth_ratio) * ((span / depth_ratio) / width_ratio) * density</t>
  </si>
  <si>
    <t>check with Amin and Nadja dimensions and density: kg product = span * depth (span/20) * width (depth/3) * density (480kg/m3)</t>
  </si>
  <si>
    <t>RAW coreless filament winding (beam)</t>
  </si>
  <si>
    <t>raw_cfw production</t>
  </si>
  <si>
    <t>span * fibre_length_per_span * fibre_mass_per_length</t>
  </si>
  <si>
    <t>check with Fabian and Otto numbers from Suttgart paper, seems ridiculously light: kg = span * fiber_length_perSpan (550m / span) * fiber_density (0.006 kg / m_fiber)</t>
  </si>
  <si>
    <t>RAW biopol (3D-printed wall)</t>
  </si>
  <si>
    <t>raw_biopol production</t>
  </si>
  <si>
    <t>check with Carl wall thickness and density: kg = wall length * height (3m) * thickness (height/10) * density (350 kg/m3)</t>
  </si>
  <si>
    <t>RAW knitted hemp (membrane)</t>
  </si>
  <si>
    <t>raw_knit production</t>
  </si>
  <si>
    <t>check with Yulia formula and density: kg = coverage (m2) * density (0.4 kg/m2)</t>
  </si>
  <si>
    <t>material_source</t>
  </si>
  <si>
    <t>ecoinventDataset_name</t>
  </si>
  <si>
    <t>geographicalCoverage</t>
  </si>
  <si>
    <t>referenceProduct</t>
  </si>
  <si>
    <t>alternative_data_source</t>
  </si>
  <si>
    <t>eol_type</t>
  </si>
  <si>
    <t>Bio-based materials</t>
  </si>
  <si>
    <t>Peas</t>
  </si>
  <si>
    <t>market for protein pea</t>
  </si>
  <si>
    <t xml:space="preserve">GLO </t>
  </si>
  <si>
    <t>protein pea</t>
  </si>
  <si>
    <t>Cotton fiber</t>
  </si>
  <si>
    <t>market for seed-cotton</t>
  </si>
  <si>
    <t>seed-cotton</t>
  </si>
  <si>
    <t>decorticated fibre production, hemp</t>
  </si>
  <si>
    <t>FR</t>
  </si>
  <si>
    <t>decorticated fibre, hemp</t>
  </si>
  <si>
    <t>market for sawnwood, hardwood, raw</t>
  </si>
  <si>
    <t>GLO</t>
  </si>
  <si>
    <t>sawnwood, hardwood, raw</t>
  </si>
  <si>
    <t>Soft wood</t>
  </si>
  <si>
    <t>market for sawnwood, softwood, raw</t>
  </si>
  <si>
    <t>sawnwood, softwood, raw</t>
  </si>
  <si>
    <t>RER</t>
  </si>
  <si>
    <t>biopol_lca_database</t>
  </si>
  <si>
    <t>Hemp dust</t>
  </si>
  <si>
    <t>hemp residues</t>
  </si>
  <si>
    <t>Bark chips</t>
  </si>
  <si>
    <t>market for bark chips, green, measured as dry mass</t>
  </si>
  <si>
    <t>Europe without Switzerland</t>
  </si>
  <si>
    <t>bark chips, green, measured as dry mass</t>
  </si>
  <si>
    <t>market for sawdust, green, collected, measured as dry mass</t>
  </si>
  <si>
    <t>sawdust, green, collected, measured as dry mass</t>
  </si>
  <si>
    <t>Cellulose reject fibers</t>
  </si>
  <si>
    <t>road transport</t>
  </si>
  <si>
    <t>distance: transport_distance_km on the constants tab</t>
  </si>
  <si>
    <t>market for waste yarn and waste textile</t>
  </si>
  <si>
    <t>RoW</t>
  </si>
  <si>
    <t>waste yarn and waste textile</t>
  </si>
  <si>
    <t>market group for waste wood, untreated</t>
  </si>
  <si>
    <t>waste wood, untreated</t>
  </si>
  <si>
    <t>Baseline cases</t>
  </si>
  <si>
    <t>m3</t>
  </si>
  <si>
    <t>market for glued laminated timber, PUR-glue</t>
  </si>
  <si>
    <t>CH</t>
  </si>
  <si>
    <t>glued laminated timber, PUR-glue</t>
  </si>
  <si>
    <t>market for concrete, medium strength</t>
  </si>
  <si>
    <t>concrete, medium strength</t>
  </si>
  <si>
    <t>market for reinforcing steel</t>
  </si>
  <si>
    <t>reinforcing steel</t>
  </si>
  <si>
    <t>market for plywood</t>
  </si>
  <si>
    <t>plywood</t>
  </si>
  <si>
    <t>market for glass fibre</t>
  </si>
  <si>
    <t>placeholder material of the 'traditional' CFW baseline - rebuild the background data (pipeline/02_background_lci.ipynb) before using it</t>
  </si>
  <si>
    <t>market for adobe brick</t>
  </si>
  <si>
    <t>market for clay brick</t>
  </si>
  <si>
    <t>market for lime mortar</t>
  </si>
  <si>
    <t>market for fibre, polyester</t>
  </si>
  <si>
    <t>fibre, polyester</t>
  </si>
  <si>
    <t>market for weaving, synthetic fibre</t>
  </si>
  <si>
    <t>weaving, synthetic fibre</t>
  </si>
  <si>
    <t>Binding materials</t>
  </si>
  <si>
    <t xml:space="preserve">Mechanical fastener (screws, nails, brackets) </t>
  </si>
  <si>
    <t>market for steel, low-alloyed, hot rolled</t>
  </si>
  <si>
    <t>steel, low-alloyed, hot rolled</t>
  </si>
  <si>
    <t>Wood glue</t>
  </si>
  <si>
    <t>market for melamine urea formaldehyde adhesive</t>
  </si>
  <si>
    <t>melamine urea formaldehyde adhesive</t>
  </si>
  <si>
    <t>MUF is usually used for gluing wood in engineered timber products</t>
  </si>
  <si>
    <t>market for epoxy resin, liquid</t>
  </si>
  <si>
    <t>epoxy resin, liquid</t>
  </si>
  <si>
    <t>Most commonly used in natural-fiber composite research</t>
  </si>
  <si>
    <t>Cement</t>
  </si>
  <si>
    <t>market for cement, Portland</t>
  </si>
  <si>
    <t>cement, Portland</t>
  </si>
  <si>
    <t>Lime</t>
  </si>
  <si>
    <t>market for hydraulic lime</t>
  </si>
  <si>
    <t>hydraulic lime</t>
  </si>
  <si>
    <t>Transportation</t>
  </si>
  <si>
    <t xml:space="preserve">Road transport </t>
  </si>
  <si>
    <t>ton km</t>
  </si>
  <si>
    <t>market for transport, freight, lorry, unspecified</t>
  </si>
  <si>
    <t>transport, freight, lorry, diesel, unspecified</t>
  </si>
  <si>
    <t>Processes</t>
  </si>
  <si>
    <t>energy use</t>
  </si>
  <si>
    <t>kwh</t>
  </si>
  <si>
    <t>market for electricity, low voltage</t>
  </si>
  <si>
    <t>lookup: all european countries</t>
  </si>
  <si>
    <t>electricity, low voltage</t>
  </si>
  <si>
    <t>machine wear</t>
  </si>
  <si>
    <t>market for industrial machine, heavy, unspecified</t>
  </si>
  <si>
    <t>industrial machine, heavy, unspecified</t>
  </si>
  <si>
    <t>waste composting</t>
  </si>
  <si>
    <t>treatment of biowaste, industrial composting</t>
  </si>
  <si>
    <t>biowaste</t>
  </si>
  <si>
    <t>composting</t>
  </si>
  <si>
    <t>treatment of waste wood, post-consumer, sorting and shredding</t>
  </si>
  <si>
    <t>wood chips, from post-consumer wood, dry, measured as dry mass</t>
  </si>
  <si>
    <t>recycling</t>
  </si>
  <si>
    <t>treatment of biowaste, municipal incineration</t>
  </si>
  <si>
    <t>incineration</t>
  </si>
  <si>
    <t>treatment of biowaste, open dump</t>
  </si>
  <si>
    <t>landfill</t>
  </si>
  <si>
    <t>Avoided burdens</t>
  </si>
  <si>
    <t>avoided burden - composting</t>
  </si>
  <si>
    <t>market for compost</t>
  </si>
  <si>
    <t>compost</t>
  </si>
  <si>
    <t>avoided burden - open loop recycling</t>
  </si>
  <si>
    <t>market for wood chips, dry, measured as dry mass</t>
  </si>
  <si>
    <t>wood chips, dry, measured as dry mass</t>
  </si>
  <si>
    <t>avoided burden - incineration, heat</t>
  </si>
  <si>
    <t>market group for heat, district or industrial, natural gas</t>
  </si>
  <si>
    <t>heat, district or industrial, natural gas</t>
  </si>
  <si>
    <t>avoided burden - incineration, electricity</t>
  </si>
  <si>
    <t>End-of-life datasets for baseline products</t>
  </si>
  <si>
    <t>treatment of inert waste, inert material landfill</t>
  </si>
  <si>
    <t>inert waste, for final disposal</t>
  </si>
  <si>
    <t>EoL of brick/mortar/adobe baselines</t>
  </si>
  <si>
    <t>treatment of waste concrete, inert material landfill</t>
  </si>
  <si>
    <t>waste concrete</t>
  </si>
  <si>
    <t>EoL of reinforced concrete beam baseline</t>
  </si>
  <si>
    <t>treatment of waste reinforced concrete, recycling</t>
  </si>
  <si>
    <t>waste reinforced concrete</t>
  </si>
  <si>
    <t>EoL of reinforced concrete beam baseline, applied to concrete + steel mass</t>
  </si>
  <si>
    <t>treatment of waste brick, recycling</t>
  </si>
  <si>
    <t>waste brick</t>
  </si>
  <si>
    <t>EoL of clay brick baseline</t>
  </si>
  <si>
    <t>treatment of waste plastic, mixture, municipal incineration FAE</t>
  </si>
  <si>
    <t>waste plastic, mixture</t>
  </si>
  <si>
    <t>EoL of polyester membrane baseline</t>
  </si>
  <si>
    <t>treatment of waste plastic, mixture, sanitary landfill</t>
  </si>
  <si>
    <t>material_name</t>
  </si>
  <si>
    <t>carbonContent_dryWeight_kg</t>
  </si>
  <si>
    <t>carbonContent_source</t>
  </si>
  <si>
    <t>rotationPeriod_yr</t>
  </si>
  <si>
    <t>rotationPeriod_source</t>
  </si>
  <si>
    <t xml:space="preserve">1 kg </t>
  </si>
  <si>
    <t>to extract w/ bw</t>
  </si>
  <si>
    <t>ecoinvent</t>
  </si>
  <si>
    <t>Cherubini et al. 2011 (GWPbio methodology)</t>
  </si>
  <si>
    <t>average between soft and hard wood</t>
  </si>
  <si>
    <t>Beech rotation (110–140 yr, or 80–100 yr in some countries): Analysis and evaluation of the impact of stand age on the occurrence and metamorphosis of red heartwood — iForest, 2017 (https://iforest.sisef.org/contents/?id=ifor2116-010)</t>
  </si>
  <si>
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</si>
  <si>
    <t>Softwood CORRIM figure: Cradle-to-gate LCA of softwood lumber production, NE-NC region (https://corrim.org/wp-content/uploads/2018/06/NENC-Lumber-LCA-final-May-2013.pdf)</t>
  </si>
  <si>
    <t>market for waste paper, sorted</t>
  </si>
  <si>
    <t>waste paper, sorted</t>
  </si>
  <si>
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</si>
  <si>
    <t xml:space="preserve">note: </t>
  </si>
  <si>
    <t xml:space="preserve">If the material is a (co-) product, then the benefit is carbon sequestration (GWPbio method that includes both storage and rotation period) </t>
  </si>
  <si>
    <t>If material is a waste / wild-harvested product, then the benefit is delayed carbon emissions (GWPbio method that only includes storage period)</t>
  </si>
  <si>
    <t>on carbon content: beware that it is dry weight, so you need to take into account the water content. this info is available in ecoinvent.</t>
  </si>
  <si>
    <t>fossil/mineral material: no biogenic carbon</t>
  </si>
  <si>
    <t>n/a</t>
  </si>
  <si>
    <t>Mechanical fastener (screws, nails, brackets)</t>
  </si>
  <si>
    <t>derived: 0.45 kgC per kg pea (IPCC Tier 1 / Lal 2004) x 0.5893 kg peas per kg binder (biopol_lca LCI: peas -&gt; isolate -&gt; binder)</t>
  </si>
  <si>
    <t>Annual crop, same as peas</t>
  </si>
  <si>
    <t>1 m3</t>
  </si>
  <si>
    <t>Softwood CORRIM figure, same as Soft wood</t>
  </si>
  <si>
    <t>allocation_factor</t>
  </si>
  <si>
    <t>quality_ratio</t>
  </si>
  <si>
    <t>lower_heating_value_MJperKgDry</t>
  </si>
  <si>
    <t>LHV_basis</t>
  </si>
  <si>
    <t>conversionEfficiency_heat</t>
  </si>
  <si>
    <t>conversionEfficiency_electricity</t>
  </si>
  <si>
    <t>recycling_credit_activity</t>
  </si>
  <si>
    <t>Bomb-calorimetry data across nine protein samples found heat of combustion for protein varying between 22.0 and 24.6 kJ/g PubMed — directly supports this estimate</t>
  </si>
  <si>
    <t>Phyllis2 dataset - bean plant (#2888)</t>
  </si>
  <si>
    <t>Phyllis2 dataset - cotton, values between 15 and 17</t>
  </si>
  <si>
    <t>Within the confirmed dry-matter wood range of 18.7–21.9 MJ/kg, slightly lower for deciduous species than coniferous due to lower lignin/resin content Woodenergy</t>
  </si>
  <si>
    <t>Same source — coniferous species run slightly higher than deciduous because of higher lignin and resin content Woodenergy</t>
  </si>
  <si>
    <t>Phyllis2 dataset - hemp (#398, 399)</t>
  </si>
  <si>
    <t>Placed within the general wood dry-matter range; no bark-specific literature value found</t>
  </si>
  <si>
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</si>
  <si>
    <t>Posidonia oceanica (Mediterranean seagrass) studies found heating values around 9–11 MJ/kg with very high ash content (16–36%); ResearchGate leaf debris specifically was around 10 MJ/kg, versus 13.6–15.7 MJ/kg for the more fibrous portion. ScienceDirect</t>
  </si>
  <si>
    <t>RAW product</t>
  </si>
  <si>
    <t>conservative average of input ingredients</t>
  </si>
  <si>
    <t>previous baseline_eol_setup (glulam timber)</t>
  </si>
  <si>
    <t>previous baseline_eol_setup (plywood formwork)</t>
  </si>
  <si>
    <t>previous baseline_eol_setup (polyester)</t>
  </si>
  <si>
    <t xml:space="preserve">source for allocation factors: </t>
  </si>
  <si>
    <t>https://eplca.jrc.ec.europa.eu/permalink/Annex_C_V2.1_May2020.xlsx</t>
  </si>
  <si>
    <t>note: a high allocation factor (e.g. A = 0.8) means recycling rate is low, suggested less well established recycling infrastructure.</t>
  </si>
  <si>
    <t>note: the JRC uses three possible allocation factors: 0.2, 0.5, and 0.8.</t>
  </si>
  <si>
    <t>route</t>
  </si>
  <si>
    <t>treatment_activity</t>
  </si>
  <si>
    <t>cff_factor_applies</t>
  </si>
  <si>
    <t>material_credit_activity</t>
  </si>
  <si>
    <t>energy_credit_heat_activity</t>
  </si>
  <si>
    <t>energy_credit_electricity_activity</t>
  </si>
  <si>
    <t>constant</t>
  </si>
  <si>
    <t>time_horizon_yr</t>
  </si>
  <si>
    <t>Time horizon of the GWP_bio and dynamic characterisation factors</t>
  </si>
  <si>
    <t>Guest et al. 2012; Levasseur et al. 2010</t>
  </si>
  <si>
    <t>transport_distance_km</t>
  </si>
  <si>
    <t>km</t>
  </si>
  <si>
    <t>Road-transport distance for collected (co-product, recycled, wild-harvested) materials</t>
  </si>
  <si>
    <t>assumption</t>
  </si>
  <si>
    <t>quality_ratio_primary</t>
  </si>
  <si>
    <t>Quality of primary (virgin) material in the circular footprint formula (Qp)</t>
  </si>
  <si>
    <t>assumption, no data</t>
  </si>
  <si>
    <t>co2_c_molar_ratio</t>
  </si>
  <si>
    <t>kg CO2 / kg C</t>
  </si>
  <si>
    <t>Molar mass ratio CO2 to C (44 / 12)</t>
  </si>
  <si>
    <t>physical constant</t>
  </si>
  <si>
    <t>mj_per_kwh</t>
  </si>
  <si>
    <t>MJ/kWh</t>
  </si>
  <si>
    <t>Unit conversion for the incineration electricity credit</t>
  </si>
  <si>
    <t>machine_wear_activity</t>
  </si>
  <si>
    <t>Activity (in unit_burdens_dataSources) that gives the burden of one kg of machine wear</t>
  </si>
  <si>
    <t>electricity_activity</t>
  </si>
  <si>
    <t>Activity (in unit_burdens_dataSources) that gives the burden of one kWh of electricity, per country</t>
  </si>
  <si>
    <t>raw_product_eol_row</t>
  </si>
  <si>
    <t>Row of the EoL_constants tab that gives the allocation factor, quality ratio, LHV and conversion efficiencies used for RAW products</t>
  </si>
  <si>
    <t>rotation_period_yr</t>
  </si>
  <si>
    <t>storage_0yr</t>
  </si>
  <si>
    <t>storage_10yr</t>
  </si>
  <si>
    <t>storage_20yr</t>
  </si>
  <si>
    <t>storage_30yr</t>
  </si>
  <si>
    <t>storage_40yr</t>
  </si>
  <si>
    <t>storage_50yr</t>
  </si>
  <si>
    <t>storage_60yr</t>
  </si>
  <si>
    <t>storage_70yr</t>
  </si>
  <si>
    <t>storage_80yr</t>
  </si>
  <si>
    <t>storage_90yr</t>
  </si>
  <si>
    <t>storage_100yr</t>
  </si>
  <si>
    <t>Guest et al. (2012), Table 1, 100-yr time horizon</t>
  </si>
  <si>
    <t>term</t>
  </si>
  <si>
    <t>coefficient_a</t>
  </si>
  <si>
    <t>time_constant_tau_yr</t>
  </si>
  <si>
    <t>a0</t>
  </si>
  <si>
    <t>Bern carbon cycle model, Forster et al. 2007 via Levasseur et al. 2010 eq. 3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</si>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</sst>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vertical="top" wrapText="1"/>
    </xf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B7B7"/>
  </sheetPr>
  <dimension ref="A1:B23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30" customWidth="1"/>
  </cols>
  <sheetData>
    <row r="1" spans="1:2" x14ac:dyDescent="0.2">
      <c r="A1" s="1" t="s">
        <v>182</v>
      </c>
      <c r="B1" s="1" t="s">
        <v>183</v>
      </c>
    </row>
    <row r="2" spans="1:2" ht="32" customHeight="1" x14ac:dyDescent="0.2">
      <c r="A2" s="2" t="s">
        <v>184</v>
      </c>
      <c r="B2" s="3" t="s">
        <v>185</v>
      </c>
    </row>
    <row r="3" spans="1:2" ht="16" customHeight="1" x14ac:dyDescent="0.2">
      <c r="A3" s="2" t="s">
        <v>186</v>
      </c>
      <c r="B3" s="3" t="s">
        <v>187</v>
      </c>
    </row>
    <row r="4" spans="1:2" ht="16" customHeight="1" x14ac:dyDescent="0.2">
      <c r="A4" s="2" t="s">
        <v>188</v>
      </c>
      <c r="B4" s="3" t="s">
        <v>189</v>
      </c>
    </row>
    <row r="5" spans="1:2" ht="32" customHeight="1" x14ac:dyDescent="0.2">
      <c r="A5" s="2" t="s">
        <v>190</v>
      </c>
      <c r="B5" s="3" t="s">
        <v>191</v>
      </c>
    </row>
    <row r="6" spans="1:2" ht="32" customHeight="1" x14ac:dyDescent="0.2">
      <c r="A6" s="2" t="s">
        <v>192</v>
      </c>
      <c r="B6" s="3" t="s">
        <v>193</v>
      </c>
    </row>
    <row r="7" spans="1:2" ht="16" customHeight="1" x14ac:dyDescent="0.2">
      <c r="A7" s="2" t="s">
        <v>194</v>
      </c>
      <c r="B7" s="3" t="s">
        <v>195</v>
      </c>
    </row>
    <row r="8" spans="1:2" ht="32" customHeight="1" x14ac:dyDescent="0.2">
      <c r="A8" s="2" t="s">
        <v>196</v>
      </c>
      <c r="B8" s="3" t="s">
        <v>197</v>
      </c>
    </row>
    <row r="9" spans="1:2" ht="32" customHeight="1" x14ac:dyDescent="0.2">
      <c r="A9" s="2" t="s">
        <v>198</v>
      </c>
      <c r="B9" s="3" t="s">
        <v>199</v>
      </c>
    </row>
    <row r="10" spans="1:2" ht="16" customHeight="1" x14ac:dyDescent="0.2">
      <c r="A10" s="2" t="s">
        <v>200</v>
      </c>
      <c r="B10" s="3" t="s">
        <v>201</v>
      </c>
    </row>
    <row r="11" spans="1:2" ht="16" customHeight="1" x14ac:dyDescent="0.2">
      <c r="A11" s="2" t="s">
        <v>202</v>
      </c>
      <c r="B11" s="3" t="s">
        <v>203</v>
      </c>
    </row>
    <row r="12" spans="1:2" ht="32" customHeight="1" x14ac:dyDescent="0.2">
      <c r="A12" s="2" t="s">
        <v>204</v>
      </c>
      <c r="B12" s="3" t="s">
        <v>205</v>
      </c>
    </row>
    <row r="13" spans="1:2" ht="32" customHeight="1" x14ac:dyDescent="0.2">
      <c r="A13" s="2" t="s">
        <v>1</v>
      </c>
      <c r="B13" s="3" t="s">
        <v>206</v>
      </c>
    </row>
    <row r="14" spans="1:2" ht="32" customHeight="1" x14ac:dyDescent="0.2">
      <c r="A14" s="2" t="s">
        <v>207</v>
      </c>
      <c r="B14" s="3" t="s">
        <v>208</v>
      </c>
    </row>
    <row r="15" spans="1:2" ht="64" customHeight="1" x14ac:dyDescent="0.2">
      <c r="A15" s="2" t="s">
        <v>12</v>
      </c>
      <c r="B15" s="3" t="s">
        <v>209</v>
      </c>
    </row>
    <row r="16" spans="1:2" ht="32" customHeight="1" x14ac:dyDescent="0.2">
      <c r="A16" s="2" t="s">
        <v>210</v>
      </c>
      <c r="B16" s="3" t="s">
        <v>211</v>
      </c>
    </row>
    <row r="17" spans="1:2" ht="32" customHeight="1" x14ac:dyDescent="0.2">
      <c r="A17" s="2" t="s">
        <v>212</v>
      </c>
      <c r="B17" s="3" t="s">
        <v>213</v>
      </c>
    </row>
    <row r="18" spans="1:2" ht="16" customHeight="1" x14ac:dyDescent="0.2">
      <c r="A18" s="2" t="s">
        <v>214</v>
      </c>
      <c r="B18" s="3" t="s">
        <v>215</v>
      </c>
    </row>
    <row r="19" spans="1:2" ht="16" customHeight="1" x14ac:dyDescent="0.2">
      <c r="A19" s="2" t="s">
        <v>216</v>
      </c>
      <c r="B19" s="3" t="s">
        <v>217</v>
      </c>
    </row>
    <row r="20" spans="1:2" ht="32" customHeight="1" x14ac:dyDescent="0.2">
      <c r="A20" s="2" t="s">
        <v>218</v>
      </c>
      <c r="B20" s="3" t="s">
        <v>219</v>
      </c>
    </row>
    <row r="21" spans="1:2" ht="32" customHeight="1" x14ac:dyDescent="0.2">
      <c r="A21" s="2" t="s">
        <v>220</v>
      </c>
      <c r="B21" s="3" t="s">
        <v>221</v>
      </c>
    </row>
    <row r="22" spans="1:2" ht="32" customHeight="1" x14ac:dyDescent="0.2">
      <c r="A22" s="2" t="s">
        <v>222</v>
      </c>
      <c r="B22" s="3" t="s">
        <v>223</v>
      </c>
    </row>
    <row r="23" spans="1:2" ht="32" customHeight="1" x14ac:dyDescent="0.2">
      <c r="A23" s="2" t="s">
        <v>224</v>
      </c>
      <c r="B23" s="3" t="s">
        <v>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A7D6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59" customWidth="1"/>
    <col min="3" max="3" width="47" customWidth="1"/>
    <col min="4" max="4" width="14" customWidth="1"/>
    <col min="5" max="6" width="19" customWidth="1"/>
    <col min="7" max="7" width="17" customWidth="1"/>
    <col min="8" max="8" width="31" customWidth="1"/>
    <col min="9" max="9" width="42" customWidth="1"/>
  </cols>
  <sheetData>
    <row r="1" spans="1:9" x14ac:dyDescent="0.2">
      <c r="A1" s="4" t="s">
        <v>226</v>
      </c>
      <c r="B1" s="4" t="s">
        <v>227</v>
      </c>
      <c r="C1" s="4" t="s">
        <v>228</v>
      </c>
      <c r="D1" s="4" t="s">
        <v>229</v>
      </c>
      <c r="E1" s="4" t="s">
        <v>230</v>
      </c>
      <c r="F1" s="4" t="s">
        <v>231</v>
      </c>
      <c r="G1" s="4" t="s">
        <v>232</v>
      </c>
      <c r="H1" s="4" t="s">
        <v>233</v>
      </c>
      <c r="I1" s="4" t="s">
        <v>234</v>
      </c>
    </row>
    <row r="2" spans="1:9" x14ac:dyDescent="0.2">
      <c r="A2" s="5" t="s">
        <v>235</v>
      </c>
      <c r="B2" s="5" t="s">
        <v>236</v>
      </c>
      <c r="C2" s="5" t="s">
        <v>237</v>
      </c>
      <c r="D2" s="5">
        <v>50</v>
      </c>
      <c r="E2" s="5" t="s">
        <v>146</v>
      </c>
      <c r="F2" s="5" t="s">
        <v>238</v>
      </c>
      <c r="G2" s="5" t="s">
        <v>23</v>
      </c>
      <c r="H2" s="5" t="s">
        <v>239</v>
      </c>
      <c r="I2" s="5" t="s">
        <v>240</v>
      </c>
    </row>
    <row r="3" spans="1:9" x14ac:dyDescent="0.2">
      <c r="A3" s="5" t="s">
        <v>241</v>
      </c>
      <c r="B3" s="5" t="s">
        <v>242</v>
      </c>
      <c r="C3" s="5" t="s">
        <v>237</v>
      </c>
      <c r="D3" s="5">
        <v>50</v>
      </c>
      <c r="E3" s="5" t="s">
        <v>146</v>
      </c>
      <c r="F3" s="5" t="s">
        <v>238</v>
      </c>
      <c r="G3" s="5" t="s">
        <v>23</v>
      </c>
      <c r="H3" s="5" t="s">
        <v>239</v>
      </c>
      <c r="I3" s="5" t="s">
        <v>240</v>
      </c>
    </row>
    <row r="4" spans="1:9" x14ac:dyDescent="0.2">
      <c r="A4" s="5" t="s">
        <v>17</v>
      </c>
      <c r="B4" s="5" t="s">
        <v>243</v>
      </c>
      <c r="C4" s="5" t="s">
        <v>244</v>
      </c>
      <c r="D4" s="5">
        <v>50</v>
      </c>
      <c r="E4" s="5" t="s">
        <v>146</v>
      </c>
      <c r="F4" s="5" t="s">
        <v>245</v>
      </c>
      <c r="G4" s="5" t="s">
        <v>23</v>
      </c>
      <c r="H4" s="5" t="s">
        <v>246</v>
      </c>
      <c r="I4" s="5" t="s">
        <v>247</v>
      </c>
    </row>
    <row r="5" spans="1:9" x14ac:dyDescent="0.2">
      <c r="A5" s="5" t="s">
        <v>248</v>
      </c>
      <c r="B5" s="5" t="s">
        <v>249</v>
      </c>
      <c r="C5" s="5" t="s">
        <v>250</v>
      </c>
      <c r="D5" s="5">
        <v>50</v>
      </c>
      <c r="E5" s="5" t="s">
        <v>146</v>
      </c>
      <c r="F5" s="5" t="s">
        <v>251</v>
      </c>
      <c r="G5" s="5" t="s">
        <v>252</v>
      </c>
      <c r="H5" s="5"/>
      <c r="I5" s="5" t="s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A7D6"/>
  </sheetPr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20" customWidth="1"/>
    <col min="4" max="4" width="45" customWidth="1"/>
  </cols>
  <sheetData>
    <row r="1" spans="1:4" x14ac:dyDescent="0.2">
      <c r="A1" s="4" t="s">
        <v>5</v>
      </c>
      <c r="B1" s="4" t="s">
        <v>254</v>
      </c>
      <c r="C1" s="4" t="s">
        <v>7</v>
      </c>
      <c r="D1" s="4" t="s">
        <v>6</v>
      </c>
    </row>
    <row r="2" spans="1:4" x14ac:dyDescent="0.2">
      <c r="A2" s="5" t="s">
        <v>255</v>
      </c>
      <c r="B2" s="5">
        <v>6</v>
      </c>
      <c r="C2" s="5" t="s">
        <v>23</v>
      </c>
      <c r="D2" s="5" t="s">
        <v>256</v>
      </c>
    </row>
    <row r="3" spans="1:4" x14ac:dyDescent="0.2">
      <c r="A3" s="5" t="s">
        <v>257</v>
      </c>
      <c r="B3" s="5">
        <v>4</v>
      </c>
      <c r="C3" s="5" t="s">
        <v>23</v>
      </c>
      <c r="D3" s="5" t="s">
        <v>258</v>
      </c>
    </row>
    <row r="4" spans="1:4" x14ac:dyDescent="0.2">
      <c r="A4" s="5" t="s">
        <v>259</v>
      </c>
      <c r="B4" s="5">
        <v>100</v>
      </c>
      <c r="C4" s="5" t="s">
        <v>252</v>
      </c>
      <c r="D4" s="5" t="s">
        <v>260</v>
      </c>
    </row>
    <row r="5" spans="1:4" x14ac:dyDescent="0.2">
      <c r="A5" s="5" t="s">
        <v>261</v>
      </c>
      <c r="B5" s="5" t="s">
        <v>262</v>
      </c>
      <c r="C5" s="5" t="s">
        <v>263</v>
      </c>
      <c r="D5" s="5" t="s">
        <v>264</v>
      </c>
    </row>
    <row r="6" spans="1:4" x14ac:dyDescent="0.2">
      <c r="A6" s="5" t="s">
        <v>265</v>
      </c>
      <c r="B6" s="5" t="s">
        <v>266</v>
      </c>
      <c r="C6" s="5" t="s">
        <v>263</v>
      </c>
      <c r="D6" s="5" t="s">
        <v>267</v>
      </c>
    </row>
    <row r="7" spans="1:4" x14ac:dyDescent="0.2">
      <c r="A7" s="5" t="s">
        <v>268</v>
      </c>
      <c r="B7" s="5" t="s">
        <v>269</v>
      </c>
      <c r="C7" s="5" t="s">
        <v>270</v>
      </c>
      <c r="D7" s="5" t="s">
        <v>271</v>
      </c>
    </row>
    <row r="8" spans="1:4" x14ac:dyDescent="0.2">
      <c r="A8" s="5" t="s">
        <v>272</v>
      </c>
      <c r="B8" s="5" t="s">
        <v>273</v>
      </c>
      <c r="C8" s="5" t="s">
        <v>274</v>
      </c>
      <c r="D8" s="5" t="s">
        <v>275</v>
      </c>
    </row>
    <row r="9" spans="1:4" x14ac:dyDescent="0.2">
      <c r="A9" s="5" t="s">
        <v>276</v>
      </c>
      <c r="B9" s="5">
        <v>2000</v>
      </c>
      <c r="C9" s="5" t="s">
        <v>277</v>
      </c>
      <c r="D9" s="5" t="s">
        <v>278</v>
      </c>
    </row>
    <row r="10" spans="1:4" x14ac:dyDescent="0.2">
      <c r="A10" s="5" t="s">
        <v>279</v>
      </c>
      <c r="B10" s="5" t="s">
        <v>280</v>
      </c>
      <c r="C10" s="5" t="s">
        <v>281</v>
      </c>
      <c r="D10" s="5" t="s">
        <v>282</v>
      </c>
    </row>
    <row r="11" spans="1:4" x14ac:dyDescent="0.2">
      <c r="A11" s="5" t="s">
        <v>283</v>
      </c>
      <c r="B11" s="5">
        <v>3.12</v>
      </c>
      <c r="C11" s="5" t="s">
        <v>30</v>
      </c>
      <c r="D11" s="5" t="s">
        <v>284</v>
      </c>
    </row>
    <row r="12" spans="1:4" x14ac:dyDescent="0.2">
      <c r="A12" s="5" t="s">
        <v>285</v>
      </c>
      <c r="B12" s="5" t="s">
        <v>286</v>
      </c>
      <c r="C12" s="5" t="s">
        <v>30</v>
      </c>
      <c r="D12" s="5" t="s">
        <v>287</v>
      </c>
    </row>
    <row r="13" spans="1:4" x14ac:dyDescent="0.2">
      <c r="A13" s="5" t="s">
        <v>288</v>
      </c>
      <c r="B13" s="5" t="s">
        <v>289</v>
      </c>
      <c r="C13" s="5" t="s">
        <v>30</v>
      </c>
      <c r="D13" s="5" t="s">
        <v>290</v>
      </c>
    </row>
    <row r="14" spans="1:4" x14ac:dyDescent="0.2">
      <c r="A14" s="5" t="s">
        <v>291</v>
      </c>
      <c r="B14" s="5">
        <v>42</v>
      </c>
      <c r="C14" s="5" t="s">
        <v>30</v>
      </c>
      <c r="D14" s="5" t="s">
        <v>292</v>
      </c>
    </row>
    <row r="15" spans="1:4" x14ac:dyDescent="0.2">
      <c r="A15" s="5" t="s">
        <v>293</v>
      </c>
      <c r="B15" s="5">
        <v>500</v>
      </c>
      <c r="C15" s="5" t="s">
        <v>277</v>
      </c>
      <c r="D15" s="5" t="s">
        <v>294</v>
      </c>
    </row>
    <row r="16" spans="1:4" x14ac:dyDescent="0.2">
      <c r="A16" s="5" t="s">
        <v>295</v>
      </c>
      <c r="B16" s="5">
        <v>512</v>
      </c>
      <c r="C16" s="5" t="s">
        <v>277</v>
      </c>
      <c r="D16" s="5" t="s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A7D6"/>
  </sheetPr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45" customWidth="1"/>
    <col min="4" max="4" width="20" customWidth="1"/>
  </cols>
  <sheetData>
    <row r="1" spans="1:4" x14ac:dyDescent="0.2">
      <c r="A1" s="4" t="s">
        <v>297</v>
      </c>
      <c r="B1" s="4" t="s">
        <v>7</v>
      </c>
      <c r="C1" s="4" t="s">
        <v>298</v>
      </c>
      <c r="D1" s="4" t="s">
        <v>299</v>
      </c>
    </row>
    <row r="2" spans="1:4" x14ac:dyDescent="0.2">
      <c r="A2" s="5" t="s">
        <v>300</v>
      </c>
      <c r="B2" s="5" t="s">
        <v>301</v>
      </c>
      <c r="C2" s="5" t="s">
        <v>300</v>
      </c>
      <c r="D2" s="5" t="s">
        <v>302</v>
      </c>
    </row>
    <row r="3" spans="1:4" x14ac:dyDescent="0.2">
      <c r="A3" s="5" t="s">
        <v>303</v>
      </c>
      <c r="B3" s="5" t="s">
        <v>304</v>
      </c>
      <c r="C3" s="5" t="s">
        <v>303</v>
      </c>
      <c r="D3" s="5" t="s">
        <v>302</v>
      </c>
    </row>
    <row r="4" spans="1:4" x14ac:dyDescent="0.2">
      <c r="A4" s="5" t="s">
        <v>305</v>
      </c>
      <c r="B4" s="5" t="s">
        <v>306</v>
      </c>
      <c r="C4" s="5" t="s">
        <v>305</v>
      </c>
      <c r="D4" s="5" t="s">
        <v>302</v>
      </c>
    </row>
    <row r="5" spans="1:4" x14ac:dyDescent="0.2">
      <c r="A5" s="5" t="s">
        <v>307</v>
      </c>
      <c r="B5" s="5" t="s">
        <v>308</v>
      </c>
      <c r="C5" s="5" t="s">
        <v>307</v>
      </c>
      <c r="D5" s="5" t="s">
        <v>302</v>
      </c>
    </row>
    <row r="6" spans="1:4" x14ac:dyDescent="0.2">
      <c r="A6" s="5" t="s">
        <v>309</v>
      </c>
      <c r="B6" s="5" t="s">
        <v>310</v>
      </c>
      <c r="C6" s="5" t="s">
        <v>311</v>
      </c>
      <c r="D6" s="5" t="s">
        <v>302</v>
      </c>
    </row>
    <row r="7" spans="1:4" x14ac:dyDescent="0.2">
      <c r="A7" s="5" t="s">
        <v>312</v>
      </c>
      <c r="B7" s="5" t="s">
        <v>313</v>
      </c>
      <c r="C7" s="5" t="s">
        <v>312</v>
      </c>
      <c r="D7" s="5" t="s">
        <v>302</v>
      </c>
    </row>
    <row r="8" spans="1:4" x14ac:dyDescent="0.2">
      <c r="A8" s="5" t="s">
        <v>314</v>
      </c>
      <c r="B8" s="5" t="s">
        <v>315</v>
      </c>
      <c r="C8" s="5" t="s">
        <v>314</v>
      </c>
      <c r="D8" s="5" t="s">
        <v>302</v>
      </c>
    </row>
    <row r="9" spans="1:4" x14ac:dyDescent="0.2">
      <c r="A9" s="5" t="s">
        <v>316</v>
      </c>
      <c r="B9" s="5" t="s">
        <v>317</v>
      </c>
      <c r="C9" s="5" t="s">
        <v>318</v>
      </c>
      <c r="D9" s="5" t="s">
        <v>302</v>
      </c>
    </row>
    <row r="10" spans="1:4" x14ac:dyDescent="0.2">
      <c r="A10" s="5" t="s">
        <v>319</v>
      </c>
      <c r="B10" s="5" t="s">
        <v>301</v>
      </c>
      <c r="C10" s="5" t="s">
        <v>319</v>
      </c>
      <c r="D10" s="5" t="s">
        <v>320</v>
      </c>
    </row>
    <row r="11" spans="1:4" x14ac:dyDescent="0.2">
      <c r="A11" s="5" t="s">
        <v>321</v>
      </c>
      <c r="B11" s="5" t="s">
        <v>301</v>
      </c>
      <c r="C11" s="5" t="s">
        <v>321</v>
      </c>
      <c r="D11" s="5" t="s">
        <v>320</v>
      </c>
    </row>
    <row r="12" spans="1:4" x14ac:dyDescent="0.2">
      <c r="A12" s="5" t="s">
        <v>322</v>
      </c>
      <c r="B12" s="5" t="s">
        <v>301</v>
      </c>
      <c r="C12" s="5" t="s">
        <v>322</v>
      </c>
      <c r="D12" s="5" t="s">
        <v>320</v>
      </c>
    </row>
    <row r="13" spans="1:4" x14ac:dyDescent="0.2">
      <c r="A13" s="5" t="s">
        <v>323</v>
      </c>
      <c r="B13" s="5" t="s">
        <v>324</v>
      </c>
      <c r="C13" s="5" t="s">
        <v>323</v>
      </c>
      <c r="D13" s="5" t="s">
        <v>320</v>
      </c>
    </row>
    <row r="14" spans="1:4" x14ac:dyDescent="0.2">
      <c r="A14" s="5" t="s">
        <v>325</v>
      </c>
      <c r="B14" s="5" t="s">
        <v>324</v>
      </c>
      <c r="C14" s="5" t="s">
        <v>325</v>
      </c>
      <c r="D14" s="5" t="s">
        <v>320</v>
      </c>
    </row>
    <row r="15" spans="1:4" x14ac:dyDescent="0.2">
      <c r="A15" s="5" t="s">
        <v>326</v>
      </c>
      <c r="B15" s="5" t="s">
        <v>324</v>
      </c>
      <c r="C15" s="5" t="s">
        <v>326</v>
      </c>
      <c r="D15" s="5" t="s">
        <v>320</v>
      </c>
    </row>
    <row r="16" spans="1:4" x14ac:dyDescent="0.2">
      <c r="A16" s="5" t="s">
        <v>327</v>
      </c>
      <c r="B16" s="5" t="s">
        <v>328</v>
      </c>
      <c r="C16" s="5" t="s">
        <v>327</v>
      </c>
      <c r="D16" s="5" t="s">
        <v>320</v>
      </c>
    </row>
    <row r="17" spans="1:4" x14ac:dyDescent="0.2">
      <c r="A17" s="5" t="s">
        <v>329</v>
      </c>
      <c r="B17" s="5" t="s">
        <v>330</v>
      </c>
      <c r="C17" s="5" t="s">
        <v>329</v>
      </c>
      <c r="D17" s="5" t="s">
        <v>320</v>
      </c>
    </row>
    <row r="18" spans="1:4" x14ac:dyDescent="0.2">
      <c r="A18" s="5" t="s">
        <v>331</v>
      </c>
      <c r="B18" s="5" t="s">
        <v>332</v>
      </c>
      <c r="C18" s="5" t="s">
        <v>331</v>
      </c>
      <c r="D18" s="5" t="s">
        <v>320</v>
      </c>
    </row>
    <row r="19" spans="1:4" x14ac:dyDescent="0.2">
      <c r="A19" s="5" t="s">
        <v>333</v>
      </c>
      <c r="B19" s="5" t="s">
        <v>334</v>
      </c>
      <c r="C19" s="5" t="s">
        <v>333</v>
      </c>
      <c r="D19" s="5" t="s">
        <v>320</v>
      </c>
    </row>
    <row r="20" spans="1:4" x14ac:dyDescent="0.2">
      <c r="A20" s="5" t="s">
        <v>335</v>
      </c>
      <c r="B20" s="5" t="s">
        <v>334</v>
      </c>
      <c r="C20" s="5" t="s">
        <v>335</v>
      </c>
      <c r="D20" s="5" t="s">
        <v>320</v>
      </c>
    </row>
    <row r="21" spans="1:4" x14ac:dyDescent="0.2">
      <c r="A21" s="5" t="s">
        <v>336</v>
      </c>
      <c r="B21" s="5" t="s">
        <v>334</v>
      </c>
      <c r="C21" s="5" t="s">
        <v>336</v>
      </c>
      <c r="D21" s="5" t="s">
        <v>320</v>
      </c>
    </row>
    <row r="22" spans="1:4" x14ac:dyDescent="0.2">
      <c r="A22" s="5" t="s">
        <v>337</v>
      </c>
      <c r="B22" s="5" t="s">
        <v>334</v>
      </c>
      <c r="C22" s="5" t="s">
        <v>337</v>
      </c>
      <c r="D22" s="5" t="s">
        <v>320</v>
      </c>
    </row>
    <row r="23" spans="1:4" x14ac:dyDescent="0.2">
      <c r="A23" s="5" t="s">
        <v>338</v>
      </c>
      <c r="B23" s="5" t="s">
        <v>334</v>
      </c>
      <c r="C23" s="5" t="s">
        <v>338</v>
      </c>
      <c r="D23" s="5" t="s">
        <v>320</v>
      </c>
    </row>
    <row r="24" spans="1:4" x14ac:dyDescent="0.2">
      <c r="A24" s="5" t="s">
        <v>339</v>
      </c>
      <c r="B24" s="5" t="s">
        <v>334</v>
      </c>
      <c r="C24" s="5" t="s">
        <v>339</v>
      </c>
      <c r="D24" s="5" t="s">
        <v>320</v>
      </c>
    </row>
    <row r="25" spans="1:4" x14ac:dyDescent="0.2">
      <c r="A25" s="5" t="s">
        <v>340</v>
      </c>
      <c r="B25" s="5" t="s">
        <v>341</v>
      </c>
      <c r="C25" s="5" t="s">
        <v>340</v>
      </c>
      <c r="D25" s="5" t="s">
        <v>320</v>
      </c>
    </row>
    <row r="26" spans="1:4" x14ac:dyDescent="0.2">
      <c r="A26" s="5" t="s">
        <v>342</v>
      </c>
      <c r="B26" s="5" t="s">
        <v>343</v>
      </c>
      <c r="C26" s="5" t="s">
        <v>342</v>
      </c>
      <c r="D26" s="5" t="s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A7D6"/>
  </sheetPr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3" width="15" customWidth="1"/>
    <col min="4" max="4" width="17" customWidth="1"/>
    <col min="5" max="5" width="14" customWidth="1"/>
    <col min="6" max="6" width="44" customWidth="1"/>
    <col min="7" max="7" width="12" customWidth="1"/>
  </cols>
  <sheetData>
    <row r="1" spans="1:7" x14ac:dyDescent="0.2">
      <c r="A1" s="4" t="s">
        <v>344</v>
      </c>
      <c r="B1" s="4" t="s">
        <v>298</v>
      </c>
      <c r="C1" s="4" t="s">
        <v>345</v>
      </c>
      <c r="D1" s="4" t="s">
        <v>346</v>
      </c>
      <c r="E1" s="4" t="s">
        <v>347</v>
      </c>
      <c r="F1" s="4" t="s">
        <v>16</v>
      </c>
      <c r="G1" s="4" t="s">
        <v>348</v>
      </c>
    </row>
    <row r="2" spans="1:7" x14ac:dyDescent="0.2">
      <c r="A2" s="5" t="s">
        <v>349</v>
      </c>
      <c r="B2" s="5" t="s">
        <v>350</v>
      </c>
      <c r="C2" s="5"/>
      <c r="D2" s="5"/>
      <c r="E2" s="5"/>
      <c r="F2" s="5" t="s">
        <v>351</v>
      </c>
      <c r="G2" s="5" t="s">
        <v>302</v>
      </c>
    </row>
    <row r="3" spans="1:7" x14ac:dyDescent="0.2">
      <c r="A3" s="5" t="s">
        <v>352</v>
      </c>
      <c r="B3" s="5" t="s">
        <v>353</v>
      </c>
      <c r="C3" s="5" t="s">
        <v>354</v>
      </c>
      <c r="D3" s="5" t="s">
        <v>355</v>
      </c>
      <c r="E3" s="5">
        <v>2050</v>
      </c>
      <c r="F3" s="5" t="s">
        <v>356</v>
      </c>
      <c r="G3" s="5" t="s">
        <v>320</v>
      </c>
    </row>
    <row r="4" spans="1:7" x14ac:dyDescent="0.2">
      <c r="A4" s="5" t="s">
        <v>357</v>
      </c>
      <c r="B4" s="5">
        <v>2050</v>
      </c>
      <c r="C4" s="5" t="s">
        <v>354</v>
      </c>
      <c r="D4" s="5" t="s">
        <v>358</v>
      </c>
      <c r="E4" s="5">
        <v>2050</v>
      </c>
      <c r="F4" s="5" t="s">
        <v>359</v>
      </c>
      <c r="G4" s="5" t="s">
        <v>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6A5AF"/>
  </sheetPr>
  <dimension ref="A1:P54"/>
  <sheetViews>
    <sheetView zoomScale="110" zoomScaleNormal="110" workbookViewId="0">
      <pane xSplit="5" ySplit="1" topLeftCell="L2" activePane="bottomRight" state="frozen"/>
      <selection activeCell="G13" sqref="G13"/>
      <selection pane="topRight" activeCell="G13" sqref="G13"/>
      <selection pane="bottomLeft" activeCell="G13" sqref="G13"/>
      <selection pane="bottomRight" activeCell="P23" sqref="P23"/>
    </sheetView>
  </sheetViews>
  <sheetFormatPr baseColWidth="10" defaultColWidth="8.83203125" defaultRowHeight="15" x14ac:dyDescent="0.2"/>
  <cols>
    <col min="1" max="1" width="27.1640625" customWidth="1"/>
    <col min="2" max="2" width="13" customWidth="1"/>
    <col min="3" max="3" width="21" customWidth="1"/>
    <col min="4" max="4" width="17" customWidth="1"/>
    <col min="5" max="5" width="24" customWidth="1"/>
    <col min="6" max="6" width="60" customWidth="1"/>
    <col min="7" max="7" width="14" customWidth="1"/>
    <col min="8" max="8" width="9" customWidth="1"/>
    <col min="9" max="9" width="8" customWidth="1"/>
    <col min="10" max="11" width="13" customWidth="1"/>
    <col min="12" max="12" width="12" customWidth="1"/>
    <col min="13" max="13" width="12.83203125" customWidth="1"/>
    <col min="14" max="14" width="13" customWidth="1"/>
    <col min="15" max="15" width="40" customWidth="1"/>
    <col min="16" max="17" width="13" customWidth="1"/>
  </cols>
  <sheetData>
    <row r="1" spans="1:16" x14ac:dyDescent="0.2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</row>
    <row r="2" spans="1:16" ht="16" customHeight="1" x14ac:dyDescent="0.2">
      <c r="A2" s="7" t="s">
        <v>239</v>
      </c>
      <c r="B2" s="7" t="s">
        <v>19</v>
      </c>
      <c r="C2" s="7" t="s">
        <v>20</v>
      </c>
      <c r="D2" s="7"/>
      <c r="E2" s="7" t="s">
        <v>360</v>
      </c>
      <c r="F2" s="7" t="s">
        <v>361</v>
      </c>
      <c r="G2" s="7" t="s">
        <v>30</v>
      </c>
      <c r="H2" s="7">
        <v>20</v>
      </c>
      <c r="I2" s="7">
        <v>16</v>
      </c>
      <c r="J2" s="7">
        <v>24</v>
      </c>
      <c r="K2" s="7"/>
      <c r="L2" s="7" t="s">
        <v>31</v>
      </c>
      <c r="M2" s="7"/>
      <c r="N2" s="7" t="s">
        <v>458</v>
      </c>
      <c r="O2" s="7" t="s">
        <v>67</v>
      </c>
      <c r="P2" s="7" t="s">
        <v>459</v>
      </c>
    </row>
    <row r="3" spans="1:16" ht="16" customHeight="1" x14ac:dyDescent="0.2">
      <c r="A3" s="7" t="s">
        <v>239</v>
      </c>
      <c r="B3" s="7" t="s">
        <v>19</v>
      </c>
      <c r="C3" s="7" t="s">
        <v>20</v>
      </c>
      <c r="D3" s="7"/>
      <c r="E3" s="7" t="s">
        <v>364</v>
      </c>
      <c r="F3" s="7" t="s">
        <v>365</v>
      </c>
      <c r="G3" s="7" t="s">
        <v>30</v>
      </c>
      <c r="H3" s="7">
        <v>3.5</v>
      </c>
      <c r="I3" s="7">
        <v>3</v>
      </c>
      <c r="J3" s="7">
        <v>4</v>
      </c>
      <c r="K3" s="7"/>
      <c r="L3" s="7" t="s">
        <v>31</v>
      </c>
      <c r="M3" s="7"/>
      <c r="N3" s="7" t="s">
        <v>460</v>
      </c>
      <c r="O3" s="7" t="s">
        <v>67</v>
      </c>
      <c r="P3" s="7" t="s">
        <v>461</v>
      </c>
    </row>
    <row r="4" spans="1:16" ht="16" customHeight="1" x14ac:dyDescent="0.2">
      <c r="A4" s="7" t="s">
        <v>239</v>
      </c>
      <c r="B4" s="7" t="s">
        <v>19</v>
      </c>
      <c r="C4" s="7" t="s">
        <v>20</v>
      </c>
      <c r="D4" s="7"/>
      <c r="E4" s="7" t="s">
        <v>34</v>
      </c>
      <c r="F4" s="7" t="s">
        <v>462</v>
      </c>
      <c r="G4" s="7" t="s">
        <v>36</v>
      </c>
      <c r="H4" s="7">
        <v>439</v>
      </c>
      <c r="I4" s="7">
        <v>439</v>
      </c>
      <c r="J4" s="7">
        <v>439</v>
      </c>
      <c r="K4" s="7"/>
      <c r="L4" s="7" t="s">
        <v>24</v>
      </c>
      <c r="M4" s="7"/>
      <c r="N4" s="7" t="s">
        <v>463</v>
      </c>
      <c r="O4" s="7" t="s">
        <v>26</v>
      </c>
      <c r="P4" s="7" t="s">
        <v>464</v>
      </c>
    </row>
    <row r="5" spans="1:16" ht="16" customHeight="1" x14ac:dyDescent="0.2">
      <c r="A5" s="7" t="s">
        <v>239</v>
      </c>
      <c r="B5" s="7" t="s">
        <v>39</v>
      </c>
      <c r="C5" s="7" t="s">
        <v>465</v>
      </c>
      <c r="D5" s="7"/>
      <c r="E5" s="7" t="s">
        <v>466</v>
      </c>
      <c r="F5" s="7" t="s">
        <v>467</v>
      </c>
      <c r="G5" s="7" t="s">
        <v>468</v>
      </c>
      <c r="H5" s="7">
        <v>2.2779043280182231E-3</v>
      </c>
      <c r="I5" s="7">
        <v>2.2779043280182231E-3</v>
      </c>
      <c r="J5" s="7">
        <v>2.2779043280182231E-3</v>
      </c>
      <c r="K5" s="7"/>
      <c r="L5" s="7" t="s">
        <v>24</v>
      </c>
      <c r="M5" s="7"/>
      <c r="N5" s="7" t="s">
        <v>469</v>
      </c>
      <c r="O5" s="7" t="s">
        <v>26</v>
      </c>
      <c r="P5" s="7" t="s">
        <v>470</v>
      </c>
    </row>
    <row r="6" spans="1:16" ht="16" customHeight="1" x14ac:dyDescent="0.2">
      <c r="A6" s="7" t="s">
        <v>239</v>
      </c>
      <c r="B6" s="7" t="s">
        <v>143</v>
      </c>
      <c r="C6" s="7" t="s">
        <v>20</v>
      </c>
      <c r="D6" s="7"/>
      <c r="E6" s="7" t="s">
        <v>471</v>
      </c>
      <c r="F6" s="7" t="s">
        <v>472</v>
      </c>
      <c r="G6" s="7" t="s">
        <v>146</v>
      </c>
      <c r="H6" s="7">
        <v>75</v>
      </c>
      <c r="I6" s="7">
        <v>50</v>
      </c>
      <c r="J6" s="7">
        <v>100</v>
      </c>
      <c r="K6" s="7"/>
      <c r="L6" s="7" t="s">
        <v>31</v>
      </c>
      <c r="M6" s="7"/>
      <c r="N6" s="7" t="s">
        <v>473</v>
      </c>
      <c r="O6" s="7" t="s">
        <v>26</v>
      </c>
      <c r="P6" s="7" t="s">
        <v>474</v>
      </c>
    </row>
    <row r="7" spans="1:16" ht="16" customHeight="1" x14ac:dyDescent="0.2">
      <c r="A7" s="7" t="s">
        <v>239</v>
      </c>
      <c r="B7" s="7" t="s">
        <v>156</v>
      </c>
      <c r="C7" s="7" t="s">
        <v>475</v>
      </c>
      <c r="D7" s="7" t="s">
        <v>465</v>
      </c>
      <c r="E7" s="7" t="s">
        <v>466</v>
      </c>
      <c r="F7" s="7" t="s">
        <v>476</v>
      </c>
      <c r="G7" s="7" t="s">
        <v>477</v>
      </c>
      <c r="H7" s="7">
        <v>0.6</v>
      </c>
      <c r="I7" s="7">
        <v>0.48</v>
      </c>
      <c r="J7" s="7">
        <v>0.72</v>
      </c>
      <c r="K7" s="7"/>
      <c r="L7" s="7" t="s">
        <v>31</v>
      </c>
      <c r="M7" s="7"/>
      <c r="N7" s="7" t="s">
        <v>478</v>
      </c>
      <c r="O7" s="7" t="s">
        <v>26</v>
      </c>
      <c r="P7" s="7" t="s">
        <v>479</v>
      </c>
    </row>
    <row r="8" spans="1:16" ht="16" customHeight="1" x14ac:dyDescent="0.2">
      <c r="A8" s="7" t="s">
        <v>239</v>
      </c>
      <c r="B8" s="7" t="s">
        <v>156</v>
      </c>
      <c r="C8" s="7" t="s">
        <v>480</v>
      </c>
      <c r="D8" s="7" t="s">
        <v>465</v>
      </c>
      <c r="E8" s="7" t="s">
        <v>466</v>
      </c>
      <c r="F8" s="7" t="s">
        <v>481</v>
      </c>
      <c r="G8" s="7" t="s">
        <v>477</v>
      </c>
      <c r="H8" s="7">
        <v>0.3</v>
      </c>
      <c r="I8" s="7">
        <v>0.24</v>
      </c>
      <c r="J8" s="7">
        <v>0.36</v>
      </c>
      <c r="K8" s="7"/>
      <c r="L8" s="7" t="s">
        <v>31</v>
      </c>
      <c r="M8" s="7"/>
      <c r="N8" s="7" t="s">
        <v>478</v>
      </c>
      <c r="O8" s="7" t="s">
        <v>26</v>
      </c>
      <c r="P8" s="7" t="s">
        <v>482</v>
      </c>
    </row>
    <row r="9" spans="1:16" ht="16" customHeight="1" x14ac:dyDescent="0.2">
      <c r="A9" s="7" t="s">
        <v>239</v>
      </c>
      <c r="B9" s="7" t="s">
        <v>156</v>
      </c>
      <c r="C9" s="7" t="s">
        <v>483</v>
      </c>
      <c r="D9" s="7" t="s">
        <v>465</v>
      </c>
      <c r="E9" s="7" t="s">
        <v>466</v>
      </c>
      <c r="F9" s="7" t="s">
        <v>484</v>
      </c>
      <c r="G9" s="7" t="s">
        <v>477</v>
      </c>
      <c r="H9" s="7">
        <v>0.1</v>
      </c>
      <c r="I9" s="7">
        <v>0.08</v>
      </c>
      <c r="J9" s="7">
        <v>0.12</v>
      </c>
      <c r="K9" s="7"/>
      <c r="L9" s="7" t="s">
        <v>31</v>
      </c>
      <c r="M9" s="7"/>
      <c r="N9" s="7" t="s">
        <v>478</v>
      </c>
      <c r="O9" s="7" t="s">
        <v>26</v>
      </c>
      <c r="P9" s="7" t="s">
        <v>485</v>
      </c>
    </row>
    <row r="10" spans="1:16" ht="16" customHeight="1" x14ac:dyDescent="0.2">
      <c r="A10" s="7" t="s">
        <v>239</v>
      </c>
      <c r="B10" s="7" t="s">
        <v>176</v>
      </c>
      <c r="C10" s="7" t="s">
        <v>20</v>
      </c>
      <c r="D10" s="7"/>
      <c r="E10" s="7" t="s">
        <v>175</v>
      </c>
      <c r="F10" s="7" t="s">
        <v>486</v>
      </c>
      <c r="G10" s="7" t="s">
        <v>178</v>
      </c>
      <c r="H10" s="7" t="s">
        <v>179</v>
      </c>
      <c r="I10" s="7"/>
      <c r="J10" s="7"/>
      <c r="K10" s="7"/>
      <c r="L10" s="7" t="s">
        <v>90</v>
      </c>
      <c r="M10" s="7"/>
      <c r="N10" s="7" t="s">
        <v>487</v>
      </c>
      <c r="O10" s="7" t="s">
        <v>26</v>
      </c>
      <c r="P10" s="7" t="s">
        <v>488</v>
      </c>
    </row>
    <row r="11" spans="1:16" ht="16" customHeight="1" x14ac:dyDescent="0.2">
      <c r="A11" s="7" t="s">
        <v>240</v>
      </c>
      <c r="B11" s="7" t="s">
        <v>19</v>
      </c>
      <c r="C11" s="7" t="s">
        <v>20</v>
      </c>
      <c r="D11" s="7"/>
      <c r="E11" s="7" t="s">
        <v>360</v>
      </c>
      <c r="F11" s="7" t="s">
        <v>361</v>
      </c>
      <c r="G11" s="7" t="s">
        <v>30</v>
      </c>
      <c r="H11" s="7">
        <v>12</v>
      </c>
      <c r="I11" s="7">
        <v>9.6</v>
      </c>
      <c r="J11" s="7">
        <v>20</v>
      </c>
      <c r="K11" s="7"/>
      <c r="L11" s="7" t="s">
        <v>31</v>
      </c>
      <c r="M11" s="7"/>
      <c r="N11" s="7" t="s">
        <v>489</v>
      </c>
      <c r="O11" s="7" t="s">
        <v>67</v>
      </c>
      <c r="P11" s="7" t="s">
        <v>490</v>
      </c>
    </row>
    <row r="12" spans="1:16" ht="16" customHeight="1" x14ac:dyDescent="0.2">
      <c r="A12" s="7" t="s">
        <v>240</v>
      </c>
      <c r="B12" s="7" t="s">
        <v>19</v>
      </c>
      <c r="C12" s="7" t="s">
        <v>20</v>
      </c>
      <c r="D12" s="7"/>
      <c r="E12" s="7" t="s">
        <v>491</v>
      </c>
      <c r="F12" s="7" t="s">
        <v>492</v>
      </c>
      <c r="G12" s="7" t="s">
        <v>30</v>
      </c>
      <c r="H12" s="7">
        <v>0.5</v>
      </c>
      <c r="I12" s="7">
        <v>0.4</v>
      </c>
      <c r="J12" s="7">
        <v>0.6</v>
      </c>
      <c r="K12" s="7"/>
      <c r="L12" s="7" t="s">
        <v>31</v>
      </c>
      <c r="M12" s="7"/>
      <c r="N12" s="7" t="s">
        <v>493</v>
      </c>
      <c r="O12" s="7" t="s">
        <v>26</v>
      </c>
      <c r="P12" s="7" t="s">
        <v>494</v>
      </c>
    </row>
    <row r="13" spans="1:16" ht="16" customHeight="1" x14ac:dyDescent="0.2">
      <c r="A13" s="7" t="s">
        <v>240</v>
      </c>
      <c r="B13" s="7" t="s">
        <v>19</v>
      </c>
      <c r="C13" s="7" t="s">
        <v>20</v>
      </c>
      <c r="D13" s="7"/>
      <c r="E13" s="7" t="s">
        <v>495</v>
      </c>
      <c r="F13" s="7" t="s">
        <v>496</v>
      </c>
      <c r="G13" s="7" t="s">
        <v>36</v>
      </c>
      <c r="H13" s="7">
        <v>2500</v>
      </c>
      <c r="I13" s="7">
        <v>2300</v>
      </c>
      <c r="J13" s="7">
        <v>2600</v>
      </c>
      <c r="K13" s="7"/>
      <c r="L13" s="7" t="s">
        <v>31</v>
      </c>
      <c r="M13" s="7"/>
      <c r="N13" s="7" t="s">
        <v>497</v>
      </c>
      <c r="O13" s="7" t="s">
        <v>67</v>
      </c>
      <c r="P13" s="7" t="s">
        <v>498</v>
      </c>
    </row>
    <row r="14" spans="1:16" ht="16" customHeight="1" x14ac:dyDescent="0.2">
      <c r="A14" s="7" t="s">
        <v>240</v>
      </c>
      <c r="B14" s="7" t="s">
        <v>39</v>
      </c>
      <c r="C14" s="7" t="s">
        <v>499</v>
      </c>
      <c r="D14" s="7"/>
      <c r="E14" s="7" t="s">
        <v>466</v>
      </c>
      <c r="F14" s="7" t="s">
        <v>500</v>
      </c>
      <c r="G14" s="7" t="s">
        <v>477</v>
      </c>
      <c r="H14" s="7">
        <v>0.94</v>
      </c>
      <c r="I14" s="7">
        <v>0.9</v>
      </c>
      <c r="J14" s="7">
        <v>0.96</v>
      </c>
      <c r="K14" s="7"/>
      <c r="L14" s="7" t="s">
        <v>31</v>
      </c>
      <c r="M14" s="7"/>
      <c r="N14" s="7" t="s">
        <v>501</v>
      </c>
      <c r="O14" s="7" t="s">
        <v>26</v>
      </c>
      <c r="P14" s="7" t="s">
        <v>502</v>
      </c>
    </row>
    <row r="15" spans="1:16" ht="16" customHeight="1" x14ac:dyDescent="0.2">
      <c r="A15" s="7" t="s">
        <v>240</v>
      </c>
      <c r="B15" s="7" t="s">
        <v>39</v>
      </c>
      <c r="C15" s="7" t="s">
        <v>503</v>
      </c>
      <c r="D15" s="7"/>
      <c r="E15" s="7" t="s">
        <v>466</v>
      </c>
      <c r="F15" s="7" t="s">
        <v>504</v>
      </c>
      <c r="G15" s="7" t="s">
        <v>477</v>
      </c>
      <c r="H15" s="7">
        <v>0.06</v>
      </c>
      <c r="I15" s="7">
        <v>0.04</v>
      </c>
      <c r="J15" s="7">
        <v>0.1</v>
      </c>
      <c r="K15" s="7"/>
      <c r="L15" s="7" t="s">
        <v>31</v>
      </c>
      <c r="M15" s="7"/>
      <c r="N15" s="7" t="s">
        <v>501</v>
      </c>
      <c r="O15" s="7" t="s">
        <v>26</v>
      </c>
      <c r="P15" s="7" t="s">
        <v>505</v>
      </c>
    </row>
    <row r="16" spans="1:16" ht="16" customHeight="1" x14ac:dyDescent="0.2">
      <c r="A16" s="7" t="s">
        <v>240</v>
      </c>
      <c r="B16" s="7" t="s">
        <v>39</v>
      </c>
      <c r="C16" s="7" t="s">
        <v>506</v>
      </c>
      <c r="D16" s="7"/>
      <c r="E16" s="7" t="s">
        <v>466</v>
      </c>
      <c r="F16" s="7" t="s">
        <v>507</v>
      </c>
      <c r="G16" s="7" t="s">
        <v>477</v>
      </c>
      <c r="H16" s="7">
        <v>4.3200000000000001E-3</v>
      </c>
      <c r="I16" s="7">
        <v>4.3200000000000001E-3</v>
      </c>
      <c r="J16" s="7">
        <v>4.3200000000000001E-3</v>
      </c>
      <c r="K16" s="7"/>
      <c r="L16" s="7" t="s">
        <v>24</v>
      </c>
      <c r="M16" s="7"/>
      <c r="N16" s="7" t="s">
        <v>508</v>
      </c>
      <c r="O16" s="7" t="s">
        <v>26</v>
      </c>
      <c r="P16" s="7" t="s">
        <v>509</v>
      </c>
    </row>
    <row r="17" spans="1:16" ht="16" customHeight="1" x14ac:dyDescent="0.2">
      <c r="A17" s="7" t="s">
        <v>240</v>
      </c>
      <c r="B17" s="7" t="s">
        <v>143</v>
      </c>
      <c r="C17" s="7" t="s">
        <v>20</v>
      </c>
      <c r="D17" s="7"/>
      <c r="E17" s="7" t="s">
        <v>471</v>
      </c>
      <c r="F17" s="7" t="s">
        <v>472</v>
      </c>
      <c r="G17" s="7" t="s">
        <v>146</v>
      </c>
      <c r="H17" s="7">
        <v>75</v>
      </c>
      <c r="I17" s="7">
        <v>50</v>
      </c>
      <c r="J17" s="7">
        <v>100</v>
      </c>
      <c r="K17" s="7"/>
      <c r="L17" s="7" t="s">
        <v>31</v>
      </c>
      <c r="M17" s="7"/>
      <c r="N17" s="7" t="s">
        <v>510</v>
      </c>
      <c r="O17" s="7" t="s">
        <v>67</v>
      </c>
      <c r="P17" s="7" t="s">
        <v>511</v>
      </c>
    </row>
    <row r="18" spans="1:16" ht="16" customHeight="1" x14ac:dyDescent="0.2">
      <c r="A18" s="7" t="s">
        <v>240</v>
      </c>
      <c r="B18" s="7" t="s">
        <v>156</v>
      </c>
      <c r="C18" s="7" t="s">
        <v>512</v>
      </c>
      <c r="D18" s="7" t="s">
        <v>513</v>
      </c>
      <c r="E18" s="7" t="s">
        <v>466</v>
      </c>
      <c r="F18" s="7" t="s">
        <v>514</v>
      </c>
      <c r="G18" s="7" t="s">
        <v>477</v>
      </c>
      <c r="H18" s="7">
        <v>0.9</v>
      </c>
      <c r="I18" s="7">
        <v>0.8</v>
      </c>
      <c r="J18" s="7">
        <v>0.98</v>
      </c>
      <c r="K18" s="7"/>
      <c r="L18" s="7" t="s">
        <v>31</v>
      </c>
      <c r="M18" s="7"/>
      <c r="N18" s="7" t="s">
        <v>515</v>
      </c>
      <c r="O18" s="7" t="s">
        <v>67</v>
      </c>
      <c r="P18" s="7" t="s">
        <v>516</v>
      </c>
    </row>
    <row r="19" spans="1:16" ht="16" customHeight="1" x14ac:dyDescent="0.2">
      <c r="A19" s="7" t="s">
        <v>240</v>
      </c>
      <c r="B19" s="7" t="s">
        <v>156</v>
      </c>
      <c r="C19" s="7" t="s">
        <v>517</v>
      </c>
      <c r="D19" s="7" t="s">
        <v>513</v>
      </c>
      <c r="E19" s="7" t="s">
        <v>466</v>
      </c>
      <c r="F19" s="7" t="s">
        <v>518</v>
      </c>
      <c r="G19" s="7" t="s">
        <v>477</v>
      </c>
      <c r="H19" s="7">
        <v>0.1</v>
      </c>
      <c r="I19" s="7">
        <v>0.02</v>
      </c>
      <c r="J19" s="7">
        <v>0.2</v>
      </c>
      <c r="K19" s="7"/>
      <c r="L19" s="7" t="s">
        <v>31</v>
      </c>
      <c r="M19" s="7"/>
      <c r="N19" s="7" t="s">
        <v>515</v>
      </c>
      <c r="O19" s="7" t="s">
        <v>67</v>
      </c>
      <c r="P19" s="7" t="s">
        <v>519</v>
      </c>
    </row>
    <row r="20" spans="1:16" ht="16" customHeight="1" x14ac:dyDescent="0.2">
      <c r="A20" s="7" t="s">
        <v>240</v>
      </c>
      <c r="B20" s="7" t="s">
        <v>176</v>
      </c>
      <c r="C20" s="7" t="s">
        <v>20</v>
      </c>
      <c r="D20" s="7"/>
      <c r="E20" s="7" t="s">
        <v>175</v>
      </c>
      <c r="F20" s="7" t="s">
        <v>486</v>
      </c>
      <c r="G20" s="7" t="s">
        <v>178</v>
      </c>
      <c r="H20" s="7" t="s">
        <v>179</v>
      </c>
      <c r="I20" s="7"/>
      <c r="J20" s="7"/>
      <c r="K20" s="7"/>
      <c r="L20" s="7" t="s">
        <v>90</v>
      </c>
      <c r="M20" s="7"/>
      <c r="N20" s="7" t="s">
        <v>487</v>
      </c>
      <c r="O20" s="7" t="s">
        <v>26</v>
      </c>
      <c r="P20" s="7" t="s">
        <v>488</v>
      </c>
    </row>
    <row r="21" spans="1:16" ht="32" customHeight="1" x14ac:dyDescent="0.2">
      <c r="A21" s="7" t="s">
        <v>520</v>
      </c>
      <c r="B21" s="7" t="s">
        <v>19</v>
      </c>
      <c r="C21" s="7" t="s">
        <v>20</v>
      </c>
      <c r="D21" s="7"/>
      <c r="E21" s="7" t="s">
        <v>374</v>
      </c>
      <c r="F21" s="7" t="s">
        <v>521</v>
      </c>
      <c r="G21" s="7" t="s">
        <v>376</v>
      </c>
      <c r="H21" s="7">
        <v>550</v>
      </c>
      <c r="I21" s="7">
        <v>440</v>
      </c>
      <c r="J21" s="7">
        <v>660</v>
      </c>
      <c r="K21" s="7"/>
      <c r="L21" s="7" t="s">
        <v>31</v>
      </c>
      <c r="M21" s="7"/>
      <c r="N21" s="7" t="s">
        <v>522</v>
      </c>
      <c r="O21" s="7" t="s">
        <v>26</v>
      </c>
      <c r="P21" s="7" t="s">
        <v>523</v>
      </c>
    </row>
    <row r="22" spans="1:16" ht="32" customHeight="1" x14ac:dyDescent="0.2">
      <c r="A22" s="7" t="s">
        <v>520</v>
      </c>
      <c r="B22" s="7" t="s">
        <v>19</v>
      </c>
      <c r="C22" s="7" t="s">
        <v>20</v>
      </c>
      <c r="D22" s="7"/>
      <c r="E22" s="7" t="s">
        <v>377</v>
      </c>
      <c r="F22" s="7" t="s">
        <v>524</v>
      </c>
      <c r="G22" s="7" t="s">
        <v>379</v>
      </c>
      <c r="H22" s="7">
        <v>6.0000000000000001E-3</v>
      </c>
      <c r="I22" s="7">
        <v>4.7999999999999996E-3</v>
      </c>
      <c r="J22" s="7">
        <v>7.1999999999999998E-3</v>
      </c>
      <c r="K22" s="7"/>
      <c r="L22" s="7" t="s">
        <v>31</v>
      </c>
      <c r="M22" s="7"/>
      <c r="N22" s="7" t="s">
        <v>525</v>
      </c>
      <c r="O22" s="7" t="s">
        <v>26</v>
      </c>
      <c r="P22" s="7" t="s">
        <v>526</v>
      </c>
    </row>
    <row r="23" spans="1:16" ht="32" customHeight="1" x14ac:dyDescent="0.2">
      <c r="A23" s="7" t="s">
        <v>520</v>
      </c>
      <c r="B23" s="7" t="s">
        <v>19</v>
      </c>
      <c r="C23" s="7" t="s">
        <v>20</v>
      </c>
      <c r="D23" s="7"/>
      <c r="E23" s="7" t="s">
        <v>527</v>
      </c>
      <c r="F23" s="7" t="s">
        <v>528</v>
      </c>
      <c r="G23" s="7" t="s">
        <v>30</v>
      </c>
      <c r="H23" s="7">
        <v>0.6</v>
      </c>
      <c r="I23" s="7">
        <v>0.48</v>
      </c>
      <c r="J23" s="7">
        <v>0.72</v>
      </c>
      <c r="K23" s="7"/>
      <c r="L23" s="7" t="s">
        <v>31</v>
      </c>
      <c r="M23" s="7"/>
      <c r="N23" s="7" t="s">
        <v>529</v>
      </c>
      <c r="O23" s="7" t="s">
        <v>26</v>
      </c>
      <c r="P23" s="7" t="s">
        <v>530</v>
      </c>
    </row>
    <row r="24" spans="1:16" ht="16" customHeight="1" x14ac:dyDescent="0.2">
      <c r="A24" s="7" t="s">
        <v>520</v>
      </c>
      <c r="B24" s="7" t="s">
        <v>39</v>
      </c>
      <c r="C24" s="7" t="s">
        <v>531</v>
      </c>
      <c r="D24" s="7"/>
      <c r="E24" s="7" t="s">
        <v>466</v>
      </c>
      <c r="F24" s="7" t="s">
        <v>532</v>
      </c>
      <c r="G24" s="7" t="s">
        <v>477</v>
      </c>
      <c r="H24" s="7">
        <v>0.6</v>
      </c>
      <c r="I24" s="7">
        <v>0.6</v>
      </c>
      <c r="J24" s="7">
        <v>0.6</v>
      </c>
      <c r="K24" s="7"/>
      <c r="L24" s="7" t="s">
        <v>24</v>
      </c>
      <c r="M24" s="7"/>
      <c r="N24" s="7" t="s">
        <v>533</v>
      </c>
      <c r="O24" s="7" t="s">
        <v>26</v>
      </c>
      <c r="P24" s="7" t="s">
        <v>534</v>
      </c>
    </row>
    <row r="25" spans="1:16" ht="16" customHeight="1" x14ac:dyDescent="0.2">
      <c r="A25" s="7" t="s">
        <v>520</v>
      </c>
      <c r="B25" s="7" t="s">
        <v>39</v>
      </c>
      <c r="C25" s="7" t="s">
        <v>380</v>
      </c>
      <c r="D25" s="7"/>
      <c r="E25" s="7" t="s">
        <v>466</v>
      </c>
      <c r="F25" s="7" t="s">
        <v>535</v>
      </c>
      <c r="G25" s="7" t="s">
        <v>477</v>
      </c>
      <c r="H25" s="7">
        <v>0.4</v>
      </c>
      <c r="I25" s="7">
        <v>0.4</v>
      </c>
      <c r="J25" s="7">
        <v>0.4</v>
      </c>
      <c r="K25" s="7"/>
      <c r="L25" s="7" t="s">
        <v>24</v>
      </c>
      <c r="M25" s="7"/>
      <c r="N25" s="7" t="s">
        <v>536</v>
      </c>
      <c r="O25" s="7" t="s">
        <v>26</v>
      </c>
      <c r="P25" s="7" t="s">
        <v>537</v>
      </c>
    </row>
    <row r="26" spans="1:16" ht="32" customHeight="1" x14ac:dyDescent="0.2">
      <c r="A26" s="7" t="s">
        <v>520</v>
      </c>
      <c r="B26" s="7" t="s">
        <v>143</v>
      </c>
      <c r="C26" s="7" t="s">
        <v>20</v>
      </c>
      <c r="D26" s="7"/>
      <c r="E26" s="7" t="s">
        <v>471</v>
      </c>
      <c r="F26" s="7" t="s">
        <v>472</v>
      </c>
      <c r="G26" s="7" t="s">
        <v>146</v>
      </c>
      <c r="H26" s="7">
        <v>50</v>
      </c>
      <c r="I26" s="7">
        <v>40</v>
      </c>
      <c r="J26" s="7">
        <v>60</v>
      </c>
      <c r="K26" s="7"/>
      <c r="L26" s="7" t="s">
        <v>31</v>
      </c>
      <c r="M26" s="7"/>
      <c r="N26" s="7" t="s">
        <v>538</v>
      </c>
      <c r="O26" s="7" t="s">
        <v>26</v>
      </c>
      <c r="P26" s="7" t="s">
        <v>539</v>
      </c>
    </row>
    <row r="27" spans="1:16" ht="32" customHeight="1" x14ac:dyDescent="0.2">
      <c r="A27" s="7" t="s">
        <v>520</v>
      </c>
      <c r="B27" s="7" t="s">
        <v>156</v>
      </c>
      <c r="C27" s="7" t="s">
        <v>540</v>
      </c>
      <c r="D27" s="7" t="s">
        <v>531</v>
      </c>
      <c r="E27" s="7" t="s">
        <v>466</v>
      </c>
      <c r="F27" s="7" t="s">
        <v>541</v>
      </c>
      <c r="G27" s="7" t="s">
        <v>477</v>
      </c>
      <c r="H27" s="7">
        <v>0.6</v>
      </c>
      <c r="I27" s="7">
        <v>0.48</v>
      </c>
      <c r="J27" s="7">
        <v>0.72</v>
      </c>
      <c r="K27" s="7"/>
      <c r="L27" s="7" t="s">
        <v>31</v>
      </c>
      <c r="M27" s="7"/>
      <c r="N27" s="7" t="s">
        <v>542</v>
      </c>
      <c r="O27" s="7" t="s">
        <v>26</v>
      </c>
      <c r="P27" s="7" t="s">
        <v>543</v>
      </c>
    </row>
    <row r="28" spans="1:16" ht="32" customHeight="1" x14ac:dyDescent="0.2">
      <c r="A28" s="7" t="s">
        <v>520</v>
      </c>
      <c r="B28" s="7" t="s">
        <v>156</v>
      </c>
      <c r="C28" s="7" t="s">
        <v>544</v>
      </c>
      <c r="D28" s="7" t="s">
        <v>380</v>
      </c>
      <c r="E28" s="7" t="s">
        <v>466</v>
      </c>
      <c r="F28" s="7" t="s">
        <v>545</v>
      </c>
      <c r="G28" s="7" t="s">
        <v>477</v>
      </c>
      <c r="H28" s="7">
        <v>0.4</v>
      </c>
      <c r="I28" s="7">
        <v>0.32</v>
      </c>
      <c r="J28" s="7">
        <v>0.48</v>
      </c>
      <c r="K28" s="7"/>
      <c r="L28" s="7" t="s">
        <v>31</v>
      </c>
      <c r="M28" s="7"/>
      <c r="N28" s="7" t="s">
        <v>542</v>
      </c>
      <c r="O28" s="7" t="s">
        <v>26</v>
      </c>
      <c r="P28" s="7" t="s">
        <v>546</v>
      </c>
    </row>
    <row r="29" spans="1:16" ht="32" customHeight="1" x14ac:dyDescent="0.2">
      <c r="A29" s="7" t="s">
        <v>520</v>
      </c>
      <c r="B29" s="7" t="s">
        <v>176</v>
      </c>
      <c r="C29" s="7" t="s">
        <v>20</v>
      </c>
      <c r="D29" s="7"/>
      <c r="E29" s="7" t="s">
        <v>175</v>
      </c>
      <c r="F29" s="7" t="s">
        <v>486</v>
      </c>
      <c r="G29" s="7" t="s">
        <v>178</v>
      </c>
      <c r="H29" s="7" t="s">
        <v>179</v>
      </c>
      <c r="I29" s="7"/>
      <c r="J29" s="7"/>
      <c r="K29" s="7"/>
      <c r="L29" s="7" t="s">
        <v>90</v>
      </c>
      <c r="M29" s="7"/>
      <c r="N29" s="7" t="s">
        <v>487</v>
      </c>
      <c r="O29" s="7" t="s">
        <v>26</v>
      </c>
      <c r="P29" s="7" t="s">
        <v>488</v>
      </c>
    </row>
    <row r="30" spans="1:16" ht="32" customHeight="1" x14ac:dyDescent="0.2">
      <c r="A30" s="7" t="s">
        <v>246</v>
      </c>
      <c r="B30" s="7" t="s">
        <v>19</v>
      </c>
      <c r="C30" s="7" t="s">
        <v>20</v>
      </c>
      <c r="D30" s="7"/>
      <c r="E30" s="7" t="s">
        <v>21</v>
      </c>
      <c r="F30" s="7" t="s">
        <v>22</v>
      </c>
      <c r="G30" s="7" t="s">
        <v>23</v>
      </c>
      <c r="H30" s="7">
        <v>3</v>
      </c>
      <c r="I30" s="7">
        <v>3</v>
      </c>
      <c r="J30" s="7">
        <v>3</v>
      </c>
      <c r="K30" s="7"/>
      <c r="L30" s="7" t="s">
        <v>24</v>
      </c>
      <c r="M30" s="7"/>
      <c r="N30" s="7" t="s">
        <v>547</v>
      </c>
      <c r="O30" s="7" t="s">
        <v>26</v>
      </c>
      <c r="P30" s="7" t="s">
        <v>548</v>
      </c>
    </row>
    <row r="31" spans="1:16" ht="16" customHeight="1" x14ac:dyDescent="0.2">
      <c r="A31" s="7" t="s">
        <v>246</v>
      </c>
      <c r="B31" s="7" t="s">
        <v>19</v>
      </c>
      <c r="C31" s="7" t="s">
        <v>20</v>
      </c>
      <c r="D31" s="7"/>
      <c r="E31" s="7" t="s">
        <v>28</v>
      </c>
      <c r="F31" s="7" t="s">
        <v>29</v>
      </c>
      <c r="G31" s="7" t="s">
        <v>30</v>
      </c>
      <c r="H31" s="7">
        <v>10</v>
      </c>
      <c r="I31" s="7">
        <v>8</v>
      </c>
      <c r="J31" s="7">
        <v>12</v>
      </c>
      <c r="K31" s="7"/>
      <c r="L31" s="7" t="s">
        <v>31</v>
      </c>
      <c r="M31" s="7"/>
      <c r="N31" s="7" t="s">
        <v>549</v>
      </c>
      <c r="O31" s="7" t="s">
        <v>26</v>
      </c>
      <c r="P31" s="7" t="s">
        <v>550</v>
      </c>
    </row>
    <row r="32" spans="1:16" ht="16" customHeight="1" x14ac:dyDescent="0.2">
      <c r="A32" s="7" t="s">
        <v>246</v>
      </c>
      <c r="B32" s="7" t="s">
        <v>19</v>
      </c>
      <c r="C32" s="7" t="s">
        <v>20</v>
      </c>
      <c r="D32" s="7"/>
      <c r="E32" s="7" t="s">
        <v>34</v>
      </c>
      <c r="F32" s="7" t="s">
        <v>551</v>
      </c>
      <c r="G32" s="7" t="s">
        <v>36</v>
      </c>
      <c r="H32" s="7">
        <v>1700</v>
      </c>
      <c r="I32" s="7">
        <v>1300</v>
      </c>
      <c r="J32" s="7">
        <v>1900</v>
      </c>
      <c r="K32" s="7"/>
      <c r="L32" s="7" t="s">
        <v>31</v>
      </c>
      <c r="M32" s="7"/>
      <c r="N32" s="7" t="s">
        <v>552</v>
      </c>
      <c r="O32" s="7" t="s">
        <v>26</v>
      </c>
      <c r="P32" s="7" t="s">
        <v>553</v>
      </c>
    </row>
    <row r="33" spans="1:16" ht="16" customHeight="1" x14ac:dyDescent="0.2">
      <c r="A33" s="7" t="s">
        <v>246</v>
      </c>
      <c r="B33" s="7" t="s">
        <v>39</v>
      </c>
      <c r="C33" s="7" t="s">
        <v>554</v>
      </c>
      <c r="D33" s="7"/>
      <c r="E33" s="7" t="s">
        <v>466</v>
      </c>
      <c r="F33" s="7" t="s">
        <v>555</v>
      </c>
      <c r="G33" s="7" t="s">
        <v>477</v>
      </c>
      <c r="H33" s="7">
        <v>1</v>
      </c>
      <c r="I33" s="7">
        <v>1</v>
      </c>
      <c r="J33" s="7">
        <v>1</v>
      </c>
      <c r="K33" s="7"/>
      <c r="L33" s="7" t="s">
        <v>24</v>
      </c>
      <c r="M33" s="7"/>
      <c r="N33" s="7" t="s">
        <v>556</v>
      </c>
      <c r="O33" s="7" t="s">
        <v>26</v>
      </c>
      <c r="P33" s="7" t="s">
        <v>557</v>
      </c>
    </row>
    <row r="34" spans="1:16" ht="16" customHeight="1" x14ac:dyDescent="0.2">
      <c r="A34" s="7" t="s">
        <v>246</v>
      </c>
      <c r="B34" s="7" t="s">
        <v>143</v>
      </c>
      <c r="C34" s="7" t="s">
        <v>20</v>
      </c>
      <c r="D34" s="7"/>
      <c r="E34" s="7" t="s">
        <v>471</v>
      </c>
      <c r="F34" s="7" t="s">
        <v>472</v>
      </c>
      <c r="G34" s="7" t="s">
        <v>146</v>
      </c>
      <c r="H34" s="7">
        <v>60</v>
      </c>
      <c r="I34" s="7">
        <v>40</v>
      </c>
      <c r="J34" s="7">
        <v>100</v>
      </c>
      <c r="K34" s="7"/>
      <c r="L34" s="7" t="s">
        <v>31</v>
      </c>
      <c r="M34" s="7"/>
      <c r="N34" s="7" t="s">
        <v>558</v>
      </c>
      <c r="O34" s="7" t="s">
        <v>26</v>
      </c>
      <c r="P34" s="7" t="s">
        <v>559</v>
      </c>
    </row>
    <row r="35" spans="1:16" ht="32" customHeight="1" x14ac:dyDescent="0.2">
      <c r="A35" s="7" t="s">
        <v>246</v>
      </c>
      <c r="B35" s="7" t="s">
        <v>156</v>
      </c>
      <c r="C35" s="7" t="s">
        <v>540</v>
      </c>
      <c r="D35" s="7" t="s">
        <v>554</v>
      </c>
      <c r="E35" s="7" t="s">
        <v>466</v>
      </c>
      <c r="F35" s="7" t="s">
        <v>560</v>
      </c>
      <c r="G35" s="7" t="s">
        <v>477</v>
      </c>
      <c r="H35" s="7">
        <v>0.5</v>
      </c>
      <c r="I35" s="7">
        <v>0.25</v>
      </c>
      <c r="J35" s="7">
        <v>0.75</v>
      </c>
      <c r="K35" s="7"/>
      <c r="L35" s="7" t="s">
        <v>31</v>
      </c>
      <c r="M35" s="7"/>
      <c r="N35" s="7" t="s">
        <v>561</v>
      </c>
      <c r="O35" s="7" t="s">
        <v>26</v>
      </c>
      <c r="P35" s="7" t="s">
        <v>562</v>
      </c>
    </row>
    <row r="36" spans="1:16" ht="32" customHeight="1" x14ac:dyDescent="0.2">
      <c r="A36" s="7" t="s">
        <v>246</v>
      </c>
      <c r="B36" s="7" t="s">
        <v>176</v>
      </c>
      <c r="C36" s="7" t="s">
        <v>20</v>
      </c>
      <c r="D36" s="7"/>
      <c r="E36" s="7" t="s">
        <v>175</v>
      </c>
      <c r="F36" s="7" t="s">
        <v>486</v>
      </c>
      <c r="G36" s="7" t="s">
        <v>178</v>
      </c>
      <c r="H36" s="7" t="s">
        <v>179</v>
      </c>
      <c r="I36" s="7"/>
      <c r="J36" s="7"/>
      <c r="K36" s="7"/>
      <c r="L36" s="7" t="s">
        <v>90</v>
      </c>
      <c r="M36" s="7"/>
      <c r="N36" s="7" t="s">
        <v>487</v>
      </c>
      <c r="O36" s="7" t="s">
        <v>26</v>
      </c>
      <c r="P36" s="7" t="s">
        <v>488</v>
      </c>
    </row>
    <row r="37" spans="1:16" ht="16" customHeight="1" x14ac:dyDescent="0.2">
      <c r="A37" s="7" t="s">
        <v>247</v>
      </c>
      <c r="B37" s="7" t="s">
        <v>19</v>
      </c>
      <c r="C37" s="7" t="s">
        <v>20</v>
      </c>
      <c r="D37" s="7"/>
      <c r="E37" s="7" t="s">
        <v>21</v>
      </c>
      <c r="F37" s="7" t="s">
        <v>22</v>
      </c>
      <c r="G37" s="7" t="s">
        <v>23</v>
      </c>
      <c r="H37" s="7">
        <v>3</v>
      </c>
      <c r="I37" s="7">
        <v>3</v>
      </c>
      <c r="J37" s="7">
        <v>3</v>
      </c>
      <c r="K37" s="7"/>
      <c r="L37" s="7" t="s">
        <v>24</v>
      </c>
      <c r="M37" s="7"/>
      <c r="N37" s="7" t="s">
        <v>547</v>
      </c>
      <c r="O37" s="7" t="s">
        <v>26</v>
      </c>
      <c r="P37" s="7" t="s">
        <v>563</v>
      </c>
    </row>
    <row r="38" spans="1:16" ht="16" customHeight="1" x14ac:dyDescent="0.2">
      <c r="A38" s="7" t="s">
        <v>247</v>
      </c>
      <c r="B38" s="7" t="s">
        <v>19</v>
      </c>
      <c r="C38" s="7" t="s">
        <v>20</v>
      </c>
      <c r="D38" s="7"/>
      <c r="E38" s="7" t="s">
        <v>564</v>
      </c>
      <c r="F38" s="7" t="s">
        <v>565</v>
      </c>
      <c r="G38" s="7" t="s">
        <v>23</v>
      </c>
      <c r="H38" s="7">
        <v>0.115</v>
      </c>
      <c r="I38" s="7">
        <v>9.1999999999999998E-2</v>
      </c>
      <c r="J38" s="7">
        <v>0.13800000000000001</v>
      </c>
      <c r="K38" s="7"/>
      <c r="L38" s="7" t="s">
        <v>31</v>
      </c>
      <c r="M38" s="7"/>
      <c r="N38" s="7" t="s">
        <v>566</v>
      </c>
      <c r="O38" s="7" t="s">
        <v>26</v>
      </c>
      <c r="P38" s="7" t="s">
        <v>567</v>
      </c>
    </row>
    <row r="39" spans="1:16" ht="32" customHeight="1" x14ac:dyDescent="0.2">
      <c r="A39" s="7" t="s">
        <v>247</v>
      </c>
      <c r="B39" s="7" t="s">
        <v>19</v>
      </c>
      <c r="C39" s="7" t="s">
        <v>20</v>
      </c>
      <c r="D39" s="7"/>
      <c r="E39" s="7" t="s">
        <v>34</v>
      </c>
      <c r="F39" s="7" t="s">
        <v>568</v>
      </c>
      <c r="G39" s="7" t="s">
        <v>36</v>
      </c>
      <c r="H39" s="7">
        <v>1900</v>
      </c>
      <c r="I39" s="7">
        <v>1600</v>
      </c>
      <c r="J39" s="7">
        <v>2100</v>
      </c>
      <c r="K39" s="7"/>
      <c r="L39" s="7" t="s">
        <v>31</v>
      </c>
      <c r="M39" s="7"/>
      <c r="N39" s="7" t="s">
        <v>569</v>
      </c>
      <c r="O39" s="7" t="s">
        <v>26</v>
      </c>
      <c r="P39" s="7" t="s">
        <v>570</v>
      </c>
    </row>
    <row r="40" spans="1:16" ht="32" customHeight="1" x14ac:dyDescent="0.2">
      <c r="A40" s="7" t="s">
        <v>247</v>
      </c>
      <c r="B40" s="7" t="s">
        <v>39</v>
      </c>
      <c r="C40" s="7" t="s">
        <v>571</v>
      </c>
      <c r="D40" s="7"/>
      <c r="E40" s="7" t="s">
        <v>466</v>
      </c>
      <c r="F40" s="7" t="s">
        <v>572</v>
      </c>
      <c r="G40" s="7" t="s">
        <v>477</v>
      </c>
      <c r="H40" s="7">
        <v>0.8</v>
      </c>
      <c r="I40" s="7">
        <v>0.8</v>
      </c>
      <c r="J40" s="7">
        <v>0.8</v>
      </c>
      <c r="K40" s="7"/>
      <c r="L40" s="7" t="s">
        <v>24</v>
      </c>
      <c r="M40" s="7"/>
      <c r="N40" s="7" t="s">
        <v>573</v>
      </c>
      <c r="O40" s="7" t="s">
        <v>26</v>
      </c>
      <c r="P40" s="7" t="s">
        <v>574</v>
      </c>
    </row>
    <row r="41" spans="1:16" ht="32" customHeight="1" x14ac:dyDescent="0.2">
      <c r="A41" s="7" t="s">
        <v>247</v>
      </c>
      <c r="B41" s="7" t="s">
        <v>39</v>
      </c>
      <c r="C41" s="7" t="s">
        <v>575</v>
      </c>
      <c r="D41" s="7"/>
      <c r="E41" s="7" t="s">
        <v>466</v>
      </c>
      <c r="F41" s="7" t="s">
        <v>576</v>
      </c>
      <c r="G41" s="7" t="s">
        <v>477</v>
      </c>
      <c r="H41" s="7">
        <v>0.2</v>
      </c>
      <c r="I41" s="7">
        <v>0.2</v>
      </c>
      <c r="J41" s="7">
        <v>0.2</v>
      </c>
      <c r="K41" s="7"/>
      <c r="L41" s="7" t="s">
        <v>24</v>
      </c>
      <c r="M41" s="7"/>
      <c r="N41" s="7" t="s">
        <v>577</v>
      </c>
      <c r="O41" s="7" t="s">
        <v>26</v>
      </c>
      <c r="P41" s="7" t="s">
        <v>578</v>
      </c>
    </row>
    <row r="42" spans="1:16" ht="16" customHeight="1" x14ac:dyDescent="0.2">
      <c r="A42" s="7" t="s">
        <v>247</v>
      </c>
      <c r="B42" s="7" t="s">
        <v>143</v>
      </c>
      <c r="C42" s="7" t="s">
        <v>20</v>
      </c>
      <c r="D42" s="7"/>
      <c r="E42" s="7" t="s">
        <v>471</v>
      </c>
      <c r="F42" s="7" t="s">
        <v>472</v>
      </c>
      <c r="G42" s="7" t="s">
        <v>146</v>
      </c>
      <c r="H42" s="7">
        <v>75</v>
      </c>
      <c r="I42" s="7">
        <v>60</v>
      </c>
      <c r="J42" s="7">
        <v>100</v>
      </c>
      <c r="K42" s="7"/>
      <c r="L42" s="7" t="s">
        <v>31</v>
      </c>
      <c r="M42" s="7"/>
      <c r="N42" s="7" t="s">
        <v>579</v>
      </c>
      <c r="O42" s="7" t="s">
        <v>67</v>
      </c>
      <c r="P42" s="7" t="s">
        <v>580</v>
      </c>
    </row>
    <row r="43" spans="1:16" ht="16" customHeight="1" x14ac:dyDescent="0.2">
      <c r="A43" s="7" t="s">
        <v>247</v>
      </c>
      <c r="B43" s="7" t="s">
        <v>156</v>
      </c>
      <c r="C43" s="7" t="s">
        <v>581</v>
      </c>
      <c r="D43" s="7" t="s">
        <v>571</v>
      </c>
      <c r="E43" s="7" t="s">
        <v>466</v>
      </c>
      <c r="F43" s="7" t="s">
        <v>582</v>
      </c>
      <c r="G43" s="7" t="s">
        <v>477</v>
      </c>
      <c r="H43" s="7">
        <v>0.72</v>
      </c>
      <c r="I43" s="7">
        <v>0.64</v>
      </c>
      <c r="J43" s="7">
        <v>0.78400000000000003</v>
      </c>
      <c r="K43" s="7"/>
      <c r="L43" s="7" t="s">
        <v>31</v>
      </c>
      <c r="M43" s="7"/>
      <c r="N43" s="7" t="s">
        <v>583</v>
      </c>
      <c r="O43" s="7" t="s">
        <v>67</v>
      </c>
      <c r="P43" s="7" t="s">
        <v>584</v>
      </c>
    </row>
    <row r="44" spans="1:16" ht="32" customHeight="1" x14ac:dyDescent="0.2">
      <c r="A44" s="7" t="s">
        <v>247</v>
      </c>
      <c r="B44" s="7" t="s">
        <v>156</v>
      </c>
      <c r="C44" s="7" t="s">
        <v>540</v>
      </c>
      <c r="D44" s="7" t="s">
        <v>571</v>
      </c>
      <c r="E44" s="7" t="s">
        <v>466</v>
      </c>
      <c r="F44" s="7" t="s">
        <v>585</v>
      </c>
      <c r="G44" s="7" t="s">
        <v>477</v>
      </c>
      <c r="H44" s="7">
        <v>0.08</v>
      </c>
      <c r="I44" s="7">
        <v>1.6E-2</v>
      </c>
      <c r="J44" s="7">
        <v>0.16</v>
      </c>
      <c r="K44" s="7"/>
      <c r="L44" s="7" t="s">
        <v>31</v>
      </c>
      <c r="M44" s="7"/>
      <c r="N44" s="7" t="s">
        <v>583</v>
      </c>
      <c r="O44" s="7" t="s">
        <v>67</v>
      </c>
      <c r="P44" s="7" t="s">
        <v>586</v>
      </c>
    </row>
    <row r="45" spans="1:16" ht="32" customHeight="1" x14ac:dyDescent="0.2">
      <c r="A45" s="7" t="s">
        <v>247</v>
      </c>
      <c r="B45" s="7" t="s">
        <v>156</v>
      </c>
      <c r="C45" s="7" t="s">
        <v>540</v>
      </c>
      <c r="D45" s="7" t="s">
        <v>575</v>
      </c>
      <c r="E45" s="7" t="s">
        <v>466</v>
      </c>
      <c r="F45" s="7" t="s">
        <v>587</v>
      </c>
      <c r="G45" s="7" t="s">
        <v>477</v>
      </c>
      <c r="H45" s="7">
        <v>0.02</v>
      </c>
      <c r="I45" s="7">
        <v>4.0000000000000001E-3</v>
      </c>
      <c r="J45" s="7">
        <v>0.04</v>
      </c>
      <c r="K45" s="7"/>
      <c r="L45" s="7" t="s">
        <v>31</v>
      </c>
      <c r="M45" s="7"/>
      <c r="N45" s="7" t="s">
        <v>583</v>
      </c>
      <c r="O45" s="7" t="s">
        <v>67</v>
      </c>
      <c r="P45" s="7" t="s">
        <v>588</v>
      </c>
    </row>
    <row r="46" spans="1:16" ht="32" customHeight="1" x14ac:dyDescent="0.2">
      <c r="A46" s="7" t="s">
        <v>247</v>
      </c>
      <c r="B46" s="7" t="s">
        <v>156</v>
      </c>
      <c r="C46" s="7" t="s">
        <v>581</v>
      </c>
      <c r="D46" s="7" t="s">
        <v>575</v>
      </c>
      <c r="E46" s="7" t="s">
        <v>466</v>
      </c>
      <c r="F46" s="7" t="s">
        <v>589</v>
      </c>
      <c r="G46" s="7" t="s">
        <v>477</v>
      </c>
      <c r="H46" s="7">
        <v>0.18</v>
      </c>
      <c r="I46" s="7">
        <v>0.16</v>
      </c>
      <c r="J46" s="7">
        <v>0.19600000000000001</v>
      </c>
      <c r="K46" s="7"/>
      <c r="L46" s="7" t="s">
        <v>31</v>
      </c>
      <c r="M46" s="7"/>
      <c r="N46" s="7" t="s">
        <v>583</v>
      </c>
      <c r="O46" s="7" t="s">
        <v>67</v>
      </c>
      <c r="P46" s="7" t="s">
        <v>590</v>
      </c>
    </row>
    <row r="47" spans="1:16" ht="16" customHeight="1" x14ac:dyDescent="0.2">
      <c r="A47" s="7" t="s">
        <v>247</v>
      </c>
      <c r="B47" s="7" t="s">
        <v>176</v>
      </c>
      <c r="C47" s="7" t="s">
        <v>20</v>
      </c>
      <c r="D47" s="7"/>
      <c r="E47" s="7" t="s">
        <v>175</v>
      </c>
      <c r="F47" s="7" t="s">
        <v>486</v>
      </c>
      <c r="G47" s="7" t="s">
        <v>178</v>
      </c>
      <c r="H47" s="7" t="s">
        <v>179</v>
      </c>
      <c r="I47" s="7"/>
      <c r="J47" s="7"/>
      <c r="K47" s="7"/>
      <c r="L47" s="7" t="s">
        <v>90</v>
      </c>
      <c r="M47" s="7"/>
      <c r="N47" s="7" t="s">
        <v>487</v>
      </c>
      <c r="O47" s="7" t="s">
        <v>26</v>
      </c>
      <c r="P47" s="7" t="s">
        <v>488</v>
      </c>
    </row>
    <row r="48" spans="1:16" x14ac:dyDescent="0.2">
      <c r="A48" s="7" t="s">
        <v>253</v>
      </c>
      <c r="B48" s="7" t="s">
        <v>19</v>
      </c>
      <c r="C48" s="7" t="s">
        <v>20</v>
      </c>
      <c r="D48" s="7"/>
      <c r="E48" s="7" t="s">
        <v>383</v>
      </c>
      <c r="F48" s="7" t="s">
        <v>591</v>
      </c>
      <c r="G48" s="7" t="s">
        <v>385</v>
      </c>
      <c r="H48" s="7">
        <v>0.3</v>
      </c>
      <c r="I48" s="7">
        <v>0.24</v>
      </c>
      <c r="J48" s="7">
        <v>0.36</v>
      </c>
      <c r="K48" s="7"/>
      <c r="L48" s="7" t="s">
        <v>31</v>
      </c>
      <c r="M48" s="7"/>
      <c r="N48" s="7" t="s">
        <v>592</v>
      </c>
      <c r="O48" s="7" t="s">
        <v>26</v>
      </c>
      <c r="P48" s="7" t="s">
        <v>593</v>
      </c>
    </row>
    <row r="49" spans="1:16" x14ac:dyDescent="0.2">
      <c r="A49" s="7" t="s">
        <v>253</v>
      </c>
      <c r="B49" s="7" t="s">
        <v>39</v>
      </c>
      <c r="C49" s="7" t="s">
        <v>594</v>
      </c>
      <c r="D49" s="7"/>
      <c r="E49" s="7" t="s">
        <v>466</v>
      </c>
      <c r="F49" s="7" t="s">
        <v>595</v>
      </c>
      <c r="G49" s="7" t="s">
        <v>477</v>
      </c>
      <c r="H49" s="7">
        <v>1</v>
      </c>
      <c r="I49" s="7">
        <v>1</v>
      </c>
      <c r="J49" s="7">
        <v>1</v>
      </c>
      <c r="K49" s="7"/>
      <c r="L49" s="7" t="s">
        <v>24</v>
      </c>
      <c r="M49" s="7"/>
      <c r="N49" s="7" t="s">
        <v>556</v>
      </c>
      <c r="O49" s="7" t="s">
        <v>26</v>
      </c>
      <c r="P49" s="7" t="s">
        <v>596</v>
      </c>
    </row>
    <row r="50" spans="1:16" x14ac:dyDescent="0.2">
      <c r="A50" s="7" t="s">
        <v>253</v>
      </c>
      <c r="B50" s="7" t="s">
        <v>39</v>
      </c>
      <c r="C50" s="7" t="s">
        <v>597</v>
      </c>
      <c r="D50" s="7"/>
      <c r="E50" s="7" t="s">
        <v>466</v>
      </c>
      <c r="F50" s="7" t="s">
        <v>598</v>
      </c>
      <c r="G50" s="7" t="s">
        <v>477</v>
      </c>
      <c r="H50" s="7">
        <v>1</v>
      </c>
      <c r="I50" s="7">
        <v>1</v>
      </c>
      <c r="J50" s="7">
        <v>1</v>
      </c>
      <c r="K50" s="7"/>
      <c r="L50" s="7" t="s">
        <v>24</v>
      </c>
      <c r="M50" s="7"/>
      <c r="N50" s="7" t="s">
        <v>556</v>
      </c>
      <c r="O50" s="7" t="s">
        <v>26</v>
      </c>
      <c r="P50" s="7" t="s">
        <v>599</v>
      </c>
    </row>
    <row r="51" spans="1:16" x14ac:dyDescent="0.2">
      <c r="A51" s="7" t="s">
        <v>253</v>
      </c>
      <c r="B51" s="7" t="s">
        <v>143</v>
      </c>
      <c r="C51" s="7" t="s">
        <v>20</v>
      </c>
      <c r="D51" s="7"/>
      <c r="E51" s="7" t="s">
        <v>471</v>
      </c>
      <c r="F51" s="7" t="s">
        <v>472</v>
      </c>
      <c r="G51" s="7" t="s">
        <v>146</v>
      </c>
      <c r="H51" s="7">
        <v>17.5</v>
      </c>
      <c r="I51" s="7">
        <v>10</v>
      </c>
      <c r="J51" s="7">
        <v>20</v>
      </c>
      <c r="K51" s="7"/>
      <c r="L51" s="7" t="s">
        <v>31</v>
      </c>
      <c r="M51" s="7"/>
      <c r="N51" s="7" t="s">
        <v>600</v>
      </c>
      <c r="O51" s="7" t="s">
        <v>67</v>
      </c>
      <c r="P51" s="7" t="s">
        <v>601</v>
      </c>
    </row>
    <row r="52" spans="1:16" x14ac:dyDescent="0.2">
      <c r="A52" s="7" t="s">
        <v>253</v>
      </c>
      <c r="B52" s="7" t="s">
        <v>156</v>
      </c>
      <c r="C52" s="7" t="s">
        <v>602</v>
      </c>
      <c r="D52" s="7" t="s">
        <v>594</v>
      </c>
      <c r="E52" s="7" t="s">
        <v>466</v>
      </c>
      <c r="F52" s="7" t="s">
        <v>603</v>
      </c>
      <c r="G52" s="7" t="s">
        <v>477</v>
      </c>
      <c r="H52" s="7">
        <v>0.57999999999999996</v>
      </c>
      <c r="I52" s="7">
        <v>0.4</v>
      </c>
      <c r="J52" s="7">
        <v>0.95</v>
      </c>
      <c r="K52" s="7"/>
      <c r="L52" s="7" t="s">
        <v>31</v>
      </c>
      <c r="M52" s="7"/>
      <c r="N52" s="7" t="s">
        <v>604</v>
      </c>
      <c r="O52" s="7" t="s">
        <v>67</v>
      </c>
      <c r="P52" s="7" t="s">
        <v>605</v>
      </c>
    </row>
    <row r="53" spans="1:16" x14ac:dyDescent="0.2">
      <c r="A53" s="7" t="s">
        <v>253</v>
      </c>
      <c r="B53" s="7" t="s">
        <v>156</v>
      </c>
      <c r="C53" s="7" t="s">
        <v>544</v>
      </c>
      <c r="D53" s="7" t="s">
        <v>594</v>
      </c>
      <c r="E53" s="7" t="s">
        <v>466</v>
      </c>
      <c r="F53" s="7" t="s">
        <v>606</v>
      </c>
      <c r="G53" s="7" t="s">
        <v>477</v>
      </c>
      <c r="H53" s="7">
        <v>0.42</v>
      </c>
      <c r="I53" s="7">
        <v>0.05</v>
      </c>
      <c r="J53" s="7">
        <v>0.6</v>
      </c>
      <c r="K53" s="7"/>
      <c r="L53" s="7" t="s">
        <v>31</v>
      </c>
      <c r="M53" s="7"/>
      <c r="N53" s="7" t="s">
        <v>604</v>
      </c>
      <c r="O53" s="7" t="s">
        <v>67</v>
      </c>
      <c r="P53" s="7" t="s">
        <v>607</v>
      </c>
    </row>
    <row r="54" spans="1:16" x14ac:dyDescent="0.2">
      <c r="A54" s="7" t="s">
        <v>253</v>
      </c>
      <c r="B54" s="7" t="s">
        <v>176</v>
      </c>
      <c r="C54" s="7" t="s">
        <v>20</v>
      </c>
      <c r="D54" s="7"/>
      <c r="E54" s="7" t="s">
        <v>175</v>
      </c>
      <c r="F54" s="7" t="s">
        <v>486</v>
      </c>
      <c r="G54" s="7" t="s">
        <v>178</v>
      </c>
      <c r="H54" s="7" t="s">
        <v>179</v>
      </c>
      <c r="I54" s="7"/>
      <c r="J54" s="7"/>
      <c r="K54" s="7"/>
      <c r="L54" s="7" t="s">
        <v>90</v>
      </c>
      <c r="M54" s="7"/>
      <c r="N54" s="7" t="s">
        <v>487</v>
      </c>
      <c r="O54" s="7" t="s">
        <v>26</v>
      </c>
      <c r="P54" s="7" t="s">
        <v>488</v>
      </c>
    </row>
  </sheetData>
  <conditionalFormatting sqref="H2:H247">
    <cfRule type="expression" dxfId="2" priority="1">
      <formula>AND($E2&lt;&gt;"",$H2="")</formula>
    </cfRule>
  </conditionalFormatting>
  <conditionalFormatting sqref="H2:O247">
    <cfRule type="expression" dxfId="1" priority="2">
      <formula>$O2="placeholder"</formula>
    </cfRule>
  </conditionalFormatting>
  <conditionalFormatting sqref="I2:J247">
    <cfRule type="expression" dxfId="0" priority="3">
      <formula>AND(OR($L2="triangular",$L2="uniform"),OR($I2="",$J2=""))</formula>
    </cfRule>
  </conditionalFormatting>
  <dataValidations count="3">
    <dataValidation type="list" allowBlank="1" sqref="B2:B247" xr:uid="{00000000-0002-0000-0900-000000000000}">
      <formula1>"product size,production,repair,use,end-of-life,general"</formula1>
    </dataValidation>
    <dataValidation type="list" allowBlank="1" sqref="L2:L247" xr:uid="{00000000-0002-0000-0900-000001000000}">
      <formula1>"fixed,triangular,uniform,choice"</formula1>
    </dataValidation>
    <dataValidation type="list" allowBlank="1" sqref="O2:O247" xr:uid="{00000000-0002-0000-0900-000002000000}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6A5AF"/>
  </sheetPr>
  <dimension ref="A1:Q56"/>
  <sheetViews>
    <sheetView workbookViewId="0">
      <pane xSplit="6" ySplit="1" topLeftCell="H2" activePane="bottomRight" state="frozen"/>
      <selection pane="topRight"/>
      <selection pane="bottomLeft"/>
      <selection pane="bottomRight" activeCell="N11" sqref="N11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1" width="10.5" customWidth="1"/>
    <col min="12" max="12" width="13" customWidth="1"/>
    <col min="13" max="13" width="17" customWidth="1"/>
    <col min="14" max="14" width="40" customWidth="1"/>
    <col min="15" max="15" width="13" customWidth="1"/>
    <col min="16" max="16" width="13.6640625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17</v>
      </c>
      <c r="B2" s="7" t="s">
        <v>18</v>
      </c>
      <c r="C2" s="7" t="s">
        <v>19</v>
      </c>
      <c r="D2" s="7" t="s">
        <v>20</v>
      </c>
      <c r="E2" s="7"/>
      <c r="F2" s="7" t="s">
        <v>21</v>
      </c>
      <c r="G2" s="7" t="s">
        <v>22</v>
      </c>
      <c r="H2" s="7" t="s">
        <v>23</v>
      </c>
      <c r="I2" s="7">
        <v>3</v>
      </c>
      <c r="J2" s="7">
        <v>3</v>
      </c>
      <c r="K2" s="7">
        <v>3</v>
      </c>
      <c r="L2" s="7"/>
      <c r="M2" s="7" t="s">
        <v>24</v>
      </c>
      <c r="N2" s="7"/>
      <c r="O2" s="7" t="s">
        <v>25</v>
      </c>
      <c r="P2" s="7" t="s">
        <v>26</v>
      </c>
      <c r="Q2" s="7" t="s">
        <v>27</v>
      </c>
    </row>
    <row r="3" spans="1:17" ht="16" customHeight="1" x14ac:dyDescent="0.2">
      <c r="A3" s="7" t="s">
        <v>17</v>
      </c>
      <c r="B3" s="7" t="s">
        <v>18</v>
      </c>
      <c r="C3" s="7" t="s">
        <v>19</v>
      </c>
      <c r="D3" s="7" t="s">
        <v>20</v>
      </c>
      <c r="E3" s="7"/>
      <c r="F3" s="7" t="s">
        <v>28</v>
      </c>
      <c r="G3" s="7" t="s">
        <v>29</v>
      </c>
      <c r="H3" s="7" t="s">
        <v>30</v>
      </c>
      <c r="I3" s="7">
        <v>10</v>
      </c>
      <c r="J3" s="7">
        <v>8</v>
      </c>
      <c r="K3" s="7">
        <v>12</v>
      </c>
      <c r="L3" s="7"/>
      <c r="M3" s="7" t="s">
        <v>31</v>
      </c>
      <c r="N3" s="7"/>
      <c r="O3" s="7" t="s">
        <v>32</v>
      </c>
      <c r="P3" s="7" t="s">
        <v>26</v>
      </c>
      <c r="Q3" s="7" t="s">
        <v>33</v>
      </c>
    </row>
    <row r="4" spans="1:17" ht="16" customHeight="1" x14ac:dyDescent="0.2">
      <c r="A4" s="7" t="s">
        <v>17</v>
      </c>
      <c r="B4" s="7" t="s">
        <v>18</v>
      </c>
      <c r="C4" s="7" t="s">
        <v>19</v>
      </c>
      <c r="D4" s="7" t="s">
        <v>20</v>
      </c>
      <c r="E4" s="7"/>
      <c r="F4" s="7" t="s">
        <v>34</v>
      </c>
      <c r="G4" s="7" t="s">
        <v>35</v>
      </c>
      <c r="H4" s="7" t="s">
        <v>36</v>
      </c>
      <c r="I4" s="7">
        <v>350</v>
      </c>
      <c r="J4" s="7">
        <v>280</v>
      </c>
      <c r="K4" s="7">
        <v>420</v>
      </c>
      <c r="L4" s="7"/>
      <c r="M4" s="7" t="s">
        <v>31</v>
      </c>
      <c r="N4" s="7"/>
      <c r="O4" s="7" t="s">
        <v>37</v>
      </c>
      <c r="P4" s="7" t="s">
        <v>26</v>
      </c>
      <c r="Q4" s="7" t="s">
        <v>38</v>
      </c>
    </row>
    <row r="5" spans="1:17" ht="32" customHeight="1" x14ac:dyDescent="0.2">
      <c r="A5" s="7" t="s">
        <v>17</v>
      </c>
      <c r="B5" s="7" t="s">
        <v>18</v>
      </c>
      <c r="C5" s="7" t="s">
        <v>39</v>
      </c>
      <c r="D5" s="7" t="s">
        <v>40</v>
      </c>
      <c r="E5" s="7" t="s">
        <v>41</v>
      </c>
      <c r="F5" s="7" t="s">
        <v>42</v>
      </c>
      <c r="G5" s="8" t="s">
        <v>43</v>
      </c>
      <c r="H5" s="7" t="s">
        <v>44</v>
      </c>
      <c r="I5" s="7">
        <v>70</v>
      </c>
      <c r="J5" s="7">
        <v>56</v>
      </c>
      <c r="K5" s="7">
        <v>84</v>
      </c>
      <c r="L5" s="7"/>
      <c r="M5" s="7" t="s">
        <v>31</v>
      </c>
      <c r="N5" s="7"/>
      <c r="O5" s="7" t="s">
        <v>45</v>
      </c>
      <c r="P5" s="7" t="s">
        <v>26</v>
      </c>
      <c r="Q5" s="7" t="s">
        <v>46</v>
      </c>
    </row>
    <row r="6" spans="1:17" ht="32" customHeight="1" x14ac:dyDescent="0.2">
      <c r="A6" s="7" t="s">
        <v>17</v>
      </c>
      <c r="B6" s="7" t="s">
        <v>18</v>
      </c>
      <c r="C6" s="7" t="s">
        <v>39</v>
      </c>
      <c r="D6" s="7" t="s">
        <v>47</v>
      </c>
      <c r="E6" s="7" t="s">
        <v>48</v>
      </c>
      <c r="F6" s="7" t="s">
        <v>42</v>
      </c>
      <c r="G6" s="8" t="s">
        <v>49</v>
      </c>
      <c r="H6" s="7" t="s">
        <v>44</v>
      </c>
      <c r="I6" s="7">
        <v>20</v>
      </c>
      <c r="J6" s="7">
        <v>16</v>
      </c>
      <c r="K6" s="7">
        <v>24</v>
      </c>
      <c r="L6" s="7"/>
      <c r="M6" s="7" t="s">
        <v>31</v>
      </c>
      <c r="N6" s="7"/>
      <c r="O6" s="7" t="s">
        <v>45</v>
      </c>
      <c r="P6" s="7" t="s">
        <v>26</v>
      </c>
      <c r="Q6" s="7" t="s">
        <v>50</v>
      </c>
    </row>
    <row r="7" spans="1:17" ht="32" customHeight="1" x14ac:dyDescent="0.2">
      <c r="A7" s="7" t="s">
        <v>17</v>
      </c>
      <c r="B7" s="7" t="s">
        <v>18</v>
      </c>
      <c r="C7" s="7" t="s">
        <v>39</v>
      </c>
      <c r="D7" s="7" t="s">
        <v>51</v>
      </c>
      <c r="E7" s="7" t="s">
        <v>52</v>
      </c>
      <c r="F7" s="7" t="s">
        <v>42</v>
      </c>
      <c r="G7" s="8" t="s">
        <v>53</v>
      </c>
      <c r="H7" s="7" t="s">
        <v>44</v>
      </c>
      <c r="I7" s="7">
        <v>10</v>
      </c>
      <c r="J7" s="7">
        <v>8</v>
      </c>
      <c r="K7" s="7">
        <v>12</v>
      </c>
      <c r="L7" s="7"/>
      <c r="M7" s="7" t="s">
        <v>31</v>
      </c>
      <c r="N7" s="7"/>
      <c r="O7" s="7" t="s">
        <v>45</v>
      </c>
      <c r="P7" s="7" t="s">
        <v>26</v>
      </c>
      <c r="Q7" s="7" t="s">
        <v>54</v>
      </c>
    </row>
    <row r="8" spans="1:17" ht="32" customHeight="1" x14ac:dyDescent="0.2">
      <c r="A8" s="7" t="s">
        <v>17</v>
      </c>
      <c r="B8" s="7" t="s">
        <v>18</v>
      </c>
      <c r="C8" s="7" t="s">
        <v>55</v>
      </c>
      <c r="D8" s="7" t="s">
        <v>40</v>
      </c>
      <c r="E8" s="7" t="s">
        <v>41</v>
      </c>
      <c r="F8" s="7" t="s">
        <v>42</v>
      </c>
      <c r="G8" s="8" t="s">
        <v>56</v>
      </c>
      <c r="H8" s="7" t="s">
        <v>44</v>
      </c>
      <c r="I8" s="7">
        <v>80</v>
      </c>
      <c r="J8" s="7">
        <v>64</v>
      </c>
      <c r="K8" s="7">
        <v>96</v>
      </c>
      <c r="L8" s="7"/>
      <c r="M8" s="7" t="s">
        <v>31</v>
      </c>
      <c r="N8" s="7"/>
      <c r="O8" s="7" t="s">
        <v>57</v>
      </c>
      <c r="P8" s="7" t="s">
        <v>26</v>
      </c>
      <c r="Q8" s="7" t="s">
        <v>58</v>
      </c>
    </row>
    <row r="9" spans="1:17" ht="32" customHeight="1" x14ac:dyDescent="0.2">
      <c r="A9" s="7" t="s">
        <v>17</v>
      </c>
      <c r="B9" s="7" t="s">
        <v>18</v>
      </c>
      <c r="C9" s="7" t="s">
        <v>55</v>
      </c>
      <c r="D9" s="7" t="s">
        <v>51</v>
      </c>
      <c r="E9" s="7" t="s">
        <v>52</v>
      </c>
      <c r="F9" s="7" t="s">
        <v>42</v>
      </c>
      <c r="G9" s="8" t="s">
        <v>59</v>
      </c>
      <c r="H9" s="7" t="s">
        <v>44</v>
      </c>
      <c r="I9" s="7">
        <v>10</v>
      </c>
      <c r="J9" s="7">
        <v>8</v>
      </c>
      <c r="K9" s="7">
        <v>12</v>
      </c>
      <c r="L9" s="7"/>
      <c r="M9" s="7" t="s">
        <v>31</v>
      </c>
      <c r="N9" s="7"/>
      <c r="O9" s="7" t="s">
        <v>57</v>
      </c>
      <c r="P9" s="7" t="s">
        <v>26</v>
      </c>
      <c r="Q9" s="7" t="s">
        <v>58</v>
      </c>
    </row>
    <row r="10" spans="1:17" ht="32" customHeight="1" x14ac:dyDescent="0.2">
      <c r="A10" s="7" t="s">
        <v>17</v>
      </c>
      <c r="B10" s="7" t="s">
        <v>18</v>
      </c>
      <c r="C10" s="7" t="s">
        <v>55</v>
      </c>
      <c r="D10" s="7" t="s">
        <v>60</v>
      </c>
      <c r="E10" s="7" t="s">
        <v>41</v>
      </c>
      <c r="F10" s="7" t="s">
        <v>42</v>
      </c>
      <c r="G10" s="8" t="s">
        <v>56</v>
      </c>
      <c r="H10" s="7" t="s">
        <v>44</v>
      </c>
      <c r="I10" s="7">
        <v>10</v>
      </c>
      <c r="J10" s="7">
        <v>8</v>
      </c>
      <c r="K10" s="7">
        <v>12</v>
      </c>
      <c r="L10" s="7"/>
      <c r="M10" s="7" t="s">
        <v>31</v>
      </c>
      <c r="N10" s="7"/>
      <c r="O10" s="7" t="s">
        <v>57</v>
      </c>
      <c r="P10" s="7" t="s">
        <v>26</v>
      </c>
      <c r="Q10" s="7" t="s">
        <v>58</v>
      </c>
    </row>
    <row r="11" spans="1:17" ht="16" customHeight="1" x14ac:dyDescent="0.2">
      <c r="A11" s="7" t="s">
        <v>17</v>
      </c>
      <c r="B11" s="7" t="s">
        <v>61</v>
      </c>
      <c r="C11" s="7" t="s">
        <v>39</v>
      </c>
      <c r="D11" s="7" t="s">
        <v>62</v>
      </c>
      <c r="E11" s="7"/>
      <c r="F11" s="7" t="s">
        <v>63</v>
      </c>
      <c r="G11" s="8" t="s">
        <v>64</v>
      </c>
      <c r="H11" s="7" t="s">
        <v>65</v>
      </c>
      <c r="I11" s="7">
        <v>160</v>
      </c>
      <c r="J11" s="7">
        <v>140</v>
      </c>
      <c r="K11" s="7">
        <v>180</v>
      </c>
      <c r="L11" s="7">
        <v>1500</v>
      </c>
      <c r="M11" s="7" t="s">
        <v>31</v>
      </c>
      <c r="N11" s="7"/>
      <c r="O11" s="7" t="s">
        <v>66</v>
      </c>
      <c r="P11" s="7" t="s">
        <v>67</v>
      </c>
      <c r="Q11" s="7" t="s">
        <v>68</v>
      </c>
    </row>
    <row r="12" spans="1:17" ht="16" customHeight="1" x14ac:dyDescent="0.2">
      <c r="A12" s="7" t="s">
        <v>17</v>
      </c>
      <c r="B12" s="7" t="s">
        <v>61</v>
      </c>
      <c r="C12" s="7" t="s">
        <v>39</v>
      </c>
      <c r="D12" s="7" t="s">
        <v>62</v>
      </c>
      <c r="E12" s="7"/>
      <c r="F12" s="7" t="s">
        <v>69</v>
      </c>
      <c r="G12" s="8" t="s">
        <v>70</v>
      </c>
      <c r="H12" s="7" t="s">
        <v>71</v>
      </c>
      <c r="I12" s="7">
        <v>2</v>
      </c>
      <c r="J12" s="7">
        <v>1.5</v>
      </c>
      <c r="K12" s="7">
        <v>3</v>
      </c>
      <c r="L12" s="7">
        <v>30</v>
      </c>
      <c r="M12" s="7" t="s">
        <v>31</v>
      </c>
      <c r="N12" s="7"/>
      <c r="O12" s="7" t="s">
        <v>72</v>
      </c>
      <c r="P12" s="7" t="s">
        <v>26</v>
      </c>
      <c r="Q12" s="7" t="s">
        <v>73</v>
      </c>
    </row>
    <row r="13" spans="1:17" ht="16" customHeight="1" x14ac:dyDescent="0.2">
      <c r="A13" s="7" t="s">
        <v>17</v>
      </c>
      <c r="B13" s="7" t="s">
        <v>61</v>
      </c>
      <c r="C13" s="7" t="s">
        <v>39</v>
      </c>
      <c r="D13" s="7" t="s">
        <v>62</v>
      </c>
      <c r="E13" s="7"/>
      <c r="F13" s="7" t="s">
        <v>74</v>
      </c>
      <c r="G13" s="8" t="s">
        <v>75</v>
      </c>
      <c r="H13" s="7" t="s">
        <v>76</v>
      </c>
      <c r="I13" s="7">
        <v>3</v>
      </c>
      <c r="J13" s="7">
        <v>1.5</v>
      </c>
      <c r="K13" s="7">
        <v>6</v>
      </c>
      <c r="L13" s="7">
        <v>1000</v>
      </c>
      <c r="M13" s="7" t="s">
        <v>31</v>
      </c>
      <c r="N13" s="7"/>
      <c r="O13" s="7" t="s">
        <v>77</v>
      </c>
      <c r="P13" s="7" t="s">
        <v>26</v>
      </c>
      <c r="Q13" s="7" t="s">
        <v>78</v>
      </c>
    </row>
    <row r="14" spans="1:17" ht="16" customHeight="1" x14ac:dyDescent="0.2">
      <c r="A14" s="7" t="s">
        <v>17</v>
      </c>
      <c r="B14" s="7" t="s">
        <v>61</v>
      </c>
      <c r="C14" s="7" t="s">
        <v>39</v>
      </c>
      <c r="D14" s="7" t="s">
        <v>62</v>
      </c>
      <c r="E14" s="7"/>
      <c r="F14" s="7" t="s">
        <v>79</v>
      </c>
      <c r="G14" s="8" t="s">
        <v>80</v>
      </c>
      <c r="H14" s="7" t="s">
        <v>81</v>
      </c>
      <c r="I14" s="7">
        <v>5000</v>
      </c>
      <c r="J14" s="7">
        <v>2500</v>
      </c>
      <c r="K14" s="7">
        <v>10000</v>
      </c>
      <c r="L14" s="7">
        <v>30000</v>
      </c>
      <c r="M14" s="7" t="s">
        <v>31</v>
      </c>
      <c r="N14" s="7"/>
      <c r="O14" s="7" t="s">
        <v>82</v>
      </c>
      <c r="P14" s="7" t="s">
        <v>26</v>
      </c>
      <c r="Q14" s="7" t="s">
        <v>83</v>
      </c>
    </row>
    <row r="15" spans="1:17" ht="32" customHeight="1" x14ac:dyDescent="0.2">
      <c r="A15" s="7" t="s">
        <v>17</v>
      </c>
      <c r="B15" s="7" t="s">
        <v>61</v>
      </c>
      <c r="C15" s="7" t="s">
        <v>39</v>
      </c>
      <c r="D15" s="7" t="s">
        <v>62</v>
      </c>
      <c r="E15" s="7"/>
      <c r="F15" s="7" t="s">
        <v>84</v>
      </c>
      <c r="G15" s="8" t="s">
        <v>85</v>
      </c>
      <c r="H15" s="7" t="s">
        <v>44</v>
      </c>
      <c r="I15" s="7">
        <v>95</v>
      </c>
      <c r="J15" s="7">
        <v>85</v>
      </c>
      <c r="K15" s="7">
        <v>100</v>
      </c>
      <c r="L15" s="7"/>
      <c r="M15" s="7" t="s">
        <v>31</v>
      </c>
      <c r="N15" s="7"/>
      <c r="O15" s="7" t="s">
        <v>86</v>
      </c>
      <c r="P15" s="7" t="s">
        <v>26</v>
      </c>
      <c r="Q15" s="7" t="s">
        <v>87</v>
      </c>
    </row>
    <row r="16" spans="1:17" ht="16" customHeight="1" x14ac:dyDescent="0.2">
      <c r="A16" s="7" t="s">
        <v>17</v>
      </c>
      <c r="B16" s="7" t="s">
        <v>61</v>
      </c>
      <c r="C16" s="7" t="s">
        <v>39</v>
      </c>
      <c r="D16" s="7" t="s">
        <v>62</v>
      </c>
      <c r="E16" s="7"/>
      <c r="F16" s="7" t="s">
        <v>88</v>
      </c>
      <c r="G16" s="8" t="s">
        <v>89</v>
      </c>
      <c r="H16" s="7" t="s">
        <v>30</v>
      </c>
      <c r="I16" s="7" t="s">
        <v>41</v>
      </c>
      <c r="J16" s="7"/>
      <c r="K16" s="7"/>
      <c r="L16" s="7"/>
      <c r="M16" s="7" t="s">
        <v>90</v>
      </c>
      <c r="N16" s="7" t="s">
        <v>91</v>
      </c>
      <c r="O16" s="7" t="s">
        <v>92</v>
      </c>
      <c r="P16" s="7" t="s">
        <v>26</v>
      </c>
      <c r="Q16" s="7"/>
    </row>
    <row r="17" spans="1:17" ht="16" customHeight="1" x14ac:dyDescent="0.2">
      <c r="A17" s="7" t="s">
        <v>17</v>
      </c>
      <c r="B17" s="7" t="s">
        <v>61</v>
      </c>
      <c r="C17" s="7" t="s">
        <v>39</v>
      </c>
      <c r="D17" s="7" t="s">
        <v>93</v>
      </c>
      <c r="E17" s="7"/>
      <c r="F17" s="7" t="s">
        <v>63</v>
      </c>
      <c r="G17" s="8" t="s">
        <v>64</v>
      </c>
      <c r="H17" s="7" t="s">
        <v>65</v>
      </c>
      <c r="I17" s="7">
        <v>120</v>
      </c>
      <c r="J17" s="7">
        <v>100</v>
      </c>
      <c r="K17" s="7">
        <v>150</v>
      </c>
      <c r="L17" s="7">
        <v>1000</v>
      </c>
      <c r="M17" s="7" t="s">
        <v>31</v>
      </c>
      <c r="N17" s="7"/>
      <c r="O17" s="7" t="s">
        <v>94</v>
      </c>
      <c r="P17" s="7" t="s">
        <v>26</v>
      </c>
      <c r="Q17" s="7" t="s">
        <v>95</v>
      </c>
    </row>
    <row r="18" spans="1:17" ht="16" customHeight="1" x14ac:dyDescent="0.2">
      <c r="A18" s="7" t="s">
        <v>17</v>
      </c>
      <c r="B18" s="7" t="s">
        <v>61</v>
      </c>
      <c r="C18" s="7" t="s">
        <v>39</v>
      </c>
      <c r="D18" s="7" t="s">
        <v>93</v>
      </c>
      <c r="E18" s="7"/>
      <c r="F18" s="7" t="s">
        <v>69</v>
      </c>
      <c r="G18" s="8" t="s">
        <v>70</v>
      </c>
      <c r="H18" s="7" t="s">
        <v>71</v>
      </c>
      <c r="I18" s="7">
        <v>1.5</v>
      </c>
      <c r="J18" s="7">
        <v>1.2</v>
      </c>
      <c r="K18" s="7">
        <v>1.8</v>
      </c>
      <c r="L18" s="7">
        <v>11</v>
      </c>
      <c r="M18" s="7" t="s">
        <v>31</v>
      </c>
      <c r="N18" s="7"/>
      <c r="O18" s="7" t="s">
        <v>96</v>
      </c>
      <c r="P18" s="7" t="s">
        <v>26</v>
      </c>
      <c r="Q18" s="7" t="s">
        <v>97</v>
      </c>
    </row>
    <row r="19" spans="1:17" ht="16" customHeight="1" x14ac:dyDescent="0.2">
      <c r="A19" s="7" t="s">
        <v>17</v>
      </c>
      <c r="B19" s="7" t="s">
        <v>61</v>
      </c>
      <c r="C19" s="7" t="s">
        <v>39</v>
      </c>
      <c r="D19" s="7" t="s">
        <v>93</v>
      </c>
      <c r="E19" s="7"/>
      <c r="F19" s="7" t="s">
        <v>74</v>
      </c>
      <c r="G19" s="8" t="s">
        <v>75</v>
      </c>
      <c r="H19" s="7" t="s">
        <v>76</v>
      </c>
      <c r="I19" s="7">
        <v>10</v>
      </c>
      <c r="J19" s="7">
        <v>6</v>
      </c>
      <c r="K19" s="7">
        <v>15</v>
      </c>
      <c r="L19" s="7">
        <v>1000</v>
      </c>
      <c r="M19" s="7" t="s">
        <v>31</v>
      </c>
      <c r="N19" s="7"/>
      <c r="O19" s="7" t="s">
        <v>98</v>
      </c>
      <c r="P19" s="7" t="s">
        <v>26</v>
      </c>
      <c r="Q19" s="7" t="s">
        <v>99</v>
      </c>
    </row>
    <row r="20" spans="1:17" ht="16" customHeight="1" x14ac:dyDescent="0.2">
      <c r="A20" s="7" t="s">
        <v>17</v>
      </c>
      <c r="B20" s="7" t="s">
        <v>61</v>
      </c>
      <c r="C20" s="7" t="s">
        <v>39</v>
      </c>
      <c r="D20" s="7" t="s">
        <v>93</v>
      </c>
      <c r="E20" s="7"/>
      <c r="F20" s="7" t="s">
        <v>79</v>
      </c>
      <c r="G20" s="8" t="s">
        <v>80</v>
      </c>
      <c r="H20" s="7" t="s">
        <v>81</v>
      </c>
      <c r="I20" s="7">
        <v>5000</v>
      </c>
      <c r="J20" s="7">
        <v>2500</v>
      </c>
      <c r="K20" s="7">
        <v>10000</v>
      </c>
      <c r="L20" s="7">
        <v>30000</v>
      </c>
      <c r="M20" s="7" t="s">
        <v>31</v>
      </c>
      <c r="N20" s="7"/>
      <c r="O20" s="7" t="s">
        <v>100</v>
      </c>
      <c r="P20" s="7" t="s">
        <v>26</v>
      </c>
      <c r="Q20" s="7" t="s">
        <v>83</v>
      </c>
    </row>
    <row r="21" spans="1:17" ht="32" customHeight="1" x14ac:dyDescent="0.2">
      <c r="A21" s="7" t="s">
        <v>17</v>
      </c>
      <c r="B21" s="7" t="s">
        <v>61</v>
      </c>
      <c r="C21" s="7" t="s">
        <v>39</v>
      </c>
      <c r="D21" s="7" t="s">
        <v>93</v>
      </c>
      <c r="E21" s="7"/>
      <c r="F21" s="7" t="s">
        <v>84</v>
      </c>
      <c r="G21" s="8" t="s">
        <v>85</v>
      </c>
      <c r="H21" s="7" t="s">
        <v>44</v>
      </c>
      <c r="I21" s="7">
        <v>95</v>
      </c>
      <c r="J21" s="7">
        <v>85</v>
      </c>
      <c r="K21" s="7">
        <v>100</v>
      </c>
      <c r="L21" s="7"/>
      <c r="M21" s="7" t="s">
        <v>31</v>
      </c>
      <c r="N21" s="7"/>
      <c r="O21" s="7" t="s">
        <v>101</v>
      </c>
      <c r="P21" s="7" t="s">
        <v>26</v>
      </c>
      <c r="Q21" s="7" t="s">
        <v>102</v>
      </c>
    </row>
    <row r="22" spans="1:17" ht="16" customHeight="1" x14ac:dyDescent="0.2">
      <c r="A22" s="7" t="s">
        <v>17</v>
      </c>
      <c r="B22" s="7" t="s">
        <v>61</v>
      </c>
      <c r="C22" s="7" t="s">
        <v>39</v>
      </c>
      <c r="D22" s="7" t="s">
        <v>93</v>
      </c>
      <c r="E22" s="7"/>
      <c r="F22" s="7" t="s">
        <v>88</v>
      </c>
      <c r="G22" s="8" t="s">
        <v>89</v>
      </c>
      <c r="H22" s="7" t="s">
        <v>30</v>
      </c>
      <c r="I22" s="7" t="s">
        <v>41</v>
      </c>
      <c r="J22" s="7"/>
      <c r="K22" s="7"/>
      <c r="L22" s="7"/>
      <c r="M22" s="7" t="s">
        <v>90</v>
      </c>
      <c r="N22" s="7" t="s">
        <v>91</v>
      </c>
      <c r="O22" s="7" t="s">
        <v>92</v>
      </c>
      <c r="P22" s="7" t="s">
        <v>26</v>
      </c>
      <c r="Q22" s="7"/>
    </row>
    <row r="23" spans="1:17" ht="16" customHeight="1" x14ac:dyDescent="0.2">
      <c r="A23" s="7" t="s">
        <v>17</v>
      </c>
      <c r="B23" s="7" t="s">
        <v>61</v>
      </c>
      <c r="C23" s="7" t="s">
        <v>39</v>
      </c>
      <c r="D23" s="7" t="s">
        <v>103</v>
      </c>
      <c r="E23" s="7"/>
      <c r="F23" s="7" t="s">
        <v>63</v>
      </c>
      <c r="G23" s="8" t="s">
        <v>64</v>
      </c>
      <c r="H23" s="7" t="s">
        <v>65</v>
      </c>
      <c r="I23" s="7">
        <v>650</v>
      </c>
      <c r="J23" s="7">
        <v>520</v>
      </c>
      <c r="K23" s="7">
        <v>800</v>
      </c>
      <c r="L23" s="7">
        <v>700</v>
      </c>
      <c r="M23" s="7" t="s">
        <v>31</v>
      </c>
      <c r="N23" s="7"/>
      <c r="O23" s="7" t="s">
        <v>104</v>
      </c>
      <c r="P23" s="7" t="s">
        <v>26</v>
      </c>
      <c r="Q23" s="7" t="s">
        <v>105</v>
      </c>
    </row>
    <row r="24" spans="1:17" ht="16" customHeight="1" x14ac:dyDescent="0.2">
      <c r="A24" s="7" t="s">
        <v>17</v>
      </c>
      <c r="B24" s="7" t="s">
        <v>61</v>
      </c>
      <c r="C24" s="7" t="s">
        <v>39</v>
      </c>
      <c r="D24" s="7" t="s">
        <v>103</v>
      </c>
      <c r="E24" s="7"/>
      <c r="F24" s="7" t="s">
        <v>69</v>
      </c>
      <c r="G24" s="8" t="s">
        <v>70</v>
      </c>
      <c r="H24" s="7" t="s">
        <v>71</v>
      </c>
      <c r="I24" s="7">
        <v>2</v>
      </c>
      <c r="J24" s="7">
        <v>1.6</v>
      </c>
      <c r="K24" s="7">
        <v>2.4</v>
      </c>
      <c r="L24" s="7">
        <v>2.5</v>
      </c>
      <c r="M24" s="7" t="s">
        <v>31</v>
      </c>
      <c r="N24" s="7"/>
      <c r="O24" s="7" t="s">
        <v>106</v>
      </c>
      <c r="P24" s="7" t="s">
        <v>26</v>
      </c>
      <c r="Q24" s="7" t="s">
        <v>107</v>
      </c>
    </row>
    <row r="25" spans="1:17" ht="16" customHeight="1" x14ac:dyDescent="0.2">
      <c r="A25" s="7" t="s">
        <v>17</v>
      </c>
      <c r="B25" s="7" t="s">
        <v>61</v>
      </c>
      <c r="C25" s="7" t="s">
        <v>39</v>
      </c>
      <c r="D25" s="7" t="s">
        <v>103</v>
      </c>
      <c r="E25" s="7"/>
      <c r="F25" s="7" t="s">
        <v>74</v>
      </c>
      <c r="G25" s="8" t="s">
        <v>75</v>
      </c>
      <c r="H25" s="7" t="s">
        <v>76</v>
      </c>
      <c r="I25" s="7">
        <v>5</v>
      </c>
      <c r="J25" s="7">
        <v>2.5</v>
      </c>
      <c r="K25" s="7">
        <v>8</v>
      </c>
      <c r="L25" s="7">
        <v>30</v>
      </c>
      <c r="M25" s="7" t="s">
        <v>31</v>
      </c>
      <c r="N25" s="7"/>
      <c r="O25" s="7" t="s">
        <v>108</v>
      </c>
      <c r="P25" s="7" t="s">
        <v>26</v>
      </c>
      <c r="Q25" s="7" t="s">
        <v>109</v>
      </c>
    </row>
    <row r="26" spans="1:17" ht="16" customHeight="1" x14ac:dyDescent="0.2">
      <c r="A26" s="7" t="s">
        <v>17</v>
      </c>
      <c r="B26" s="7" t="s">
        <v>61</v>
      </c>
      <c r="C26" s="7" t="s">
        <v>39</v>
      </c>
      <c r="D26" s="7" t="s">
        <v>103</v>
      </c>
      <c r="E26" s="7"/>
      <c r="F26" s="7" t="s">
        <v>79</v>
      </c>
      <c r="G26" s="8" t="s">
        <v>80</v>
      </c>
      <c r="H26" s="7" t="s">
        <v>81</v>
      </c>
      <c r="I26" s="7">
        <v>10000</v>
      </c>
      <c r="J26" s="7">
        <v>5000</v>
      </c>
      <c r="K26" s="7">
        <v>20000</v>
      </c>
      <c r="L26" s="7">
        <v>36000</v>
      </c>
      <c r="M26" s="7" t="s">
        <v>31</v>
      </c>
      <c r="N26" s="7"/>
      <c r="O26" s="7" t="s">
        <v>110</v>
      </c>
      <c r="P26" s="7" t="s">
        <v>26</v>
      </c>
      <c r="Q26" s="7" t="s">
        <v>111</v>
      </c>
    </row>
    <row r="27" spans="1:17" ht="32" customHeight="1" x14ac:dyDescent="0.2">
      <c r="A27" s="7" t="s">
        <v>17</v>
      </c>
      <c r="B27" s="7" t="s">
        <v>61</v>
      </c>
      <c r="C27" s="7" t="s">
        <v>39</v>
      </c>
      <c r="D27" s="7" t="s">
        <v>103</v>
      </c>
      <c r="E27" s="7"/>
      <c r="F27" s="7" t="s">
        <v>84</v>
      </c>
      <c r="G27" s="8" t="s">
        <v>85</v>
      </c>
      <c r="H27" s="7" t="s">
        <v>44</v>
      </c>
      <c r="I27" s="7">
        <v>90</v>
      </c>
      <c r="J27" s="7">
        <v>75</v>
      </c>
      <c r="K27" s="7">
        <v>100</v>
      </c>
      <c r="L27" s="7"/>
      <c r="M27" s="7" t="s">
        <v>31</v>
      </c>
      <c r="N27" s="7"/>
      <c r="O27" s="7" t="s">
        <v>112</v>
      </c>
      <c r="P27" s="7" t="s">
        <v>26</v>
      </c>
      <c r="Q27" s="7" t="s">
        <v>102</v>
      </c>
    </row>
    <row r="28" spans="1:17" ht="16" customHeight="1" x14ac:dyDescent="0.2">
      <c r="A28" s="7" t="s">
        <v>17</v>
      </c>
      <c r="B28" s="7" t="s">
        <v>61</v>
      </c>
      <c r="C28" s="7" t="s">
        <v>39</v>
      </c>
      <c r="D28" s="7" t="s">
        <v>103</v>
      </c>
      <c r="E28" s="7"/>
      <c r="F28" s="7" t="s">
        <v>88</v>
      </c>
      <c r="G28" s="8" t="s">
        <v>89</v>
      </c>
      <c r="H28" s="7" t="s">
        <v>30</v>
      </c>
      <c r="I28" s="7" t="s">
        <v>41</v>
      </c>
      <c r="J28" s="7"/>
      <c r="K28" s="7"/>
      <c r="L28" s="7"/>
      <c r="M28" s="7" t="s">
        <v>90</v>
      </c>
      <c r="N28" s="7" t="s">
        <v>91</v>
      </c>
      <c r="O28" s="7" t="s">
        <v>92</v>
      </c>
      <c r="P28" s="7" t="s">
        <v>26</v>
      </c>
      <c r="Q28" s="7"/>
    </row>
    <row r="29" spans="1:17" ht="16" customHeight="1" x14ac:dyDescent="0.2">
      <c r="A29" s="7" t="s">
        <v>17</v>
      </c>
      <c r="B29" s="7" t="s">
        <v>61</v>
      </c>
      <c r="C29" s="7" t="s">
        <v>39</v>
      </c>
      <c r="D29" s="7" t="s">
        <v>113</v>
      </c>
      <c r="E29" s="7"/>
      <c r="F29" s="7" t="s">
        <v>63</v>
      </c>
      <c r="G29" s="8" t="s">
        <v>64</v>
      </c>
      <c r="H29" s="7" t="s">
        <v>65</v>
      </c>
      <c r="I29" s="7">
        <v>252</v>
      </c>
      <c r="J29" s="7">
        <v>200</v>
      </c>
      <c r="K29" s="7">
        <v>320</v>
      </c>
      <c r="L29" s="7">
        <v>3000</v>
      </c>
      <c r="M29" s="7" t="s">
        <v>31</v>
      </c>
      <c r="N29" s="7"/>
      <c r="O29" s="7" t="s">
        <v>114</v>
      </c>
      <c r="P29" s="7" t="s">
        <v>67</v>
      </c>
      <c r="Q29" s="7" t="s">
        <v>115</v>
      </c>
    </row>
    <row r="30" spans="1:17" ht="16" customHeight="1" x14ac:dyDescent="0.2">
      <c r="A30" s="7" t="s">
        <v>17</v>
      </c>
      <c r="B30" s="7" t="s">
        <v>61</v>
      </c>
      <c r="C30" s="7" t="s">
        <v>39</v>
      </c>
      <c r="D30" s="7" t="s">
        <v>113</v>
      </c>
      <c r="E30" s="7"/>
      <c r="F30" s="7" t="s">
        <v>69</v>
      </c>
      <c r="G30" s="8" t="s">
        <v>70</v>
      </c>
      <c r="H30" s="7" t="s">
        <v>71</v>
      </c>
      <c r="I30" s="7">
        <v>4</v>
      </c>
      <c r="J30" s="7">
        <v>3</v>
      </c>
      <c r="K30" s="7">
        <v>7</v>
      </c>
      <c r="L30" s="7">
        <v>30</v>
      </c>
      <c r="M30" s="7" t="s">
        <v>31</v>
      </c>
      <c r="N30" s="7"/>
      <c r="O30" s="7" t="s">
        <v>116</v>
      </c>
      <c r="P30" s="7" t="s">
        <v>26</v>
      </c>
      <c r="Q30" s="7" t="s">
        <v>117</v>
      </c>
    </row>
    <row r="31" spans="1:17" ht="16" customHeight="1" x14ac:dyDescent="0.2">
      <c r="A31" s="7" t="s">
        <v>17</v>
      </c>
      <c r="B31" s="7" t="s">
        <v>61</v>
      </c>
      <c r="C31" s="7" t="s">
        <v>39</v>
      </c>
      <c r="D31" s="7" t="s">
        <v>113</v>
      </c>
      <c r="E31" s="7"/>
      <c r="F31" s="7" t="s">
        <v>74</v>
      </c>
      <c r="G31" s="8" t="s">
        <v>75</v>
      </c>
      <c r="H31" s="7" t="s">
        <v>76</v>
      </c>
      <c r="I31" s="7">
        <v>5</v>
      </c>
      <c r="J31" s="7">
        <v>3</v>
      </c>
      <c r="K31" s="7">
        <v>8</v>
      </c>
      <c r="L31" s="7">
        <v>60</v>
      </c>
      <c r="M31" s="7" t="s">
        <v>31</v>
      </c>
      <c r="N31" s="7"/>
      <c r="O31" s="7" t="s">
        <v>118</v>
      </c>
      <c r="P31" s="7" t="s">
        <v>26</v>
      </c>
      <c r="Q31" s="7" t="s">
        <v>119</v>
      </c>
    </row>
    <row r="32" spans="1:17" ht="16" customHeight="1" x14ac:dyDescent="0.2">
      <c r="A32" s="7" t="s">
        <v>17</v>
      </c>
      <c r="B32" s="7" t="s">
        <v>61</v>
      </c>
      <c r="C32" s="7" t="s">
        <v>39</v>
      </c>
      <c r="D32" s="7" t="s">
        <v>113</v>
      </c>
      <c r="E32" s="7"/>
      <c r="F32" s="7" t="s">
        <v>79</v>
      </c>
      <c r="G32" s="8" t="s">
        <v>80</v>
      </c>
      <c r="H32" s="7" t="s">
        <v>81</v>
      </c>
      <c r="I32" s="7">
        <v>10000</v>
      </c>
      <c r="J32" s="7">
        <v>5000</v>
      </c>
      <c r="K32" s="7">
        <v>20000</v>
      </c>
      <c r="L32" s="7">
        <v>40000</v>
      </c>
      <c r="M32" s="7" t="s">
        <v>31</v>
      </c>
      <c r="N32" s="7"/>
      <c r="O32" s="7" t="s">
        <v>120</v>
      </c>
      <c r="P32" s="7" t="s">
        <v>26</v>
      </c>
      <c r="Q32" s="7" t="s">
        <v>121</v>
      </c>
    </row>
    <row r="33" spans="1:17" ht="32" customHeight="1" x14ac:dyDescent="0.2">
      <c r="A33" s="7" t="s">
        <v>17</v>
      </c>
      <c r="B33" s="7" t="s">
        <v>61</v>
      </c>
      <c r="C33" s="7" t="s">
        <v>39</v>
      </c>
      <c r="D33" s="7" t="s">
        <v>113</v>
      </c>
      <c r="E33" s="7"/>
      <c r="F33" s="7" t="s">
        <v>84</v>
      </c>
      <c r="G33" s="8" t="s">
        <v>85</v>
      </c>
      <c r="H33" s="7" t="s">
        <v>44</v>
      </c>
      <c r="I33" s="7">
        <v>50</v>
      </c>
      <c r="J33" s="7">
        <v>30</v>
      </c>
      <c r="K33" s="7">
        <v>75</v>
      </c>
      <c r="L33" s="7"/>
      <c r="M33" s="7" t="s">
        <v>31</v>
      </c>
      <c r="N33" s="7"/>
      <c r="O33" s="7" t="s">
        <v>122</v>
      </c>
      <c r="P33" s="7" t="s">
        <v>26</v>
      </c>
      <c r="Q33" s="7" t="s">
        <v>123</v>
      </c>
    </row>
    <row r="34" spans="1:17" ht="16" customHeight="1" x14ac:dyDescent="0.2">
      <c r="A34" s="7" t="s">
        <v>17</v>
      </c>
      <c r="B34" s="7" t="s">
        <v>61</v>
      </c>
      <c r="C34" s="7" t="s">
        <v>39</v>
      </c>
      <c r="D34" s="7" t="s">
        <v>113</v>
      </c>
      <c r="E34" s="7"/>
      <c r="F34" s="7" t="s">
        <v>88</v>
      </c>
      <c r="G34" s="8" t="s">
        <v>89</v>
      </c>
      <c r="H34" s="7" t="s">
        <v>30</v>
      </c>
      <c r="I34" s="7" t="s">
        <v>41</v>
      </c>
      <c r="J34" s="7"/>
      <c r="K34" s="7"/>
      <c r="L34" s="7"/>
      <c r="M34" s="7" t="s">
        <v>90</v>
      </c>
      <c r="N34" s="7" t="s">
        <v>91</v>
      </c>
      <c r="O34" s="7" t="s">
        <v>92</v>
      </c>
      <c r="P34" s="7" t="s">
        <v>26</v>
      </c>
      <c r="Q34" s="7"/>
    </row>
    <row r="35" spans="1:17" ht="16" customHeight="1" x14ac:dyDescent="0.2">
      <c r="A35" s="7" t="s">
        <v>17</v>
      </c>
      <c r="B35" s="7" t="s">
        <v>61</v>
      </c>
      <c r="C35" s="7" t="s">
        <v>55</v>
      </c>
      <c r="D35" s="7" t="s">
        <v>93</v>
      </c>
      <c r="E35" s="7"/>
      <c r="F35" s="7" t="s">
        <v>63</v>
      </c>
      <c r="G35" s="8" t="s">
        <v>64</v>
      </c>
      <c r="H35" s="7" t="s">
        <v>65</v>
      </c>
      <c r="I35" s="7">
        <v>80</v>
      </c>
      <c r="J35" s="7">
        <v>64</v>
      </c>
      <c r="K35" s="7">
        <v>96</v>
      </c>
      <c r="L35" s="7"/>
      <c r="M35" s="7" t="s">
        <v>31</v>
      </c>
      <c r="N35" s="7"/>
      <c r="O35" s="7" t="s">
        <v>124</v>
      </c>
      <c r="P35" s="7" t="s">
        <v>26</v>
      </c>
      <c r="Q35" s="7" t="s">
        <v>125</v>
      </c>
    </row>
    <row r="36" spans="1:17" ht="16" customHeight="1" x14ac:dyDescent="0.2">
      <c r="A36" s="7" t="s">
        <v>17</v>
      </c>
      <c r="B36" s="7" t="s">
        <v>61</v>
      </c>
      <c r="C36" s="7" t="s">
        <v>55</v>
      </c>
      <c r="D36" s="7" t="s">
        <v>93</v>
      </c>
      <c r="E36" s="7"/>
      <c r="F36" s="7" t="s">
        <v>69</v>
      </c>
      <c r="G36" s="8" t="s">
        <v>70</v>
      </c>
      <c r="H36" s="7" t="s">
        <v>71</v>
      </c>
      <c r="I36" s="7">
        <v>1.5</v>
      </c>
      <c r="J36" s="7">
        <v>1.2</v>
      </c>
      <c r="K36" s="7">
        <v>1.8</v>
      </c>
      <c r="L36" s="7"/>
      <c r="M36" s="7" t="s">
        <v>31</v>
      </c>
      <c r="N36" s="7"/>
      <c r="O36" s="7" t="s">
        <v>126</v>
      </c>
      <c r="P36" s="7" t="s">
        <v>26</v>
      </c>
      <c r="Q36" s="7" t="s">
        <v>127</v>
      </c>
    </row>
    <row r="37" spans="1:17" ht="16" customHeight="1" x14ac:dyDescent="0.2">
      <c r="A37" s="7" t="s">
        <v>17</v>
      </c>
      <c r="B37" s="7" t="s">
        <v>61</v>
      </c>
      <c r="C37" s="7" t="s">
        <v>55</v>
      </c>
      <c r="D37" s="7" t="s">
        <v>93</v>
      </c>
      <c r="E37" s="7"/>
      <c r="F37" s="7" t="s">
        <v>74</v>
      </c>
      <c r="G37" s="8" t="s">
        <v>75</v>
      </c>
      <c r="H37" s="7" t="s">
        <v>76</v>
      </c>
      <c r="I37" s="7">
        <v>15</v>
      </c>
      <c r="J37" s="7">
        <v>10</v>
      </c>
      <c r="K37" s="7">
        <v>20</v>
      </c>
      <c r="L37" s="7"/>
      <c r="M37" s="7" t="s">
        <v>31</v>
      </c>
      <c r="N37" s="7"/>
      <c r="O37" s="7" t="s">
        <v>128</v>
      </c>
      <c r="P37" s="7" t="s">
        <v>26</v>
      </c>
      <c r="Q37" s="7" t="s">
        <v>129</v>
      </c>
    </row>
    <row r="38" spans="1:17" ht="16" customHeight="1" x14ac:dyDescent="0.2">
      <c r="A38" s="7" t="s">
        <v>17</v>
      </c>
      <c r="B38" s="7" t="s">
        <v>61</v>
      </c>
      <c r="C38" s="7" t="s">
        <v>55</v>
      </c>
      <c r="D38" s="7" t="s">
        <v>93</v>
      </c>
      <c r="E38" s="7"/>
      <c r="F38" s="7" t="s">
        <v>79</v>
      </c>
      <c r="G38" s="8" t="s">
        <v>80</v>
      </c>
      <c r="H38" s="7" t="s">
        <v>81</v>
      </c>
      <c r="I38" s="7">
        <v>8000</v>
      </c>
      <c r="J38" s="7">
        <v>5000</v>
      </c>
      <c r="K38" s="7">
        <v>10000</v>
      </c>
      <c r="L38" s="7"/>
      <c r="M38" s="7" t="s">
        <v>31</v>
      </c>
      <c r="N38" s="7"/>
      <c r="O38" s="7" t="s">
        <v>130</v>
      </c>
      <c r="P38" s="7" t="s">
        <v>26</v>
      </c>
      <c r="Q38" s="7" t="s">
        <v>131</v>
      </c>
    </row>
    <row r="39" spans="1:17" ht="32" customHeight="1" x14ac:dyDescent="0.2">
      <c r="A39" s="7" t="s">
        <v>17</v>
      </c>
      <c r="B39" s="7" t="s">
        <v>61</v>
      </c>
      <c r="C39" s="7" t="s">
        <v>55</v>
      </c>
      <c r="D39" s="7" t="s">
        <v>93</v>
      </c>
      <c r="E39" s="7"/>
      <c r="F39" s="7" t="s">
        <v>84</v>
      </c>
      <c r="G39" s="8" t="s">
        <v>85</v>
      </c>
      <c r="H39" s="7" t="s">
        <v>44</v>
      </c>
      <c r="I39" s="7">
        <v>95</v>
      </c>
      <c r="J39" s="7">
        <v>85</v>
      </c>
      <c r="K39" s="7">
        <v>100</v>
      </c>
      <c r="L39" s="7"/>
      <c r="M39" s="7" t="s">
        <v>31</v>
      </c>
      <c r="N39" s="7"/>
      <c r="O39" s="7" t="s">
        <v>132</v>
      </c>
      <c r="P39" s="7" t="s">
        <v>26</v>
      </c>
      <c r="Q39" s="7" t="s">
        <v>133</v>
      </c>
    </row>
    <row r="40" spans="1:17" ht="16" customHeight="1" x14ac:dyDescent="0.2">
      <c r="A40" s="7" t="s">
        <v>17</v>
      </c>
      <c r="B40" s="7" t="s">
        <v>61</v>
      </c>
      <c r="C40" s="7" t="s">
        <v>55</v>
      </c>
      <c r="D40" s="7" t="s">
        <v>93</v>
      </c>
      <c r="E40" s="7"/>
      <c r="F40" s="7" t="s">
        <v>88</v>
      </c>
      <c r="G40" s="8" t="s">
        <v>89</v>
      </c>
      <c r="H40" s="7" t="s">
        <v>30</v>
      </c>
      <c r="I40" s="7" t="s">
        <v>41</v>
      </c>
      <c r="J40" s="7"/>
      <c r="K40" s="7"/>
      <c r="L40" s="7"/>
      <c r="M40" s="7" t="s">
        <v>90</v>
      </c>
      <c r="N40" s="7" t="s">
        <v>91</v>
      </c>
      <c r="O40" s="7" t="s">
        <v>92</v>
      </c>
      <c r="P40" s="7" t="s">
        <v>26</v>
      </c>
      <c r="Q40" s="7"/>
    </row>
    <row r="41" spans="1:17" ht="16" customHeight="1" x14ac:dyDescent="0.2">
      <c r="A41" s="7" t="s">
        <v>17</v>
      </c>
      <c r="B41" s="7" t="s">
        <v>61</v>
      </c>
      <c r="C41" s="7" t="s">
        <v>55</v>
      </c>
      <c r="D41" s="7" t="s">
        <v>103</v>
      </c>
      <c r="E41" s="7"/>
      <c r="F41" s="7" t="s">
        <v>63</v>
      </c>
      <c r="G41" s="8" t="s">
        <v>64</v>
      </c>
      <c r="H41" s="7" t="s">
        <v>65</v>
      </c>
      <c r="I41" s="7">
        <v>250</v>
      </c>
      <c r="J41" s="7">
        <v>200</v>
      </c>
      <c r="K41" s="7">
        <v>300</v>
      </c>
      <c r="L41" s="7"/>
      <c r="M41" s="7" t="s">
        <v>31</v>
      </c>
      <c r="N41" s="7"/>
      <c r="O41" s="7" t="s">
        <v>134</v>
      </c>
      <c r="P41" s="7" t="s">
        <v>26</v>
      </c>
      <c r="Q41" s="7" t="s">
        <v>127</v>
      </c>
    </row>
    <row r="42" spans="1:17" ht="16" customHeight="1" x14ac:dyDescent="0.2">
      <c r="A42" s="7" t="s">
        <v>17</v>
      </c>
      <c r="B42" s="7" t="s">
        <v>61</v>
      </c>
      <c r="C42" s="7" t="s">
        <v>55</v>
      </c>
      <c r="D42" s="7" t="s">
        <v>103</v>
      </c>
      <c r="E42" s="7"/>
      <c r="F42" s="7" t="s">
        <v>69</v>
      </c>
      <c r="G42" s="8" t="s">
        <v>70</v>
      </c>
      <c r="H42" s="7" t="s">
        <v>71</v>
      </c>
      <c r="I42" s="7">
        <v>1.5</v>
      </c>
      <c r="J42" s="7">
        <v>1.2</v>
      </c>
      <c r="K42" s="7">
        <v>1.8</v>
      </c>
      <c r="L42" s="7"/>
      <c r="M42" s="7" t="s">
        <v>31</v>
      </c>
      <c r="N42" s="7"/>
      <c r="O42" s="7" t="s">
        <v>135</v>
      </c>
      <c r="P42" s="7" t="s">
        <v>26</v>
      </c>
      <c r="Q42" s="7" t="s">
        <v>136</v>
      </c>
    </row>
    <row r="43" spans="1:17" ht="16" customHeight="1" x14ac:dyDescent="0.2">
      <c r="A43" s="7" t="s">
        <v>17</v>
      </c>
      <c r="B43" s="7" t="s">
        <v>61</v>
      </c>
      <c r="C43" s="7" t="s">
        <v>55</v>
      </c>
      <c r="D43" s="7" t="s">
        <v>103</v>
      </c>
      <c r="E43" s="7"/>
      <c r="F43" s="7" t="s">
        <v>74</v>
      </c>
      <c r="G43" s="8" t="s">
        <v>75</v>
      </c>
      <c r="H43" s="7" t="s">
        <v>76</v>
      </c>
      <c r="I43" s="7">
        <v>1</v>
      </c>
      <c r="J43" s="7">
        <v>0.5</v>
      </c>
      <c r="K43" s="7">
        <v>2</v>
      </c>
      <c r="L43" s="7"/>
      <c r="M43" s="7" t="s">
        <v>31</v>
      </c>
      <c r="N43" s="7"/>
      <c r="O43" s="7" t="s">
        <v>137</v>
      </c>
      <c r="P43" s="7" t="s">
        <v>26</v>
      </c>
      <c r="Q43" s="7" t="s">
        <v>138</v>
      </c>
    </row>
    <row r="44" spans="1:17" ht="16" customHeight="1" x14ac:dyDescent="0.2">
      <c r="A44" s="7" t="s">
        <v>17</v>
      </c>
      <c r="B44" s="7" t="s">
        <v>61</v>
      </c>
      <c r="C44" s="7" t="s">
        <v>55</v>
      </c>
      <c r="D44" s="7" t="s">
        <v>103</v>
      </c>
      <c r="E44" s="7"/>
      <c r="F44" s="7" t="s">
        <v>79</v>
      </c>
      <c r="G44" s="8" t="s">
        <v>80</v>
      </c>
      <c r="H44" s="7" t="s">
        <v>81</v>
      </c>
      <c r="I44" s="7">
        <v>8000</v>
      </c>
      <c r="J44" s="7">
        <v>5000</v>
      </c>
      <c r="K44" s="7">
        <v>10000</v>
      </c>
      <c r="L44" s="7"/>
      <c r="M44" s="7" t="s">
        <v>31</v>
      </c>
      <c r="N44" s="7"/>
      <c r="O44" s="7" t="s">
        <v>130</v>
      </c>
      <c r="P44" s="7" t="s">
        <v>26</v>
      </c>
      <c r="Q44" s="7" t="s">
        <v>139</v>
      </c>
    </row>
    <row r="45" spans="1:17" ht="32" customHeight="1" x14ac:dyDescent="0.2">
      <c r="A45" s="7" t="s">
        <v>17</v>
      </c>
      <c r="B45" s="7" t="s">
        <v>61</v>
      </c>
      <c r="C45" s="7" t="s">
        <v>55</v>
      </c>
      <c r="D45" s="7" t="s">
        <v>103</v>
      </c>
      <c r="E45" s="7"/>
      <c r="F45" s="7" t="s">
        <v>84</v>
      </c>
      <c r="G45" s="8" t="s">
        <v>85</v>
      </c>
      <c r="H45" s="7" t="s">
        <v>44</v>
      </c>
      <c r="I45" s="7">
        <v>90</v>
      </c>
      <c r="J45" s="7">
        <v>75</v>
      </c>
      <c r="K45" s="7">
        <v>100</v>
      </c>
      <c r="L45" s="7"/>
      <c r="M45" s="7" t="s">
        <v>31</v>
      </c>
      <c r="N45" s="7"/>
      <c r="O45" s="7" t="s">
        <v>140</v>
      </c>
      <c r="P45" s="7" t="s">
        <v>26</v>
      </c>
      <c r="Q45" s="7" t="s">
        <v>141</v>
      </c>
    </row>
    <row r="46" spans="1:17" ht="16" customHeight="1" x14ac:dyDescent="0.2">
      <c r="A46" s="7" t="s">
        <v>17</v>
      </c>
      <c r="B46" s="7" t="s">
        <v>61</v>
      </c>
      <c r="C46" s="7" t="s">
        <v>55</v>
      </c>
      <c r="D46" s="7" t="s">
        <v>103</v>
      </c>
      <c r="E46" s="7"/>
      <c r="F46" s="7" t="s">
        <v>88</v>
      </c>
      <c r="G46" s="8" t="s">
        <v>89</v>
      </c>
      <c r="H46" s="7" t="s">
        <v>30</v>
      </c>
      <c r="I46" s="7" t="s">
        <v>41</v>
      </c>
      <c r="J46" s="7"/>
      <c r="K46" s="7"/>
      <c r="L46" s="7"/>
      <c r="M46" s="7" t="s">
        <v>90</v>
      </c>
      <c r="N46" s="7" t="s">
        <v>91</v>
      </c>
      <c r="O46" s="7" t="s">
        <v>92</v>
      </c>
      <c r="P46" s="7" t="s">
        <v>26</v>
      </c>
      <c r="Q46" s="7"/>
    </row>
    <row r="47" spans="1:17" ht="16" customHeight="1" x14ac:dyDescent="0.2">
      <c r="A47" s="7" t="s">
        <v>17</v>
      </c>
      <c r="B47" s="7" t="s">
        <v>142</v>
      </c>
      <c r="C47" s="7" t="s">
        <v>143</v>
      </c>
      <c r="D47" s="7" t="s">
        <v>20</v>
      </c>
      <c r="E47" s="7"/>
      <c r="F47" s="7" t="s">
        <v>144</v>
      </c>
      <c r="G47" s="8" t="s">
        <v>145</v>
      </c>
      <c r="H47" s="7" t="s">
        <v>146</v>
      </c>
      <c r="I47" s="7">
        <v>20</v>
      </c>
      <c r="J47" s="7">
        <v>16</v>
      </c>
      <c r="K47" s="7">
        <v>24</v>
      </c>
      <c r="L47" s="7"/>
      <c r="M47" s="7" t="s">
        <v>31</v>
      </c>
      <c r="N47" s="7"/>
      <c r="O47" s="7" t="s">
        <v>147</v>
      </c>
      <c r="P47" s="7" t="s">
        <v>26</v>
      </c>
      <c r="Q47" s="7" t="s">
        <v>148</v>
      </c>
    </row>
    <row r="48" spans="1:17" ht="16" customHeight="1" x14ac:dyDescent="0.2">
      <c r="A48" s="7" t="s">
        <v>17</v>
      </c>
      <c r="B48" s="7" t="s">
        <v>142</v>
      </c>
      <c r="C48" s="7" t="s">
        <v>143</v>
      </c>
      <c r="D48" s="7" t="s">
        <v>20</v>
      </c>
      <c r="E48" s="7"/>
      <c r="F48" s="7" t="s">
        <v>149</v>
      </c>
      <c r="G48" s="8" t="s">
        <v>150</v>
      </c>
      <c r="H48" s="7" t="s">
        <v>146</v>
      </c>
      <c r="I48" s="7">
        <v>10</v>
      </c>
      <c r="J48" s="7">
        <v>8</v>
      </c>
      <c r="K48" s="7">
        <v>12</v>
      </c>
      <c r="L48" s="7"/>
      <c r="M48" s="7" t="s">
        <v>31</v>
      </c>
      <c r="N48" s="7"/>
      <c r="O48" s="7" t="s">
        <v>147</v>
      </c>
      <c r="P48" s="7" t="s">
        <v>26</v>
      </c>
      <c r="Q48" s="7" t="s">
        <v>151</v>
      </c>
    </row>
    <row r="49" spans="1:17" ht="16" customHeight="1" x14ac:dyDescent="0.2">
      <c r="A49" s="7" t="s">
        <v>17</v>
      </c>
      <c r="B49" s="7" t="s">
        <v>142</v>
      </c>
      <c r="C49" s="7" t="s">
        <v>55</v>
      </c>
      <c r="D49" s="7" t="s">
        <v>152</v>
      </c>
      <c r="E49" s="7"/>
      <c r="F49" s="7" t="s">
        <v>153</v>
      </c>
      <c r="G49" s="8" t="s">
        <v>154</v>
      </c>
      <c r="H49" s="7" t="s">
        <v>44</v>
      </c>
      <c r="I49" s="7">
        <v>10</v>
      </c>
      <c r="J49" s="7">
        <v>8</v>
      </c>
      <c r="K49" s="7">
        <v>12</v>
      </c>
      <c r="L49" s="7"/>
      <c r="M49" s="7" t="s">
        <v>31</v>
      </c>
      <c r="N49" s="7"/>
      <c r="O49" s="7" t="s">
        <v>147</v>
      </c>
      <c r="P49" s="7" t="s">
        <v>26</v>
      </c>
      <c r="Q49" s="7" t="s">
        <v>155</v>
      </c>
    </row>
    <row r="50" spans="1:17" ht="16" customHeight="1" x14ac:dyDescent="0.2">
      <c r="A50" s="7" t="s">
        <v>17</v>
      </c>
      <c r="B50" s="7" t="s">
        <v>142</v>
      </c>
      <c r="C50" s="7" t="s">
        <v>156</v>
      </c>
      <c r="D50" s="7" t="s">
        <v>157</v>
      </c>
      <c r="E50" s="7" t="s">
        <v>158</v>
      </c>
      <c r="F50" s="7" t="s">
        <v>159</v>
      </c>
      <c r="G50" s="8" t="s">
        <v>160</v>
      </c>
      <c r="H50" s="7" t="s">
        <v>44</v>
      </c>
      <c r="I50" s="7">
        <v>42</v>
      </c>
      <c r="J50" s="7">
        <v>30</v>
      </c>
      <c r="K50" s="7">
        <v>79</v>
      </c>
      <c r="L50" s="7">
        <v>55</v>
      </c>
      <c r="M50" s="7" t="s">
        <v>31</v>
      </c>
      <c r="N50" s="7"/>
      <c r="O50" s="7" t="s">
        <v>161</v>
      </c>
      <c r="P50" s="7" t="s">
        <v>26</v>
      </c>
      <c r="Q50" s="7" t="s">
        <v>162</v>
      </c>
    </row>
    <row r="51" spans="1:17" ht="32" customHeight="1" x14ac:dyDescent="0.2">
      <c r="A51" s="7" t="s">
        <v>17</v>
      </c>
      <c r="B51" s="7" t="s">
        <v>142</v>
      </c>
      <c r="C51" s="7" t="s">
        <v>156</v>
      </c>
      <c r="D51" s="7" t="s">
        <v>157</v>
      </c>
      <c r="E51" s="7" t="s">
        <v>163</v>
      </c>
      <c r="F51" s="7" t="s">
        <v>159</v>
      </c>
      <c r="G51" s="8" t="s">
        <v>164</v>
      </c>
      <c r="H51" s="7" t="s">
        <v>44</v>
      </c>
      <c r="I51" s="7">
        <v>5</v>
      </c>
      <c r="J51" s="7">
        <v>0</v>
      </c>
      <c r="K51" s="7">
        <v>15</v>
      </c>
      <c r="L51" s="7">
        <v>10</v>
      </c>
      <c r="M51" s="7" t="s">
        <v>31</v>
      </c>
      <c r="N51" s="7"/>
      <c r="O51" s="7" t="s">
        <v>161</v>
      </c>
      <c r="P51" s="7" t="s">
        <v>26</v>
      </c>
      <c r="Q51" s="7" t="s">
        <v>165</v>
      </c>
    </row>
    <row r="52" spans="1:17" ht="32" customHeight="1" x14ac:dyDescent="0.2">
      <c r="A52" s="7" t="s">
        <v>17</v>
      </c>
      <c r="B52" s="7" t="s">
        <v>142</v>
      </c>
      <c r="C52" s="7" t="s">
        <v>156</v>
      </c>
      <c r="D52" s="7" t="s">
        <v>157</v>
      </c>
      <c r="E52" s="7" t="s">
        <v>166</v>
      </c>
      <c r="F52" s="7" t="s">
        <v>159</v>
      </c>
      <c r="G52" s="8" t="s">
        <v>167</v>
      </c>
      <c r="H52" s="7" t="s">
        <v>44</v>
      </c>
      <c r="I52" s="7">
        <v>0</v>
      </c>
      <c r="J52" s="7">
        <v>0</v>
      </c>
      <c r="K52" s="7">
        <v>5</v>
      </c>
      <c r="L52" s="7">
        <v>10</v>
      </c>
      <c r="M52" s="7" t="s">
        <v>31</v>
      </c>
      <c r="N52" s="7"/>
      <c r="O52" s="7" t="s">
        <v>161</v>
      </c>
      <c r="P52" s="7" t="s">
        <v>26</v>
      </c>
      <c r="Q52" s="7" t="s">
        <v>168</v>
      </c>
    </row>
    <row r="53" spans="1:17" ht="32" customHeight="1" x14ac:dyDescent="0.2">
      <c r="A53" s="7" t="s">
        <v>17</v>
      </c>
      <c r="B53" s="7" t="s">
        <v>142</v>
      </c>
      <c r="C53" s="7" t="s">
        <v>156</v>
      </c>
      <c r="D53" s="7" t="s">
        <v>157</v>
      </c>
      <c r="E53" s="7" t="s">
        <v>169</v>
      </c>
      <c r="F53" s="7" t="s">
        <v>159</v>
      </c>
      <c r="G53" s="8" t="s">
        <v>170</v>
      </c>
      <c r="H53" s="7" t="s">
        <v>44</v>
      </c>
      <c r="I53" s="7">
        <v>28</v>
      </c>
      <c r="J53" s="7">
        <v>15</v>
      </c>
      <c r="K53" s="7">
        <v>45</v>
      </c>
      <c r="L53" s="7">
        <v>20</v>
      </c>
      <c r="M53" s="7" t="s">
        <v>31</v>
      </c>
      <c r="N53" s="7"/>
      <c r="O53" s="7" t="s">
        <v>161</v>
      </c>
      <c r="P53" s="7" t="s">
        <v>26</v>
      </c>
      <c r="Q53" s="7" t="s">
        <v>171</v>
      </c>
    </row>
    <row r="54" spans="1:17" ht="32" customHeight="1" x14ac:dyDescent="0.2">
      <c r="A54" s="7" t="s">
        <v>17</v>
      </c>
      <c r="B54" s="7" t="s">
        <v>142</v>
      </c>
      <c r="C54" s="7" t="s">
        <v>156</v>
      </c>
      <c r="D54" s="7" t="s">
        <v>157</v>
      </c>
      <c r="E54" s="7" t="s">
        <v>172</v>
      </c>
      <c r="F54" s="7" t="s">
        <v>159</v>
      </c>
      <c r="G54" s="8" t="s">
        <v>173</v>
      </c>
      <c r="H54" s="7" t="s">
        <v>44</v>
      </c>
      <c r="I54" s="7">
        <v>25</v>
      </c>
      <c r="J54" s="7">
        <v>2</v>
      </c>
      <c r="K54" s="7">
        <v>40</v>
      </c>
      <c r="L54" s="7">
        <v>5</v>
      </c>
      <c r="M54" s="7" t="s">
        <v>31</v>
      </c>
      <c r="N54" s="7"/>
      <c r="O54" s="7" t="s">
        <v>161</v>
      </c>
      <c r="P54" s="7" t="s">
        <v>26</v>
      </c>
      <c r="Q54" s="7" t="s">
        <v>174</v>
      </c>
    </row>
    <row r="55" spans="1:17" ht="32" customHeight="1" x14ac:dyDescent="0.2">
      <c r="A55" s="7" t="s">
        <v>17</v>
      </c>
      <c r="B55" s="7" t="s">
        <v>175</v>
      </c>
      <c r="C55" s="7" t="s">
        <v>176</v>
      </c>
      <c r="D55" s="7" t="s">
        <v>20</v>
      </c>
      <c r="E55" s="7"/>
      <c r="F55" s="7" t="s">
        <v>175</v>
      </c>
      <c r="G55" s="8" t="s">
        <v>177</v>
      </c>
      <c r="H55" s="7" t="s">
        <v>178</v>
      </c>
      <c r="I55" s="7" t="s">
        <v>179</v>
      </c>
      <c r="J55" s="7"/>
      <c r="K55" s="7"/>
      <c r="L55" s="7"/>
      <c r="M55" s="7" t="s">
        <v>90</v>
      </c>
      <c r="N55" s="7"/>
      <c r="O55" s="7" t="s">
        <v>180</v>
      </c>
      <c r="P55" s="7" t="s">
        <v>26</v>
      </c>
      <c r="Q55" s="7" t="s">
        <v>181</v>
      </c>
    </row>
    <row r="56" spans="1:17" ht="32" customHeight="1" x14ac:dyDescent="0.2"/>
  </sheetData>
  <conditionalFormatting sqref="I2:I262">
    <cfRule type="expression" dxfId="14" priority="3">
      <formula>AND($F2&lt;&gt;"",$I2="")</formula>
    </cfRule>
  </conditionalFormatting>
  <conditionalFormatting sqref="I2:P262">
    <cfRule type="expression" dxfId="13" priority="1">
      <formula>$P2="placeholder"</formula>
    </cfRule>
  </conditionalFormatting>
  <conditionalFormatting sqref="J2:K262">
    <cfRule type="expression" dxfId="12" priority="2">
      <formula>AND(OR($M2="triangular",$M2="uniform"),OR($J2="",$K2=""))</formula>
    </cfRule>
  </conditionalFormatting>
  <dataValidations count="4">
    <dataValidation type="list" allowBlank="1" showErrorMessage="1" sqref="B2:B262" xr:uid="{00000000-0002-0000-0500-000000000000}">
      <formula1>"design,manufacturing,circularity,location"</formula1>
    </dataValidation>
    <dataValidation type="list" allowBlank="1" showErrorMessage="1" sqref="C2:C262" xr:uid="{00000000-0002-0000-0500-000001000000}">
      <formula1>"product size,production,repair,use,end-of-life,general"</formula1>
    </dataValidation>
    <dataValidation type="list" allowBlank="1" showErrorMessage="1" sqref="M2:M262" xr:uid="{00000000-0002-0000-0500-000002000000}">
      <formula1>"fixed,triangular,uniform,choice"</formula1>
    </dataValidation>
    <dataValidation type="list" allowBlank="1" showErrorMessage="1" sqref="P2:P262" xr:uid="{00000000-0002-0000-0500-000003000000}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Q50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248</v>
      </c>
      <c r="B2" s="7" t="s">
        <v>18</v>
      </c>
      <c r="C2" s="7" t="s">
        <v>19</v>
      </c>
      <c r="D2" s="7" t="s">
        <v>20</v>
      </c>
      <c r="E2" s="7"/>
      <c r="F2" s="7" t="s">
        <v>383</v>
      </c>
      <c r="G2" s="7" t="s">
        <v>384</v>
      </c>
      <c r="H2" s="7" t="s">
        <v>385</v>
      </c>
      <c r="I2" s="7">
        <v>0.4</v>
      </c>
      <c r="J2" s="7">
        <v>0.32</v>
      </c>
      <c r="K2" s="7">
        <v>0.48</v>
      </c>
      <c r="L2" s="7"/>
      <c r="M2" s="7" t="s">
        <v>31</v>
      </c>
      <c r="N2" s="7"/>
      <c r="O2" s="7" t="s">
        <v>386</v>
      </c>
      <c r="P2" s="7" t="s">
        <v>26</v>
      </c>
      <c r="Q2" s="7" t="s">
        <v>387</v>
      </c>
    </row>
    <row r="3" spans="1:17" ht="32" customHeight="1" x14ac:dyDescent="0.2">
      <c r="A3" s="7" t="s">
        <v>248</v>
      </c>
      <c r="B3" s="7" t="s">
        <v>18</v>
      </c>
      <c r="C3" s="7" t="s">
        <v>39</v>
      </c>
      <c r="D3" s="7" t="s">
        <v>60</v>
      </c>
      <c r="E3" s="7" t="s">
        <v>41</v>
      </c>
      <c r="F3" s="7" t="s">
        <v>42</v>
      </c>
      <c r="G3" s="8" t="s">
        <v>43</v>
      </c>
      <c r="H3" s="7" t="s">
        <v>44</v>
      </c>
      <c r="I3" s="7">
        <v>100</v>
      </c>
      <c r="J3" s="7">
        <v>100</v>
      </c>
      <c r="K3" s="7">
        <v>100</v>
      </c>
      <c r="L3" s="7"/>
      <c r="M3" s="7" t="s">
        <v>24</v>
      </c>
      <c r="N3" s="7"/>
      <c r="O3" s="7" t="s">
        <v>388</v>
      </c>
      <c r="P3" s="7" t="s">
        <v>26</v>
      </c>
      <c r="Q3" s="7" t="s">
        <v>389</v>
      </c>
    </row>
    <row r="4" spans="1:17" ht="32" customHeight="1" x14ac:dyDescent="0.2">
      <c r="A4" s="7" t="s">
        <v>248</v>
      </c>
      <c r="B4" s="7" t="s">
        <v>18</v>
      </c>
      <c r="C4" s="7" t="s">
        <v>55</v>
      </c>
      <c r="D4" s="7" t="s">
        <v>60</v>
      </c>
      <c r="E4" s="7" t="s">
        <v>41</v>
      </c>
      <c r="F4" s="7" t="s">
        <v>42</v>
      </c>
      <c r="G4" s="8" t="s">
        <v>56</v>
      </c>
      <c r="H4" s="7" t="s">
        <v>44</v>
      </c>
      <c r="I4" s="7">
        <v>100</v>
      </c>
      <c r="J4" s="7">
        <v>100</v>
      </c>
      <c r="K4" s="7">
        <v>100</v>
      </c>
      <c r="L4" s="7"/>
      <c r="M4" s="7" t="s">
        <v>24</v>
      </c>
      <c r="N4" s="7"/>
      <c r="O4" s="7" t="s">
        <v>388</v>
      </c>
      <c r="P4" s="7" t="s">
        <v>26</v>
      </c>
      <c r="Q4" s="7" t="s">
        <v>389</v>
      </c>
    </row>
    <row r="5" spans="1:17" ht="16" customHeight="1" x14ac:dyDescent="0.2">
      <c r="A5" s="7" t="s">
        <v>248</v>
      </c>
      <c r="B5" s="7" t="s">
        <v>61</v>
      </c>
      <c r="C5" s="7" t="s">
        <v>39</v>
      </c>
      <c r="D5" s="7" t="s">
        <v>390</v>
      </c>
      <c r="E5" s="7"/>
      <c r="F5" s="7" t="s">
        <v>63</v>
      </c>
      <c r="G5" s="8" t="s">
        <v>64</v>
      </c>
      <c r="H5" s="7" t="s">
        <v>65</v>
      </c>
      <c r="I5" s="7">
        <v>3000</v>
      </c>
      <c r="J5" s="7">
        <v>2400</v>
      </c>
      <c r="K5" s="7">
        <v>3600</v>
      </c>
      <c r="L5" s="7"/>
      <c r="M5" s="7" t="s">
        <v>31</v>
      </c>
      <c r="N5" s="7"/>
      <c r="O5" s="7" t="s">
        <v>391</v>
      </c>
      <c r="P5" s="7" t="s">
        <v>26</v>
      </c>
      <c r="Q5" s="7" t="s">
        <v>392</v>
      </c>
    </row>
    <row r="6" spans="1:17" ht="16" customHeight="1" x14ac:dyDescent="0.2">
      <c r="A6" s="7" t="s">
        <v>248</v>
      </c>
      <c r="B6" s="7" t="s">
        <v>61</v>
      </c>
      <c r="C6" s="7" t="s">
        <v>39</v>
      </c>
      <c r="D6" s="7" t="s">
        <v>390</v>
      </c>
      <c r="E6" s="7"/>
      <c r="F6" s="7" t="s">
        <v>69</v>
      </c>
      <c r="G6" s="8" t="s">
        <v>70</v>
      </c>
      <c r="H6" s="7" t="s">
        <v>71</v>
      </c>
      <c r="I6" s="7">
        <v>12</v>
      </c>
      <c r="J6" s="7">
        <v>9.6</v>
      </c>
      <c r="K6" s="7">
        <v>14.4</v>
      </c>
      <c r="L6" s="7"/>
      <c r="M6" s="7" t="s">
        <v>31</v>
      </c>
      <c r="N6" s="7"/>
      <c r="O6" s="7" t="s">
        <v>393</v>
      </c>
      <c r="P6" s="7" t="s">
        <v>26</v>
      </c>
      <c r="Q6" s="7" t="s">
        <v>394</v>
      </c>
    </row>
    <row r="7" spans="1:17" ht="16" customHeight="1" x14ac:dyDescent="0.2">
      <c r="A7" s="7" t="s">
        <v>248</v>
      </c>
      <c r="B7" s="7" t="s">
        <v>61</v>
      </c>
      <c r="C7" s="7" t="s">
        <v>39</v>
      </c>
      <c r="D7" s="7" t="s">
        <v>390</v>
      </c>
      <c r="E7" s="7"/>
      <c r="F7" s="7" t="s">
        <v>74</v>
      </c>
      <c r="G7" s="8" t="s">
        <v>75</v>
      </c>
      <c r="H7" s="7" t="s">
        <v>76</v>
      </c>
      <c r="I7" s="7">
        <v>15</v>
      </c>
      <c r="J7" s="7">
        <v>10</v>
      </c>
      <c r="K7" s="7">
        <v>25</v>
      </c>
      <c r="L7" s="7"/>
      <c r="M7" s="7" t="s">
        <v>31</v>
      </c>
      <c r="N7" s="7"/>
      <c r="O7" s="7" t="s">
        <v>395</v>
      </c>
      <c r="P7" s="7" t="s">
        <v>26</v>
      </c>
      <c r="Q7" s="7" t="s">
        <v>396</v>
      </c>
    </row>
    <row r="8" spans="1:17" ht="16" customHeight="1" x14ac:dyDescent="0.2">
      <c r="A8" s="7" t="s">
        <v>248</v>
      </c>
      <c r="B8" s="7" t="s">
        <v>61</v>
      </c>
      <c r="C8" s="7" t="s">
        <v>39</v>
      </c>
      <c r="D8" s="7" t="s">
        <v>390</v>
      </c>
      <c r="E8" s="7"/>
      <c r="F8" s="7" t="s">
        <v>79</v>
      </c>
      <c r="G8" s="8" t="s">
        <v>80</v>
      </c>
      <c r="H8" s="7" t="s">
        <v>81</v>
      </c>
      <c r="I8" s="7">
        <v>50000</v>
      </c>
      <c r="J8" s="7">
        <v>40000</v>
      </c>
      <c r="K8" s="7">
        <v>60000</v>
      </c>
      <c r="L8" s="7"/>
      <c r="M8" s="7" t="s">
        <v>31</v>
      </c>
      <c r="N8" s="7"/>
      <c r="O8" s="7" t="s">
        <v>397</v>
      </c>
      <c r="P8" s="7" t="s">
        <v>26</v>
      </c>
      <c r="Q8" s="7" t="s">
        <v>398</v>
      </c>
    </row>
    <row r="9" spans="1:17" ht="32" customHeight="1" x14ac:dyDescent="0.2">
      <c r="A9" s="7" t="s">
        <v>248</v>
      </c>
      <c r="B9" s="7" t="s">
        <v>61</v>
      </c>
      <c r="C9" s="7" t="s">
        <v>39</v>
      </c>
      <c r="D9" s="7" t="s">
        <v>390</v>
      </c>
      <c r="E9" s="7"/>
      <c r="F9" s="7" t="s">
        <v>84</v>
      </c>
      <c r="G9" s="8" t="s">
        <v>85</v>
      </c>
      <c r="H9" s="7" t="s">
        <v>44</v>
      </c>
      <c r="I9" s="7">
        <v>85</v>
      </c>
      <c r="J9" s="7">
        <v>70</v>
      </c>
      <c r="K9" s="7">
        <v>95</v>
      </c>
      <c r="L9" s="7"/>
      <c r="M9" s="7" t="s">
        <v>31</v>
      </c>
      <c r="N9" s="7"/>
      <c r="O9" s="7" t="s">
        <v>399</v>
      </c>
      <c r="P9" s="7" t="s">
        <v>26</v>
      </c>
      <c r="Q9" s="7" t="s">
        <v>400</v>
      </c>
    </row>
    <row r="10" spans="1:17" ht="16" customHeight="1" x14ac:dyDescent="0.2">
      <c r="A10" s="7" t="s">
        <v>248</v>
      </c>
      <c r="B10" s="7" t="s">
        <v>61</v>
      </c>
      <c r="C10" s="7" t="s">
        <v>39</v>
      </c>
      <c r="D10" s="7" t="s">
        <v>390</v>
      </c>
      <c r="E10" s="7"/>
      <c r="F10" s="7" t="s">
        <v>88</v>
      </c>
      <c r="G10" s="8" t="s">
        <v>89</v>
      </c>
      <c r="H10" s="7" t="s">
        <v>30</v>
      </c>
      <c r="I10" s="7" t="s">
        <v>41</v>
      </c>
      <c r="J10" s="7"/>
      <c r="K10" s="7"/>
      <c r="L10" s="7"/>
      <c r="M10" s="7" t="s">
        <v>90</v>
      </c>
      <c r="N10" s="7" t="s">
        <v>91</v>
      </c>
      <c r="O10" s="7" t="s">
        <v>401</v>
      </c>
      <c r="P10" s="7" t="s">
        <v>26</v>
      </c>
      <c r="Q10" s="7" t="s">
        <v>402</v>
      </c>
    </row>
    <row r="11" spans="1:17" ht="16" customHeight="1" x14ac:dyDescent="0.2">
      <c r="A11" s="7" t="s">
        <v>248</v>
      </c>
      <c r="B11" s="7" t="s">
        <v>61</v>
      </c>
      <c r="C11" s="7" t="s">
        <v>39</v>
      </c>
      <c r="D11" s="7" t="s">
        <v>403</v>
      </c>
      <c r="E11" s="7"/>
      <c r="F11" s="7" t="s">
        <v>63</v>
      </c>
      <c r="G11" s="8" t="s">
        <v>64</v>
      </c>
      <c r="H11" s="7" t="s">
        <v>65</v>
      </c>
      <c r="I11" s="7">
        <v>1500</v>
      </c>
      <c r="J11" s="7">
        <v>1200</v>
      </c>
      <c r="K11" s="7">
        <v>1800</v>
      </c>
      <c r="L11" s="7"/>
      <c r="M11" s="7" t="s">
        <v>31</v>
      </c>
      <c r="N11" s="7"/>
      <c r="O11" s="7" t="s">
        <v>404</v>
      </c>
      <c r="P11" s="7" t="s">
        <v>26</v>
      </c>
      <c r="Q11" s="7" t="s">
        <v>405</v>
      </c>
    </row>
    <row r="12" spans="1:17" ht="16" customHeight="1" x14ac:dyDescent="0.2">
      <c r="A12" s="7" t="s">
        <v>248</v>
      </c>
      <c r="B12" s="7" t="s">
        <v>61</v>
      </c>
      <c r="C12" s="7" t="s">
        <v>39</v>
      </c>
      <c r="D12" s="7" t="s">
        <v>403</v>
      </c>
      <c r="E12" s="7"/>
      <c r="F12" s="7" t="s">
        <v>69</v>
      </c>
      <c r="G12" s="8" t="s">
        <v>70</v>
      </c>
      <c r="H12" s="7" t="s">
        <v>71</v>
      </c>
      <c r="I12" s="7">
        <v>5</v>
      </c>
      <c r="J12" s="7">
        <v>4</v>
      </c>
      <c r="K12" s="7">
        <v>6</v>
      </c>
      <c r="L12" s="7"/>
      <c r="M12" s="7" t="s">
        <v>31</v>
      </c>
      <c r="N12" s="7"/>
      <c r="O12" s="7" t="s">
        <v>406</v>
      </c>
      <c r="P12" s="7" t="s">
        <v>26</v>
      </c>
      <c r="Q12" s="7" t="s">
        <v>398</v>
      </c>
    </row>
    <row r="13" spans="1:17" ht="16" customHeight="1" x14ac:dyDescent="0.2">
      <c r="A13" s="7" t="s">
        <v>248</v>
      </c>
      <c r="B13" s="7" t="s">
        <v>61</v>
      </c>
      <c r="C13" s="7" t="s">
        <v>39</v>
      </c>
      <c r="D13" s="7" t="s">
        <v>403</v>
      </c>
      <c r="E13" s="7"/>
      <c r="F13" s="7" t="s">
        <v>74</v>
      </c>
      <c r="G13" s="8" t="s">
        <v>75</v>
      </c>
      <c r="H13" s="7" t="s">
        <v>76</v>
      </c>
      <c r="I13" s="7">
        <v>6</v>
      </c>
      <c r="J13" s="7">
        <v>4</v>
      </c>
      <c r="K13" s="7">
        <v>9</v>
      </c>
      <c r="L13" s="7"/>
      <c r="M13" s="7" t="s">
        <v>31</v>
      </c>
      <c r="N13" s="7"/>
      <c r="O13" s="7" t="s">
        <v>407</v>
      </c>
      <c r="P13" s="7" t="s">
        <v>26</v>
      </c>
      <c r="Q13" s="7" t="s">
        <v>408</v>
      </c>
    </row>
    <row r="14" spans="1:17" ht="16" customHeight="1" x14ac:dyDescent="0.2">
      <c r="A14" s="7" t="s">
        <v>248</v>
      </c>
      <c r="B14" s="7" t="s">
        <v>61</v>
      </c>
      <c r="C14" s="7" t="s">
        <v>39</v>
      </c>
      <c r="D14" s="7" t="s">
        <v>403</v>
      </c>
      <c r="E14" s="7"/>
      <c r="F14" s="7" t="s">
        <v>79</v>
      </c>
      <c r="G14" s="8" t="s">
        <v>80</v>
      </c>
      <c r="H14" s="7" t="s">
        <v>81</v>
      </c>
      <c r="I14" s="7">
        <v>50000</v>
      </c>
      <c r="J14" s="7">
        <v>40000</v>
      </c>
      <c r="K14" s="7">
        <v>60000</v>
      </c>
      <c r="L14" s="7"/>
      <c r="M14" s="7" t="s">
        <v>31</v>
      </c>
      <c r="N14" s="7"/>
      <c r="O14" s="7" t="s">
        <v>409</v>
      </c>
      <c r="P14" s="7" t="s">
        <v>26</v>
      </c>
      <c r="Q14" s="7" t="s">
        <v>398</v>
      </c>
    </row>
    <row r="15" spans="1:17" ht="32" customHeight="1" x14ac:dyDescent="0.2">
      <c r="A15" s="7" t="s">
        <v>248</v>
      </c>
      <c r="B15" s="7" t="s">
        <v>61</v>
      </c>
      <c r="C15" s="7" t="s">
        <v>39</v>
      </c>
      <c r="D15" s="7" t="s">
        <v>403</v>
      </c>
      <c r="E15" s="7"/>
      <c r="F15" s="7" t="s">
        <v>84</v>
      </c>
      <c r="G15" s="8" t="s">
        <v>85</v>
      </c>
      <c r="H15" s="7" t="s">
        <v>44</v>
      </c>
      <c r="I15" s="7">
        <v>95</v>
      </c>
      <c r="J15" s="7">
        <v>88</v>
      </c>
      <c r="K15" s="7">
        <v>100</v>
      </c>
      <c r="L15" s="7"/>
      <c r="M15" s="7" t="s">
        <v>31</v>
      </c>
      <c r="N15" s="7"/>
      <c r="O15" s="7" t="s">
        <v>410</v>
      </c>
      <c r="P15" s="7" t="s">
        <v>26</v>
      </c>
      <c r="Q15" s="7" t="s">
        <v>133</v>
      </c>
    </row>
    <row r="16" spans="1:17" ht="16" customHeight="1" x14ac:dyDescent="0.2">
      <c r="A16" s="7" t="s">
        <v>248</v>
      </c>
      <c r="B16" s="7" t="s">
        <v>61</v>
      </c>
      <c r="C16" s="7" t="s">
        <v>39</v>
      </c>
      <c r="D16" s="7" t="s">
        <v>403</v>
      </c>
      <c r="E16" s="7"/>
      <c r="F16" s="7" t="s">
        <v>88</v>
      </c>
      <c r="G16" s="8" t="s">
        <v>89</v>
      </c>
      <c r="H16" s="7" t="s">
        <v>30</v>
      </c>
      <c r="I16" s="7" t="s">
        <v>41</v>
      </c>
      <c r="J16" s="7"/>
      <c r="K16" s="7"/>
      <c r="L16" s="7"/>
      <c r="M16" s="7" t="s">
        <v>90</v>
      </c>
      <c r="N16" s="7" t="s">
        <v>91</v>
      </c>
      <c r="O16" s="7" t="s">
        <v>401</v>
      </c>
      <c r="P16" s="7" t="s">
        <v>26</v>
      </c>
      <c r="Q16" s="7" t="s">
        <v>402</v>
      </c>
    </row>
    <row r="17" spans="1:17" ht="16" customHeight="1" x14ac:dyDescent="0.2">
      <c r="A17" s="7" t="s">
        <v>248</v>
      </c>
      <c r="B17" s="7" t="s">
        <v>61</v>
      </c>
      <c r="C17" s="7" t="s">
        <v>39</v>
      </c>
      <c r="D17" s="7" t="s">
        <v>411</v>
      </c>
      <c r="E17" s="7"/>
      <c r="F17" s="7" t="s">
        <v>63</v>
      </c>
      <c r="G17" s="8" t="s">
        <v>64</v>
      </c>
      <c r="H17" s="7" t="s">
        <v>65</v>
      </c>
      <c r="I17" s="7">
        <v>1200</v>
      </c>
      <c r="J17" s="7">
        <v>1000</v>
      </c>
      <c r="K17" s="7">
        <v>1500</v>
      </c>
      <c r="L17" s="7">
        <v>1900</v>
      </c>
      <c r="M17" s="7" t="s">
        <v>31</v>
      </c>
      <c r="N17" s="7"/>
      <c r="O17" s="7" t="s">
        <v>412</v>
      </c>
      <c r="P17" s="7" t="s">
        <v>26</v>
      </c>
      <c r="Q17" s="7" t="s">
        <v>413</v>
      </c>
    </row>
    <row r="18" spans="1:17" ht="16" customHeight="1" x14ac:dyDescent="0.2">
      <c r="A18" s="7" t="s">
        <v>248</v>
      </c>
      <c r="B18" s="7" t="s">
        <v>61</v>
      </c>
      <c r="C18" s="7" t="s">
        <v>39</v>
      </c>
      <c r="D18" s="7" t="s">
        <v>411</v>
      </c>
      <c r="E18" s="7"/>
      <c r="F18" s="7" t="s">
        <v>69</v>
      </c>
      <c r="G18" s="8" t="s">
        <v>70</v>
      </c>
      <c r="H18" s="7" t="s">
        <v>71</v>
      </c>
      <c r="I18" s="7">
        <v>2</v>
      </c>
      <c r="J18" s="7">
        <v>1.5</v>
      </c>
      <c r="K18" s="7">
        <v>3</v>
      </c>
      <c r="L18" s="7">
        <v>3</v>
      </c>
      <c r="M18" s="7" t="s">
        <v>31</v>
      </c>
      <c r="N18" s="7"/>
      <c r="O18" s="7" t="s">
        <v>414</v>
      </c>
      <c r="P18" s="7" t="s">
        <v>26</v>
      </c>
      <c r="Q18" s="7" t="s">
        <v>415</v>
      </c>
    </row>
    <row r="19" spans="1:17" ht="16" customHeight="1" x14ac:dyDescent="0.2">
      <c r="A19" s="7" t="s">
        <v>248</v>
      </c>
      <c r="B19" s="7" t="s">
        <v>61</v>
      </c>
      <c r="C19" s="7" t="s">
        <v>39</v>
      </c>
      <c r="D19" s="7" t="s">
        <v>411</v>
      </c>
      <c r="E19" s="7"/>
      <c r="F19" s="7" t="s">
        <v>74</v>
      </c>
      <c r="G19" s="8" t="s">
        <v>75</v>
      </c>
      <c r="H19" s="7" t="s">
        <v>76</v>
      </c>
      <c r="I19" s="7">
        <v>1.5</v>
      </c>
      <c r="J19" s="7">
        <v>1</v>
      </c>
      <c r="K19" s="7">
        <v>2.5</v>
      </c>
      <c r="L19" s="7">
        <v>5</v>
      </c>
      <c r="M19" s="7" t="s">
        <v>31</v>
      </c>
      <c r="N19" s="7"/>
      <c r="O19" s="7" t="s">
        <v>416</v>
      </c>
      <c r="P19" s="7" t="s">
        <v>26</v>
      </c>
      <c r="Q19" s="7" t="s">
        <v>417</v>
      </c>
    </row>
    <row r="20" spans="1:17" ht="16" customHeight="1" x14ac:dyDescent="0.2">
      <c r="A20" s="7" t="s">
        <v>248</v>
      </c>
      <c r="B20" s="7" t="s">
        <v>61</v>
      </c>
      <c r="C20" s="7" t="s">
        <v>39</v>
      </c>
      <c r="D20" s="7" t="s">
        <v>411</v>
      </c>
      <c r="E20" s="7"/>
      <c r="F20" s="7" t="s">
        <v>79</v>
      </c>
      <c r="G20" s="8" t="s">
        <v>80</v>
      </c>
      <c r="H20" s="7" t="s">
        <v>81</v>
      </c>
      <c r="I20" s="7">
        <v>15000</v>
      </c>
      <c r="J20" s="7">
        <v>8000</v>
      </c>
      <c r="K20" s="7">
        <v>25000</v>
      </c>
      <c r="L20" s="7">
        <v>50000</v>
      </c>
      <c r="M20" s="7" t="s">
        <v>31</v>
      </c>
      <c r="N20" s="7"/>
      <c r="O20" s="7" t="s">
        <v>418</v>
      </c>
      <c r="P20" s="7" t="s">
        <v>26</v>
      </c>
      <c r="Q20" s="7" t="s">
        <v>419</v>
      </c>
    </row>
    <row r="21" spans="1:17" ht="32" customHeight="1" x14ac:dyDescent="0.2">
      <c r="A21" s="7" t="s">
        <v>248</v>
      </c>
      <c r="B21" s="7" t="s">
        <v>61</v>
      </c>
      <c r="C21" s="7" t="s">
        <v>39</v>
      </c>
      <c r="D21" s="7" t="s">
        <v>411</v>
      </c>
      <c r="E21" s="7"/>
      <c r="F21" s="7" t="s">
        <v>84</v>
      </c>
      <c r="G21" s="8" t="s">
        <v>85</v>
      </c>
      <c r="H21" s="7" t="s">
        <v>44</v>
      </c>
      <c r="I21" s="7">
        <v>95</v>
      </c>
      <c r="J21" s="7">
        <v>85</v>
      </c>
      <c r="K21" s="7">
        <v>100</v>
      </c>
      <c r="L21" s="7"/>
      <c r="M21" s="7" t="s">
        <v>31</v>
      </c>
      <c r="N21" s="7"/>
      <c r="O21" s="7" t="s">
        <v>420</v>
      </c>
      <c r="P21" s="7" t="s">
        <v>26</v>
      </c>
      <c r="Q21" s="7" t="s">
        <v>133</v>
      </c>
    </row>
    <row r="22" spans="1:17" ht="16" customHeight="1" x14ac:dyDescent="0.2">
      <c r="A22" s="7" t="s">
        <v>248</v>
      </c>
      <c r="B22" s="7" t="s">
        <v>61</v>
      </c>
      <c r="C22" s="7" t="s">
        <v>39</v>
      </c>
      <c r="D22" s="7" t="s">
        <v>411</v>
      </c>
      <c r="E22" s="7"/>
      <c r="F22" s="7" t="s">
        <v>88</v>
      </c>
      <c r="G22" s="8" t="s">
        <v>89</v>
      </c>
      <c r="H22" s="7" t="s">
        <v>30</v>
      </c>
      <c r="I22" s="7" t="s">
        <v>41</v>
      </c>
      <c r="J22" s="7"/>
      <c r="K22" s="7"/>
      <c r="L22" s="7"/>
      <c r="M22" s="7" t="s">
        <v>90</v>
      </c>
      <c r="N22" s="7" t="s">
        <v>91</v>
      </c>
      <c r="O22" s="7" t="s">
        <v>401</v>
      </c>
      <c r="P22" s="7" t="s">
        <v>26</v>
      </c>
      <c r="Q22" s="7" t="s">
        <v>402</v>
      </c>
    </row>
    <row r="23" spans="1:17" ht="16" customHeight="1" x14ac:dyDescent="0.2">
      <c r="A23" s="7" t="s">
        <v>248</v>
      </c>
      <c r="B23" s="7" t="s">
        <v>61</v>
      </c>
      <c r="C23" s="7" t="s">
        <v>55</v>
      </c>
      <c r="D23" s="7" t="s">
        <v>390</v>
      </c>
      <c r="E23" s="7"/>
      <c r="F23" s="7" t="s">
        <v>63</v>
      </c>
      <c r="G23" s="8" t="s">
        <v>64</v>
      </c>
      <c r="H23" s="7" t="s">
        <v>65</v>
      </c>
      <c r="I23" s="7">
        <v>3000</v>
      </c>
      <c r="J23" s="7">
        <v>2400</v>
      </c>
      <c r="K23" s="7">
        <v>3600</v>
      </c>
      <c r="L23" s="7"/>
      <c r="M23" s="7" t="s">
        <v>31</v>
      </c>
      <c r="N23" s="7"/>
      <c r="O23" s="7" t="s">
        <v>421</v>
      </c>
      <c r="P23" s="7" t="s">
        <v>26</v>
      </c>
      <c r="Q23" s="7" t="s">
        <v>422</v>
      </c>
    </row>
    <row r="24" spans="1:17" ht="16" customHeight="1" x14ac:dyDescent="0.2">
      <c r="A24" s="7" t="s">
        <v>248</v>
      </c>
      <c r="B24" s="7" t="s">
        <v>61</v>
      </c>
      <c r="C24" s="7" t="s">
        <v>55</v>
      </c>
      <c r="D24" s="7" t="s">
        <v>390</v>
      </c>
      <c r="E24" s="7"/>
      <c r="F24" s="7" t="s">
        <v>69</v>
      </c>
      <c r="G24" s="8" t="s">
        <v>70</v>
      </c>
      <c r="H24" s="7" t="s">
        <v>71</v>
      </c>
      <c r="I24" s="7">
        <v>12</v>
      </c>
      <c r="J24" s="7">
        <v>9.6</v>
      </c>
      <c r="K24" s="7">
        <v>14.4</v>
      </c>
      <c r="L24" s="7"/>
      <c r="M24" s="7" t="s">
        <v>31</v>
      </c>
      <c r="N24" s="7"/>
      <c r="O24" s="7" t="s">
        <v>423</v>
      </c>
      <c r="P24" s="7" t="s">
        <v>26</v>
      </c>
      <c r="Q24" s="7" t="s">
        <v>424</v>
      </c>
    </row>
    <row r="25" spans="1:17" ht="16" customHeight="1" x14ac:dyDescent="0.2">
      <c r="A25" s="7" t="s">
        <v>248</v>
      </c>
      <c r="B25" s="7" t="s">
        <v>61</v>
      </c>
      <c r="C25" s="7" t="s">
        <v>55</v>
      </c>
      <c r="D25" s="7" t="s">
        <v>390</v>
      </c>
      <c r="E25" s="7"/>
      <c r="F25" s="7" t="s">
        <v>74</v>
      </c>
      <c r="G25" s="8" t="s">
        <v>75</v>
      </c>
      <c r="H25" s="7" t="s">
        <v>76</v>
      </c>
      <c r="I25" s="7">
        <v>15</v>
      </c>
      <c r="J25" s="7">
        <v>10</v>
      </c>
      <c r="K25" s="7">
        <v>25</v>
      </c>
      <c r="L25" s="7"/>
      <c r="M25" s="7" t="s">
        <v>31</v>
      </c>
      <c r="N25" s="7"/>
      <c r="O25" s="7" t="s">
        <v>425</v>
      </c>
      <c r="P25" s="7" t="s">
        <v>26</v>
      </c>
      <c r="Q25" s="7" t="s">
        <v>426</v>
      </c>
    </row>
    <row r="26" spans="1:17" ht="16" customHeight="1" x14ac:dyDescent="0.2">
      <c r="A26" s="7" t="s">
        <v>248</v>
      </c>
      <c r="B26" s="7" t="s">
        <v>61</v>
      </c>
      <c r="C26" s="7" t="s">
        <v>55</v>
      </c>
      <c r="D26" s="7" t="s">
        <v>390</v>
      </c>
      <c r="E26" s="7"/>
      <c r="F26" s="7" t="s">
        <v>79</v>
      </c>
      <c r="G26" s="8" t="s">
        <v>80</v>
      </c>
      <c r="H26" s="7" t="s">
        <v>81</v>
      </c>
      <c r="I26" s="7">
        <v>50000</v>
      </c>
      <c r="J26" s="7">
        <v>40000</v>
      </c>
      <c r="K26" s="7">
        <v>60000</v>
      </c>
      <c r="L26" s="7"/>
      <c r="M26" s="7" t="s">
        <v>31</v>
      </c>
      <c r="N26" s="7"/>
      <c r="O26" s="7" t="s">
        <v>427</v>
      </c>
      <c r="P26" s="7" t="s">
        <v>26</v>
      </c>
      <c r="Q26" s="7" t="s">
        <v>127</v>
      </c>
    </row>
    <row r="27" spans="1:17" ht="32" customHeight="1" x14ac:dyDescent="0.2">
      <c r="A27" s="7" t="s">
        <v>248</v>
      </c>
      <c r="B27" s="7" t="s">
        <v>61</v>
      </c>
      <c r="C27" s="7" t="s">
        <v>55</v>
      </c>
      <c r="D27" s="7" t="s">
        <v>390</v>
      </c>
      <c r="E27" s="7"/>
      <c r="F27" s="7" t="s">
        <v>84</v>
      </c>
      <c r="G27" s="8" t="s">
        <v>85</v>
      </c>
      <c r="H27" s="7" t="s">
        <v>44</v>
      </c>
      <c r="I27" s="7">
        <v>85</v>
      </c>
      <c r="J27" s="7">
        <v>70</v>
      </c>
      <c r="K27" s="7">
        <v>95</v>
      </c>
      <c r="L27" s="7"/>
      <c r="M27" s="7" t="s">
        <v>31</v>
      </c>
      <c r="N27" s="7"/>
      <c r="O27" s="7" t="s">
        <v>428</v>
      </c>
      <c r="P27" s="7" t="s">
        <v>26</v>
      </c>
      <c r="Q27" s="7" t="s">
        <v>400</v>
      </c>
    </row>
    <row r="28" spans="1:17" ht="16" customHeight="1" x14ac:dyDescent="0.2">
      <c r="A28" s="7" t="s">
        <v>248</v>
      </c>
      <c r="B28" s="7" t="s">
        <v>61</v>
      </c>
      <c r="C28" s="7" t="s">
        <v>55</v>
      </c>
      <c r="D28" s="7" t="s">
        <v>390</v>
      </c>
      <c r="E28" s="7"/>
      <c r="F28" s="7" t="s">
        <v>88</v>
      </c>
      <c r="G28" s="8" t="s">
        <v>89</v>
      </c>
      <c r="H28" s="7" t="s">
        <v>30</v>
      </c>
      <c r="I28" s="7" t="s">
        <v>41</v>
      </c>
      <c r="J28" s="7"/>
      <c r="K28" s="7"/>
      <c r="L28" s="7"/>
      <c r="M28" s="7" t="s">
        <v>90</v>
      </c>
      <c r="N28" s="7" t="s">
        <v>91</v>
      </c>
      <c r="O28" s="7" t="s">
        <v>401</v>
      </c>
      <c r="P28" s="7" t="s">
        <v>26</v>
      </c>
      <c r="Q28" s="7" t="s">
        <v>402</v>
      </c>
    </row>
    <row r="29" spans="1:17" ht="16" customHeight="1" x14ac:dyDescent="0.2">
      <c r="A29" s="7" t="s">
        <v>248</v>
      </c>
      <c r="B29" s="7" t="s">
        <v>61</v>
      </c>
      <c r="C29" s="7" t="s">
        <v>55</v>
      </c>
      <c r="D29" s="7" t="s">
        <v>403</v>
      </c>
      <c r="E29" s="7"/>
      <c r="F29" s="7" t="s">
        <v>63</v>
      </c>
      <c r="G29" s="8" t="s">
        <v>64</v>
      </c>
      <c r="H29" s="7" t="s">
        <v>65</v>
      </c>
      <c r="I29" s="7">
        <v>1500</v>
      </c>
      <c r="J29" s="7">
        <v>1200</v>
      </c>
      <c r="K29" s="7">
        <v>1800</v>
      </c>
      <c r="L29" s="7"/>
      <c r="M29" s="7" t="s">
        <v>31</v>
      </c>
      <c r="N29" s="7"/>
      <c r="O29" s="7" t="s">
        <v>429</v>
      </c>
      <c r="P29" s="7" t="s">
        <v>26</v>
      </c>
      <c r="Q29" s="7" t="s">
        <v>430</v>
      </c>
    </row>
    <row r="30" spans="1:17" ht="16" customHeight="1" x14ac:dyDescent="0.2">
      <c r="A30" s="7" t="s">
        <v>248</v>
      </c>
      <c r="B30" s="7" t="s">
        <v>61</v>
      </c>
      <c r="C30" s="7" t="s">
        <v>55</v>
      </c>
      <c r="D30" s="7" t="s">
        <v>403</v>
      </c>
      <c r="E30" s="7"/>
      <c r="F30" s="7" t="s">
        <v>69</v>
      </c>
      <c r="G30" s="8" t="s">
        <v>70</v>
      </c>
      <c r="H30" s="7" t="s">
        <v>71</v>
      </c>
      <c r="I30" s="7">
        <v>5</v>
      </c>
      <c r="J30" s="7">
        <v>4</v>
      </c>
      <c r="K30" s="7">
        <v>6</v>
      </c>
      <c r="L30" s="7"/>
      <c r="M30" s="7" t="s">
        <v>31</v>
      </c>
      <c r="N30" s="7"/>
      <c r="O30" s="7" t="s">
        <v>431</v>
      </c>
      <c r="P30" s="7" t="s">
        <v>26</v>
      </c>
      <c r="Q30" s="7" t="s">
        <v>127</v>
      </c>
    </row>
    <row r="31" spans="1:17" ht="16" customHeight="1" x14ac:dyDescent="0.2">
      <c r="A31" s="7" t="s">
        <v>248</v>
      </c>
      <c r="B31" s="7" t="s">
        <v>61</v>
      </c>
      <c r="C31" s="7" t="s">
        <v>55</v>
      </c>
      <c r="D31" s="7" t="s">
        <v>403</v>
      </c>
      <c r="E31" s="7"/>
      <c r="F31" s="7" t="s">
        <v>74</v>
      </c>
      <c r="G31" s="8" t="s">
        <v>75</v>
      </c>
      <c r="H31" s="7" t="s">
        <v>76</v>
      </c>
      <c r="I31" s="7">
        <v>6</v>
      </c>
      <c r="J31" s="7">
        <v>4</v>
      </c>
      <c r="K31" s="7">
        <v>9</v>
      </c>
      <c r="L31" s="7"/>
      <c r="M31" s="7" t="s">
        <v>31</v>
      </c>
      <c r="N31" s="7"/>
      <c r="O31" s="7" t="s">
        <v>432</v>
      </c>
      <c r="P31" s="7" t="s">
        <v>26</v>
      </c>
      <c r="Q31" s="7" t="s">
        <v>433</v>
      </c>
    </row>
    <row r="32" spans="1:17" ht="16" customHeight="1" x14ac:dyDescent="0.2">
      <c r="A32" s="7" t="s">
        <v>248</v>
      </c>
      <c r="B32" s="7" t="s">
        <v>61</v>
      </c>
      <c r="C32" s="7" t="s">
        <v>55</v>
      </c>
      <c r="D32" s="7" t="s">
        <v>403</v>
      </c>
      <c r="E32" s="7"/>
      <c r="F32" s="7" t="s">
        <v>79</v>
      </c>
      <c r="G32" s="8" t="s">
        <v>80</v>
      </c>
      <c r="H32" s="7" t="s">
        <v>81</v>
      </c>
      <c r="I32" s="7">
        <v>50000</v>
      </c>
      <c r="J32" s="7">
        <v>40000</v>
      </c>
      <c r="K32" s="7">
        <v>60000</v>
      </c>
      <c r="L32" s="7"/>
      <c r="M32" s="7" t="s">
        <v>31</v>
      </c>
      <c r="N32" s="7"/>
      <c r="O32" s="7" t="s">
        <v>434</v>
      </c>
      <c r="P32" s="7" t="s">
        <v>26</v>
      </c>
      <c r="Q32" s="7" t="s">
        <v>127</v>
      </c>
    </row>
    <row r="33" spans="1:17" ht="32" customHeight="1" x14ac:dyDescent="0.2">
      <c r="A33" s="7" t="s">
        <v>248</v>
      </c>
      <c r="B33" s="7" t="s">
        <v>61</v>
      </c>
      <c r="C33" s="7" t="s">
        <v>55</v>
      </c>
      <c r="D33" s="7" t="s">
        <v>403</v>
      </c>
      <c r="E33" s="7"/>
      <c r="F33" s="7" t="s">
        <v>84</v>
      </c>
      <c r="G33" s="8" t="s">
        <v>85</v>
      </c>
      <c r="H33" s="7" t="s">
        <v>44</v>
      </c>
      <c r="I33" s="7">
        <v>95</v>
      </c>
      <c r="J33" s="7">
        <v>88</v>
      </c>
      <c r="K33" s="7">
        <v>100</v>
      </c>
      <c r="L33" s="7"/>
      <c r="M33" s="7" t="s">
        <v>31</v>
      </c>
      <c r="N33" s="7"/>
      <c r="O33" s="7" t="s">
        <v>435</v>
      </c>
      <c r="P33" s="7" t="s">
        <v>26</v>
      </c>
      <c r="Q33" s="7" t="s">
        <v>133</v>
      </c>
    </row>
    <row r="34" spans="1:17" ht="16" customHeight="1" x14ac:dyDescent="0.2">
      <c r="A34" s="7" t="s">
        <v>248</v>
      </c>
      <c r="B34" s="7" t="s">
        <v>61</v>
      </c>
      <c r="C34" s="7" t="s">
        <v>55</v>
      </c>
      <c r="D34" s="7" t="s">
        <v>403</v>
      </c>
      <c r="E34" s="7"/>
      <c r="F34" s="7" t="s">
        <v>88</v>
      </c>
      <c r="G34" s="8" t="s">
        <v>89</v>
      </c>
      <c r="H34" s="7" t="s">
        <v>30</v>
      </c>
      <c r="I34" s="7" t="s">
        <v>41</v>
      </c>
      <c r="J34" s="7"/>
      <c r="K34" s="7"/>
      <c r="L34" s="7"/>
      <c r="M34" s="7" t="s">
        <v>90</v>
      </c>
      <c r="N34" s="7" t="s">
        <v>91</v>
      </c>
      <c r="O34" s="7" t="s">
        <v>401</v>
      </c>
      <c r="P34" s="7" t="s">
        <v>26</v>
      </c>
      <c r="Q34" s="7" t="s">
        <v>402</v>
      </c>
    </row>
    <row r="35" spans="1:17" ht="16" customHeight="1" x14ac:dyDescent="0.2">
      <c r="A35" s="7" t="s">
        <v>248</v>
      </c>
      <c r="B35" s="7" t="s">
        <v>61</v>
      </c>
      <c r="C35" s="7" t="s">
        <v>55</v>
      </c>
      <c r="D35" s="7" t="s">
        <v>411</v>
      </c>
      <c r="E35" s="7"/>
      <c r="F35" s="7" t="s">
        <v>63</v>
      </c>
      <c r="G35" s="8" t="s">
        <v>64</v>
      </c>
      <c r="H35" s="7" t="s">
        <v>65</v>
      </c>
      <c r="I35" s="7">
        <v>1200</v>
      </c>
      <c r="J35" s="7">
        <v>1000</v>
      </c>
      <c r="K35" s="7">
        <v>1500</v>
      </c>
      <c r="L35" s="7"/>
      <c r="M35" s="7" t="s">
        <v>31</v>
      </c>
      <c r="N35" s="7"/>
      <c r="O35" s="7" t="s">
        <v>436</v>
      </c>
      <c r="P35" s="7" t="s">
        <v>26</v>
      </c>
      <c r="Q35" s="7" t="s">
        <v>437</v>
      </c>
    </row>
    <row r="36" spans="1:17" ht="16" customHeight="1" x14ac:dyDescent="0.2">
      <c r="A36" s="7" t="s">
        <v>248</v>
      </c>
      <c r="B36" s="7" t="s">
        <v>61</v>
      </c>
      <c r="C36" s="7" t="s">
        <v>55</v>
      </c>
      <c r="D36" s="7" t="s">
        <v>411</v>
      </c>
      <c r="E36" s="7"/>
      <c r="F36" s="7" t="s">
        <v>69</v>
      </c>
      <c r="G36" s="8" t="s">
        <v>70</v>
      </c>
      <c r="H36" s="7" t="s">
        <v>71</v>
      </c>
      <c r="I36" s="7">
        <v>2</v>
      </c>
      <c r="J36" s="7">
        <v>1.5</v>
      </c>
      <c r="K36" s="7">
        <v>3</v>
      </c>
      <c r="L36" s="7"/>
      <c r="M36" s="7" t="s">
        <v>31</v>
      </c>
      <c r="N36" s="7"/>
      <c r="O36" s="7" t="s">
        <v>438</v>
      </c>
      <c r="P36" s="7" t="s">
        <v>26</v>
      </c>
      <c r="Q36" s="7" t="s">
        <v>439</v>
      </c>
    </row>
    <row r="37" spans="1:17" ht="16" customHeight="1" x14ac:dyDescent="0.2">
      <c r="A37" s="7" t="s">
        <v>248</v>
      </c>
      <c r="B37" s="7" t="s">
        <v>61</v>
      </c>
      <c r="C37" s="7" t="s">
        <v>55</v>
      </c>
      <c r="D37" s="7" t="s">
        <v>411</v>
      </c>
      <c r="E37" s="7"/>
      <c r="F37" s="7" t="s">
        <v>74</v>
      </c>
      <c r="G37" s="8" t="s">
        <v>75</v>
      </c>
      <c r="H37" s="7" t="s">
        <v>76</v>
      </c>
      <c r="I37" s="7">
        <v>1.5</v>
      </c>
      <c r="J37" s="7">
        <v>1</v>
      </c>
      <c r="K37" s="7">
        <v>2.5</v>
      </c>
      <c r="L37" s="7"/>
      <c r="M37" s="7" t="s">
        <v>31</v>
      </c>
      <c r="N37" s="7"/>
      <c r="O37" s="7" t="s">
        <v>440</v>
      </c>
      <c r="P37" s="7" t="s">
        <v>26</v>
      </c>
      <c r="Q37" s="7" t="s">
        <v>441</v>
      </c>
    </row>
    <row r="38" spans="1:17" ht="16" customHeight="1" x14ac:dyDescent="0.2">
      <c r="A38" s="7" t="s">
        <v>248</v>
      </c>
      <c r="B38" s="7" t="s">
        <v>61</v>
      </c>
      <c r="C38" s="7" t="s">
        <v>55</v>
      </c>
      <c r="D38" s="7" t="s">
        <v>411</v>
      </c>
      <c r="E38" s="7"/>
      <c r="F38" s="7" t="s">
        <v>79</v>
      </c>
      <c r="G38" s="8" t="s">
        <v>80</v>
      </c>
      <c r="H38" s="7" t="s">
        <v>81</v>
      </c>
      <c r="I38" s="7">
        <v>15000</v>
      </c>
      <c r="J38" s="7">
        <v>8000</v>
      </c>
      <c r="K38" s="7">
        <v>25000</v>
      </c>
      <c r="L38" s="7"/>
      <c r="M38" s="7" t="s">
        <v>31</v>
      </c>
      <c r="N38" s="7"/>
      <c r="O38" s="7" t="s">
        <v>442</v>
      </c>
      <c r="P38" s="7" t="s">
        <v>26</v>
      </c>
      <c r="Q38" s="7" t="s">
        <v>443</v>
      </c>
    </row>
    <row r="39" spans="1:17" ht="32" customHeight="1" x14ac:dyDescent="0.2">
      <c r="A39" s="7" t="s">
        <v>248</v>
      </c>
      <c r="B39" s="7" t="s">
        <v>61</v>
      </c>
      <c r="C39" s="7" t="s">
        <v>55</v>
      </c>
      <c r="D39" s="7" t="s">
        <v>411</v>
      </c>
      <c r="E39" s="7"/>
      <c r="F39" s="7" t="s">
        <v>84</v>
      </c>
      <c r="G39" s="8" t="s">
        <v>85</v>
      </c>
      <c r="H39" s="7" t="s">
        <v>44</v>
      </c>
      <c r="I39" s="7">
        <v>95</v>
      </c>
      <c r="J39" s="7">
        <v>85</v>
      </c>
      <c r="K39" s="7">
        <v>100</v>
      </c>
      <c r="L39" s="7"/>
      <c r="M39" s="7" t="s">
        <v>31</v>
      </c>
      <c r="N39" s="7"/>
      <c r="O39" s="7" t="s">
        <v>444</v>
      </c>
      <c r="P39" s="7" t="s">
        <v>26</v>
      </c>
      <c r="Q39" s="7" t="s">
        <v>133</v>
      </c>
    </row>
    <row r="40" spans="1:17" ht="16" customHeight="1" x14ac:dyDescent="0.2">
      <c r="A40" s="7" t="s">
        <v>248</v>
      </c>
      <c r="B40" s="7" t="s">
        <v>61</v>
      </c>
      <c r="C40" s="7" t="s">
        <v>55</v>
      </c>
      <c r="D40" s="7" t="s">
        <v>411</v>
      </c>
      <c r="E40" s="7"/>
      <c r="F40" s="7" t="s">
        <v>88</v>
      </c>
      <c r="G40" s="8" t="s">
        <v>89</v>
      </c>
      <c r="H40" s="7" t="s">
        <v>30</v>
      </c>
      <c r="I40" s="7" t="s">
        <v>41</v>
      </c>
      <c r="J40" s="7"/>
      <c r="K40" s="7"/>
      <c r="L40" s="7"/>
      <c r="M40" s="7" t="s">
        <v>90</v>
      </c>
      <c r="N40" s="7" t="s">
        <v>91</v>
      </c>
      <c r="O40" s="7" t="s">
        <v>401</v>
      </c>
      <c r="P40" s="7" t="s">
        <v>26</v>
      </c>
      <c r="Q40" s="7" t="s">
        <v>402</v>
      </c>
    </row>
    <row r="41" spans="1:17" ht="16" customHeight="1" x14ac:dyDescent="0.2">
      <c r="A41" s="7" t="s">
        <v>248</v>
      </c>
      <c r="B41" s="7" t="s">
        <v>142</v>
      </c>
      <c r="C41" s="7" t="s">
        <v>143</v>
      </c>
      <c r="D41" s="7" t="s">
        <v>20</v>
      </c>
      <c r="E41" s="7"/>
      <c r="F41" s="7" t="s">
        <v>144</v>
      </c>
      <c r="G41" s="8" t="s">
        <v>145</v>
      </c>
      <c r="H41" s="7" t="s">
        <v>146</v>
      </c>
      <c r="I41" s="7">
        <v>15</v>
      </c>
      <c r="J41" s="7">
        <v>8</v>
      </c>
      <c r="K41" s="7">
        <v>20</v>
      </c>
      <c r="L41" s="7"/>
      <c r="M41" s="7" t="s">
        <v>31</v>
      </c>
      <c r="N41" s="7"/>
      <c r="O41" s="7" t="s">
        <v>445</v>
      </c>
      <c r="P41" s="7" t="s">
        <v>26</v>
      </c>
      <c r="Q41" s="7" t="s">
        <v>446</v>
      </c>
    </row>
    <row r="42" spans="1:17" ht="16" customHeight="1" x14ac:dyDescent="0.2">
      <c r="A42" s="7" t="s">
        <v>248</v>
      </c>
      <c r="B42" s="7" t="s">
        <v>142</v>
      </c>
      <c r="C42" s="7" t="s">
        <v>143</v>
      </c>
      <c r="D42" s="7" t="s">
        <v>20</v>
      </c>
      <c r="E42" s="7"/>
      <c r="F42" s="7" t="s">
        <v>149</v>
      </c>
      <c r="G42" s="8" t="s">
        <v>150</v>
      </c>
      <c r="H42" s="7" t="s">
        <v>146</v>
      </c>
      <c r="I42" s="7">
        <v>7.5</v>
      </c>
      <c r="J42" s="7">
        <v>5</v>
      </c>
      <c r="K42" s="7">
        <v>10</v>
      </c>
      <c r="L42" s="7"/>
      <c r="M42" s="7" t="s">
        <v>31</v>
      </c>
      <c r="N42" s="7"/>
      <c r="O42" s="7" t="s">
        <v>447</v>
      </c>
      <c r="P42" s="7" t="s">
        <v>26</v>
      </c>
      <c r="Q42" s="7" t="s">
        <v>448</v>
      </c>
    </row>
    <row r="43" spans="1:17" ht="16" customHeight="1" x14ac:dyDescent="0.2">
      <c r="A43" s="7" t="s">
        <v>248</v>
      </c>
      <c r="B43" s="7" t="s">
        <v>142</v>
      </c>
      <c r="C43" s="7" t="s">
        <v>55</v>
      </c>
      <c r="D43" s="7" t="s">
        <v>152</v>
      </c>
      <c r="E43" s="7"/>
      <c r="F43" s="7" t="s">
        <v>153</v>
      </c>
      <c r="G43" s="8" t="s">
        <v>154</v>
      </c>
      <c r="H43" s="7" t="s">
        <v>44</v>
      </c>
      <c r="I43" s="7">
        <v>10</v>
      </c>
      <c r="J43" s="7">
        <v>5</v>
      </c>
      <c r="K43" s="7">
        <v>15</v>
      </c>
      <c r="L43" s="7"/>
      <c r="M43" s="7" t="s">
        <v>31</v>
      </c>
      <c r="N43" s="7"/>
      <c r="O43" s="7" t="s">
        <v>449</v>
      </c>
      <c r="P43" s="7" t="s">
        <v>26</v>
      </c>
      <c r="Q43" s="7" t="s">
        <v>450</v>
      </c>
    </row>
    <row r="44" spans="1:17" ht="16" customHeight="1" x14ac:dyDescent="0.2">
      <c r="A44" s="7" t="s">
        <v>248</v>
      </c>
      <c r="B44" s="7" t="s">
        <v>142</v>
      </c>
      <c r="C44" s="7" t="s">
        <v>156</v>
      </c>
      <c r="D44" s="7" t="s">
        <v>157</v>
      </c>
      <c r="E44" s="7" t="s">
        <v>158</v>
      </c>
      <c r="F44" s="7" t="s">
        <v>159</v>
      </c>
      <c r="G44" s="8" t="s">
        <v>160</v>
      </c>
      <c r="H44" s="7" t="s">
        <v>44</v>
      </c>
      <c r="I44" s="7">
        <v>0</v>
      </c>
      <c r="J44" s="7">
        <v>0</v>
      </c>
      <c r="K44" s="7">
        <v>0</v>
      </c>
      <c r="L44" s="7">
        <v>0</v>
      </c>
      <c r="M44" s="7" t="s">
        <v>24</v>
      </c>
      <c r="N44" s="7"/>
      <c r="O44" s="7" t="s">
        <v>451</v>
      </c>
      <c r="P44" s="7" t="s">
        <v>26</v>
      </c>
      <c r="Q44" s="7" t="s">
        <v>452</v>
      </c>
    </row>
    <row r="45" spans="1:17" ht="32" customHeight="1" x14ac:dyDescent="0.2">
      <c r="A45" s="7" t="s">
        <v>248</v>
      </c>
      <c r="B45" s="7" t="s">
        <v>142</v>
      </c>
      <c r="C45" s="7" t="s">
        <v>156</v>
      </c>
      <c r="D45" s="7" t="s">
        <v>157</v>
      </c>
      <c r="E45" s="7" t="s">
        <v>163</v>
      </c>
      <c r="F45" s="7" t="s">
        <v>159</v>
      </c>
      <c r="G45" s="8" t="s">
        <v>164</v>
      </c>
      <c r="H45" s="7" t="s">
        <v>44</v>
      </c>
      <c r="I45" s="7">
        <v>25</v>
      </c>
      <c r="J45" s="7">
        <v>10</v>
      </c>
      <c r="K45" s="7">
        <v>40</v>
      </c>
      <c r="L45" s="7">
        <v>35</v>
      </c>
      <c r="M45" s="7" t="s">
        <v>31</v>
      </c>
      <c r="N45" s="7"/>
      <c r="O45" s="7" t="s">
        <v>451</v>
      </c>
      <c r="P45" s="7" t="s">
        <v>26</v>
      </c>
      <c r="Q45" s="7" t="s">
        <v>453</v>
      </c>
    </row>
    <row r="46" spans="1:17" ht="32" customHeight="1" x14ac:dyDescent="0.2">
      <c r="A46" s="7" t="s">
        <v>248</v>
      </c>
      <c r="B46" s="7" t="s">
        <v>142</v>
      </c>
      <c r="C46" s="7" t="s">
        <v>156</v>
      </c>
      <c r="D46" s="7" t="s">
        <v>157</v>
      </c>
      <c r="E46" s="7" t="s">
        <v>166</v>
      </c>
      <c r="F46" s="7" t="s">
        <v>159</v>
      </c>
      <c r="G46" s="8" t="s">
        <v>167</v>
      </c>
      <c r="H46" s="7" t="s">
        <v>44</v>
      </c>
      <c r="I46" s="7">
        <v>2</v>
      </c>
      <c r="J46" s="7">
        <v>0</v>
      </c>
      <c r="K46" s="7">
        <v>10</v>
      </c>
      <c r="L46" s="7">
        <v>25</v>
      </c>
      <c r="M46" s="7" t="s">
        <v>31</v>
      </c>
      <c r="N46" s="7"/>
      <c r="O46" s="7" t="s">
        <v>451</v>
      </c>
      <c r="P46" s="7" t="s">
        <v>26</v>
      </c>
      <c r="Q46" s="7" t="s">
        <v>454</v>
      </c>
    </row>
    <row r="47" spans="1:17" ht="32" customHeight="1" x14ac:dyDescent="0.2">
      <c r="A47" s="7" t="s">
        <v>248</v>
      </c>
      <c r="B47" s="7" t="s">
        <v>142</v>
      </c>
      <c r="C47" s="7" t="s">
        <v>156</v>
      </c>
      <c r="D47" s="7" t="s">
        <v>157</v>
      </c>
      <c r="E47" s="7" t="s">
        <v>169</v>
      </c>
      <c r="F47" s="7" t="s">
        <v>159</v>
      </c>
      <c r="G47" s="8" t="s">
        <v>170</v>
      </c>
      <c r="H47" s="7" t="s">
        <v>44</v>
      </c>
      <c r="I47" s="7">
        <v>40</v>
      </c>
      <c r="J47" s="7">
        <v>25</v>
      </c>
      <c r="K47" s="7">
        <v>55</v>
      </c>
      <c r="L47" s="7">
        <v>30</v>
      </c>
      <c r="M47" s="7" t="s">
        <v>31</v>
      </c>
      <c r="N47" s="7"/>
      <c r="O47" s="7" t="s">
        <v>451</v>
      </c>
      <c r="P47" s="7" t="s">
        <v>26</v>
      </c>
      <c r="Q47" s="7" t="s">
        <v>455</v>
      </c>
    </row>
    <row r="48" spans="1:17" ht="32" customHeight="1" x14ac:dyDescent="0.2">
      <c r="A48" s="7" t="s">
        <v>248</v>
      </c>
      <c r="B48" s="7" t="s">
        <v>142</v>
      </c>
      <c r="C48" s="7" t="s">
        <v>156</v>
      </c>
      <c r="D48" s="7" t="s">
        <v>157</v>
      </c>
      <c r="E48" s="7" t="s">
        <v>172</v>
      </c>
      <c r="F48" s="7" t="s">
        <v>159</v>
      </c>
      <c r="G48" s="8" t="s">
        <v>173</v>
      </c>
      <c r="H48" s="7" t="s">
        <v>44</v>
      </c>
      <c r="I48" s="7">
        <v>33</v>
      </c>
      <c r="J48" s="7">
        <v>15</v>
      </c>
      <c r="K48" s="7">
        <v>45</v>
      </c>
      <c r="L48" s="7">
        <v>10</v>
      </c>
      <c r="M48" s="7" t="s">
        <v>31</v>
      </c>
      <c r="N48" s="7"/>
      <c r="O48" s="7" t="s">
        <v>451</v>
      </c>
      <c r="P48" s="7" t="s">
        <v>26</v>
      </c>
      <c r="Q48" s="7" t="s">
        <v>456</v>
      </c>
    </row>
    <row r="49" spans="1:17" ht="32" customHeight="1" x14ac:dyDescent="0.2">
      <c r="A49" s="7" t="s">
        <v>248</v>
      </c>
      <c r="B49" s="7" t="s">
        <v>175</v>
      </c>
      <c r="C49" s="7" t="s">
        <v>176</v>
      </c>
      <c r="D49" s="7" t="s">
        <v>20</v>
      </c>
      <c r="E49" s="7"/>
      <c r="F49" s="7" t="s">
        <v>175</v>
      </c>
      <c r="G49" s="8" t="s">
        <v>177</v>
      </c>
      <c r="H49" s="7" t="s">
        <v>178</v>
      </c>
      <c r="I49" s="7" t="s">
        <v>179</v>
      </c>
      <c r="J49" s="7"/>
      <c r="K49" s="7"/>
      <c r="L49" s="7"/>
      <c r="M49" s="7" t="s">
        <v>90</v>
      </c>
      <c r="N49" s="7"/>
      <c r="O49" s="7" t="s">
        <v>180</v>
      </c>
      <c r="P49" s="7" t="s">
        <v>26</v>
      </c>
      <c r="Q49" s="7" t="s">
        <v>457</v>
      </c>
    </row>
    <row r="50" spans="1:17" ht="32" customHeight="1" x14ac:dyDescent="0.2"/>
  </sheetData>
  <conditionalFormatting sqref="I2:I256">
    <cfRule type="expression" dxfId="5" priority="3">
      <formula>AND($F2&lt;&gt;"",$I2="")</formula>
    </cfRule>
  </conditionalFormatting>
  <conditionalFormatting sqref="I2:P256">
    <cfRule type="expression" dxfId="4" priority="1">
      <formula>$P2="placeholder"</formula>
    </cfRule>
  </conditionalFormatting>
  <conditionalFormatting sqref="J2:K256">
    <cfRule type="expression" dxfId="3" priority="2">
      <formula>AND(OR($M2="triangular",$M2="uniform"),OR($J2="",$K2=""))</formula>
    </cfRule>
  </conditionalFormatting>
  <dataValidations count="4">
    <dataValidation type="list" allowBlank="1" showErrorMessage="1" sqref="B2:B256" xr:uid="{00000000-0002-0000-0800-000000000000}">
      <formula1>"design,manufacturing,circularity,location"</formula1>
    </dataValidation>
    <dataValidation type="list" allowBlank="1" showErrorMessage="1" sqref="C2:C256" xr:uid="{00000000-0002-0000-0800-000001000000}">
      <formula1>"product size,production,repair,use,end-of-life,general"</formula1>
    </dataValidation>
    <dataValidation type="list" allowBlank="1" showErrorMessage="1" sqref="M2:M256" xr:uid="{00000000-0002-0000-0800-000002000000}">
      <formula1>"fixed,triangular,uniform,choice"</formula1>
    </dataValidation>
    <dataValidation type="list" allowBlank="1" showErrorMessage="1" sqref="P2:P256" xr:uid="{00000000-0002-0000-0800-000003000000}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6A5AF"/>
  </sheetPr>
  <dimension ref="A1:Q4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G24" sqref="G24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235</v>
      </c>
      <c r="B2" s="7" t="s">
        <v>18</v>
      </c>
      <c r="C2" s="7" t="s">
        <v>19</v>
      </c>
      <c r="D2" s="7" t="s">
        <v>20</v>
      </c>
      <c r="E2" s="7"/>
      <c r="F2" s="7" t="s">
        <v>360</v>
      </c>
      <c r="G2" s="7" t="s">
        <v>361</v>
      </c>
      <c r="H2" s="7" t="s">
        <v>30</v>
      </c>
      <c r="I2" s="7">
        <v>20</v>
      </c>
      <c r="J2" s="7">
        <v>16</v>
      </c>
      <c r="K2" s="7">
        <v>24</v>
      </c>
      <c r="L2" s="7"/>
      <c r="M2" s="7" t="s">
        <v>31</v>
      </c>
      <c r="N2" s="7"/>
      <c r="O2" s="7" t="s">
        <v>362</v>
      </c>
      <c r="P2" s="7" t="s">
        <v>363</v>
      </c>
      <c r="Q2" s="7"/>
    </row>
    <row r="3" spans="1:17" ht="16" customHeight="1" x14ac:dyDescent="0.2">
      <c r="A3" s="7" t="s">
        <v>235</v>
      </c>
      <c r="B3" s="7" t="s">
        <v>18</v>
      </c>
      <c r="C3" s="7" t="s">
        <v>19</v>
      </c>
      <c r="D3" s="7" t="s">
        <v>20</v>
      </c>
      <c r="E3" s="7"/>
      <c r="F3" s="7" t="s">
        <v>364</v>
      </c>
      <c r="G3" s="7" t="s">
        <v>365</v>
      </c>
      <c r="H3" s="7" t="s">
        <v>30</v>
      </c>
      <c r="I3" s="7">
        <v>3</v>
      </c>
      <c r="J3" s="7">
        <v>2.4</v>
      </c>
      <c r="K3" s="7">
        <v>3.6</v>
      </c>
      <c r="L3" s="7"/>
      <c r="M3" s="7" t="s">
        <v>31</v>
      </c>
      <c r="N3" s="7"/>
      <c r="O3" s="7" t="s">
        <v>362</v>
      </c>
      <c r="P3" s="7" t="s">
        <v>363</v>
      </c>
      <c r="Q3" s="7"/>
    </row>
    <row r="4" spans="1:17" ht="16" customHeight="1" x14ac:dyDescent="0.2">
      <c r="A4" s="7" t="s">
        <v>235</v>
      </c>
      <c r="B4" s="7" t="s">
        <v>18</v>
      </c>
      <c r="C4" s="7" t="s">
        <v>19</v>
      </c>
      <c r="D4" s="7" t="s">
        <v>20</v>
      </c>
      <c r="E4" s="7"/>
      <c r="F4" s="7" t="s">
        <v>34</v>
      </c>
      <c r="G4" s="7" t="s">
        <v>366</v>
      </c>
      <c r="H4" s="7" t="s">
        <v>36</v>
      </c>
      <c r="I4" s="7">
        <v>480</v>
      </c>
      <c r="J4" s="7">
        <v>384</v>
      </c>
      <c r="K4" s="7">
        <v>576</v>
      </c>
      <c r="L4" s="7"/>
      <c r="M4" s="7" t="s">
        <v>31</v>
      </c>
      <c r="N4" s="7"/>
      <c r="O4" s="7" t="s">
        <v>362</v>
      </c>
      <c r="P4" s="7" t="s">
        <v>363</v>
      </c>
      <c r="Q4" s="7"/>
    </row>
    <row r="5" spans="1:17" ht="32" customHeight="1" x14ac:dyDescent="0.2">
      <c r="A5" s="7" t="s">
        <v>235</v>
      </c>
      <c r="B5" s="7" t="s">
        <v>18</v>
      </c>
      <c r="C5" s="7" t="s">
        <v>39</v>
      </c>
      <c r="D5" s="7" t="s">
        <v>367</v>
      </c>
      <c r="E5" s="7" t="s">
        <v>368</v>
      </c>
      <c r="F5" s="7" t="s">
        <v>42</v>
      </c>
      <c r="G5" s="8" t="s">
        <v>369</v>
      </c>
      <c r="H5" s="7" t="s">
        <v>44</v>
      </c>
      <c r="I5" s="7">
        <v>100</v>
      </c>
      <c r="J5" s="7">
        <v>80</v>
      </c>
      <c r="K5" s="7">
        <v>100</v>
      </c>
      <c r="L5" s="7"/>
      <c r="M5" s="7" t="s">
        <v>31</v>
      </c>
      <c r="N5" s="7"/>
      <c r="O5" s="7"/>
      <c r="P5" s="7" t="s">
        <v>363</v>
      </c>
      <c r="Q5" s="7"/>
    </row>
    <row r="6" spans="1:17" ht="32" customHeight="1" x14ac:dyDescent="0.2">
      <c r="A6" s="7" t="s">
        <v>235</v>
      </c>
      <c r="B6" s="7" t="s">
        <v>18</v>
      </c>
      <c r="C6" s="7" t="s">
        <v>55</v>
      </c>
      <c r="D6" s="7" t="s">
        <v>367</v>
      </c>
      <c r="E6" s="7" t="s">
        <v>368</v>
      </c>
      <c r="F6" s="7" t="s">
        <v>42</v>
      </c>
      <c r="G6" s="8" t="s">
        <v>370</v>
      </c>
      <c r="H6" s="7" t="s">
        <v>44</v>
      </c>
      <c r="I6" s="7">
        <v>100</v>
      </c>
      <c r="J6" s="7">
        <v>80</v>
      </c>
      <c r="K6" s="7">
        <v>100</v>
      </c>
      <c r="L6" s="7"/>
      <c r="M6" s="7" t="s">
        <v>31</v>
      </c>
      <c r="N6" s="7"/>
      <c r="O6" s="7"/>
      <c r="P6" s="7" t="s">
        <v>363</v>
      </c>
      <c r="Q6" s="7"/>
    </row>
    <row r="7" spans="1:17" ht="16" customHeight="1" x14ac:dyDescent="0.2">
      <c r="A7" s="7" t="s">
        <v>235</v>
      </c>
      <c r="B7" s="7" t="s">
        <v>61</v>
      </c>
      <c r="C7" s="7" t="s">
        <v>39</v>
      </c>
      <c r="D7" s="7" t="s">
        <v>371</v>
      </c>
      <c r="E7" s="7"/>
      <c r="F7" s="7" t="s">
        <v>63</v>
      </c>
      <c r="G7" s="8" t="s">
        <v>64</v>
      </c>
      <c r="H7" s="7" t="s">
        <v>65</v>
      </c>
      <c r="I7" s="7">
        <v>2000</v>
      </c>
      <c r="J7" s="7">
        <v>1600</v>
      </c>
      <c r="K7" s="7">
        <v>2400</v>
      </c>
      <c r="L7" s="7"/>
      <c r="M7" s="7" t="s">
        <v>31</v>
      </c>
      <c r="N7" s="7"/>
      <c r="O7" s="7" t="s">
        <v>372</v>
      </c>
      <c r="P7" s="7" t="s">
        <v>363</v>
      </c>
      <c r="Q7" s="7"/>
    </row>
    <row r="8" spans="1:17" ht="16" customHeight="1" x14ac:dyDescent="0.2">
      <c r="A8" s="7" t="s">
        <v>235</v>
      </c>
      <c r="B8" s="7" t="s">
        <v>61</v>
      </c>
      <c r="C8" s="7" t="s">
        <v>39</v>
      </c>
      <c r="D8" s="7" t="s">
        <v>371</v>
      </c>
      <c r="E8" s="7"/>
      <c r="F8" s="7" t="s">
        <v>69</v>
      </c>
      <c r="G8" s="8" t="s">
        <v>70</v>
      </c>
      <c r="H8" s="7" t="s">
        <v>71</v>
      </c>
      <c r="I8" s="7">
        <v>10</v>
      </c>
      <c r="J8" s="7">
        <v>8</v>
      </c>
      <c r="K8" s="7">
        <v>12</v>
      </c>
      <c r="L8" s="7"/>
      <c r="M8" s="7" t="s">
        <v>31</v>
      </c>
      <c r="N8" s="7"/>
      <c r="O8" s="7" t="s">
        <v>372</v>
      </c>
      <c r="P8" s="7" t="s">
        <v>363</v>
      </c>
      <c r="Q8" s="7"/>
    </row>
    <row r="9" spans="1:17" ht="16" customHeight="1" x14ac:dyDescent="0.2">
      <c r="A9" s="7" t="s">
        <v>235</v>
      </c>
      <c r="B9" s="7" t="s">
        <v>61</v>
      </c>
      <c r="C9" s="7" t="s">
        <v>39</v>
      </c>
      <c r="D9" s="7" t="s">
        <v>371</v>
      </c>
      <c r="E9" s="7"/>
      <c r="F9" s="7" t="s">
        <v>74</v>
      </c>
      <c r="G9" s="8" t="s">
        <v>75</v>
      </c>
      <c r="H9" s="7" t="s">
        <v>76</v>
      </c>
      <c r="I9" s="7">
        <v>600</v>
      </c>
      <c r="J9" s="7">
        <v>480</v>
      </c>
      <c r="K9" s="7">
        <v>720</v>
      </c>
      <c r="L9" s="7"/>
      <c r="M9" s="7" t="s">
        <v>31</v>
      </c>
      <c r="N9" s="7"/>
      <c r="O9" s="7" t="s">
        <v>372</v>
      </c>
      <c r="P9" s="7" t="s">
        <v>363</v>
      </c>
      <c r="Q9" s="7"/>
    </row>
    <row r="10" spans="1:17" ht="16" customHeight="1" x14ac:dyDescent="0.2">
      <c r="A10" s="7" t="s">
        <v>235</v>
      </c>
      <c r="B10" s="7" t="s">
        <v>61</v>
      </c>
      <c r="C10" s="7" t="s">
        <v>39</v>
      </c>
      <c r="D10" s="7" t="s">
        <v>371</v>
      </c>
      <c r="E10" s="7"/>
      <c r="F10" s="7" t="s">
        <v>79</v>
      </c>
      <c r="G10" s="8" t="s">
        <v>80</v>
      </c>
      <c r="H10" s="7" t="s">
        <v>81</v>
      </c>
      <c r="I10" s="7">
        <v>40000</v>
      </c>
      <c r="J10" s="7">
        <v>32000</v>
      </c>
      <c r="K10" s="7">
        <v>48000</v>
      </c>
      <c r="L10" s="7"/>
      <c r="M10" s="7" t="s">
        <v>31</v>
      </c>
      <c r="N10" s="7"/>
      <c r="O10" s="7" t="s">
        <v>372</v>
      </c>
      <c r="P10" s="7" t="s">
        <v>363</v>
      </c>
      <c r="Q10" s="7"/>
    </row>
    <row r="11" spans="1:17" ht="32" customHeight="1" x14ac:dyDescent="0.2">
      <c r="A11" s="7" t="s">
        <v>235</v>
      </c>
      <c r="B11" s="7" t="s">
        <v>61</v>
      </c>
      <c r="C11" s="7" t="s">
        <v>39</v>
      </c>
      <c r="D11" s="7" t="s">
        <v>371</v>
      </c>
      <c r="E11" s="7"/>
      <c r="F11" s="7" t="s">
        <v>84</v>
      </c>
      <c r="G11" s="8" t="s">
        <v>85</v>
      </c>
      <c r="H11" s="7" t="s">
        <v>44</v>
      </c>
      <c r="I11" s="7">
        <v>100</v>
      </c>
      <c r="J11" s="7">
        <v>80</v>
      </c>
      <c r="K11" s="7">
        <v>100</v>
      </c>
      <c r="L11" s="7"/>
      <c r="M11" s="7" t="s">
        <v>31</v>
      </c>
      <c r="N11" s="7"/>
      <c r="O11" s="7" t="s">
        <v>372</v>
      </c>
      <c r="P11" s="7" t="s">
        <v>363</v>
      </c>
      <c r="Q11" s="7"/>
    </row>
    <row r="12" spans="1:17" ht="16" customHeight="1" x14ac:dyDescent="0.2">
      <c r="A12" s="7" t="s">
        <v>235</v>
      </c>
      <c r="B12" s="7" t="s">
        <v>61</v>
      </c>
      <c r="C12" s="7" t="s">
        <v>39</v>
      </c>
      <c r="D12" s="7" t="s">
        <v>371</v>
      </c>
      <c r="E12" s="7"/>
      <c r="F12" s="7" t="s">
        <v>88</v>
      </c>
      <c r="G12" s="8" t="s">
        <v>89</v>
      </c>
      <c r="H12" s="7" t="s">
        <v>30</v>
      </c>
      <c r="I12" s="7" t="s">
        <v>41</v>
      </c>
      <c r="J12" s="7"/>
      <c r="K12" s="7"/>
      <c r="L12" s="7"/>
      <c r="M12" s="7" t="s">
        <v>90</v>
      </c>
      <c r="N12" s="7" t="s">
        <v>91</v>
      </c>
      <c r="O12" s="7"/>
      <c r="P12" s="7" t="s">
        <v>363</v>
      </c>
      <c r="Q12" s="7"/>
    </row>
    <row r="13" spans="1:17" ht="16" customHeight="1" x14ac:dyDescent="0.2">
      <c r="A13" s="7" t="s">
        <v>235</v>
      </c>
      <c r="B13" s="7" t="s">
        <v>61</v>
      </c>
      <c r="C13" s="7" t="s">
        <v>39</v>
      </c>
      <c r="D13" s="7" t="s">
        <v>373</v>
      </c>
      <c r="E13" s="7"/>
      <c r="F13" s="7" t="s">
        <v>63</v>
      </c>
      <c r="G13" s="8" t="s">
        <v>64</v>
      </c>
      <c r="H13" s="7" t="s">
        <v>65</v>
      </c>
      <c r="I13" s="7">
        <v>1200</v>
      </c>
      <c r="J13" s="7">
        <v>960</v>
      </c>
      <c r="K13" s="7">
        <v>1440</v>
      </c>
      <c r="L13" s="7">
        <v>5000</v>
      </c>
      <c r="M13" s="7" t="s">
        <v>31</v>
      </c>
      <c r="N13" s="7"/>
      <c r="O13" s="7" t="s">
        <v>372</v>
      </c>
      <c r="P13" s="7" t="s">
        <v>363</v>
      </c>
      <c r="Q13" s="7"/>
    </row>
    <row r="14" spans="1:17" ht="16" customHeight="1" x14ac:dyDescent="0.2">
      <c r="A14" s="7" t="s">
        <v>235</v>
      </c>
      <c r="B14" s="7" t="s">
        <v>61</v>
      </c>
      <c r="C14" s="7" t="s">
        <v>39</v>
      </c>
      <c r="D14" s="7" t="s">
        <v>373</v>
      </c>
      <c r="E14" s="7"/>
      <c r="F14" s="7" t="s">
        <v>69</v>
      </c>
      <c r="G14" s="8" t="s">
        <v>70</v>
      </c>
      <c r="H14" s="7" t="s">
        <v>71</v>
      </c>
      <c r="I14" s="7">
        <v>10</v>
      </c>
      <c r="J14" s="7">
        <v>8</v>
      </c>
      <c r="K14" s="7">
        <v>12</v>
      </c>
      <c r="L14" s="7">
        <v>20</v>
      </c>
      <c r="M14" s="7" t="s">
        <v>31</v>
      </c>
      <c r="N14" s="7"/>
      <c r="O14" s="7" t="s">
        <v>372</v>
      </c>
      <c r="P14" s="7" t="s">
        <v>363</v>
      </c>
      <c r="Q14" s="7"/>
    </row>
    <row r="15" spans="1:17" ht="16" customHeight="1" x14ac:dyDescent="0.2">
      <c r="A15" s="7" t="s">
        <v>235</v>
      </c>
      <c r="B15" s="7" t="s">
        <v>61</v>
      </c>
      <c r="C15" s="7" t="s">
        <v>39</v>
      </c>
      <c r="D15" s="7" t="s">
        <v>373</v>
      </c>
      <c r="E15" s="7"/>
      <c r="F15" s="7" t="s">
        <v>74</v>
      </c>
      <c r="G15" s="8" t="s">
        <v>75</v>
      </c>
      <c r="H15" s="7" t="s">
        <v>76</v>
      </c>
      <c r="I15" s="7">
        <v>30</v>
      </c>
      <c r="J15" s="7">
        <v>24</v>
      </c>
      <c r="K15" s="7">
        <v>36</v>
      </c>
      <c r="L15" s="7">
        <v>10</v>
      </c>
      <c r="M15" s="7" t="s">
        <v>31</v>
      </c>
      <c r="N15" s="7"/>
      <c r="O15" s="7" t="s">
        <v>372</v>
      </c>
      <c r="P15" s="7" t="s">
        <v>363</v>
      </c>
      <c r="Q15" s="7"/>
    </row>
    <row r="16" spans="1:17" ht="16" customHeight="1" x14ac:dyDescent="0.2">
      <c r="A16" s="7" t="s">
        <v>235</v>
      </c>
      <c r="B16" s="7" t="s">
        <v>61</v>
      </c>
      <c r="C16" s="7" t="s">
        <v>39</v>
      </c>
      <c r="D16" s="7" t="s">
        <v>373</v>
      </c>
      <c r="E16" s="7"/>
      <c r="F16" s="7" t="s">
        <v>79</v>
      </c>
      <c r="G16" s="8" t="s">
        <v>80</v>
      </c>
      <c r="H16" s="7" t="s">
        <v>81</v>
      </c>
      <c r="I16" s="7">
        <v>40000</v>
      </c>
      <c r="J16" s="7">
        <v>32000</v>
      </c>
      <c r="K16" s="7">
        <v>48000</v>
      </c>
      <c r="L16" s="7">
        <v>70000</v>
      </c>
      <c r="M16" s="7" t="s">
        <v>31</v>
      </c>
      <c r="N16" s="7"/>
      <c r="O16" s="7" t="s">
        <v>372</v>
      </c>
      <c r="P16" s="7" t="s">
        <v>363</v>
      </c>
      <c r="Q16" s="7"/>
    </row>
    <row r="17" spans="1:17" ht="32" customHeight="1" x14ac:dyDescent="0.2">
      <c r="A17" s="7" t="s">
        <v>235</v>
      </c>
      <c r="B17" s="7" t="s">
        <v>61</v>
      </c>
      <c r="C17" s="7" t="s">
        <v>39</v>
      </c>
      <c r="D17" s="7" t="s">
        <v>373</v>
      </c>
      <c r="E17" s="7"/>
      <c r="F17" s="7" t="s">
        <v>84</v>
      </c>
      <c r="G17" s="8" t="s">
        <v>85</v>
      </c>
      <c r="H17" s="7" t="s">
        <v>44</v>
      </c>
      <c r="I17" s="7">
        <v>90</v>
      </c>
      <c r="J17" s="7">
        <v>72</v>
      </c>
      <c r="K17" s="7">
        <v>100</v>
      </c>
      <c r="L17" s="7"/>
      <c r="M17" s="7" t="s">
        <v>31</v>
      </c>
      <c r="N17" s="7"/>
      <c r="O17" s="7" t="s">
        <v>372</v>
      </c>
      <c r="P17" s="7" t="s">
        <v>363</v>
      </c>
      <c r="Q17" s="7"/>
    </row>
    <row r="18" spans="1:17" ht="16" customHeight="1" x14ac:dyDescent="0.2">
      <c r="A18" s="7" t="s">
        <v>235</v>
      </c>
      <c r="B18" s="7" t="s">
        <v>61</v>
      </c>
      <c r="C18" s="7" t="s">
        <v>39</v>
      </c>
      <c r="D18" s="7" t="s">
        <v>373</v>
      </c>
      <c r="E18" s="7"/>
      <c r="F18" s="7" t="s">
        <v>88</v>
      </c>
      <c r="G18" s="8" t="s">
        <v>89</v>
      </c>
      <c r="H18" s="7" t="s">
        <v>30</v>
      </c>
      <c r="I18" s="7" t="s">
        <v>41</v>
      </c>
      <c r="J18" s="7"/>
      <c r="K18" s="7"/>
      <c r="L18" s="7"/>
      <c r="M18" s="7" t="s">
        <v>90</v>
      </c>
      <c r="N18" s="7" t="s">
        <v>91</v>
      </c>
      <c r="O18" s="7"/>
      <c r="P18" s="7" t="s">
        <v>363</v>
      </c>
      <c r="Q18" s="7"/>
    </row>
    <row r="19" spans="1:17" ht="16" customHeight="1" x14ac:dyDescent="0.2">
      <c r="A19" s="7" t="s">
        <v>235</v>
      </c>
      <c r="B19" s="7" t="s">
        <v>61</v>
      </c>
      <c r="C19" s="7" t="s">
        <v>55</v>
      </c>
      <c r="D19" s="7" t="s">
        <v>371</v>
      </c>
      <c r="E19" s="7"/>
      <c r="F19" s="7" t="s">
        <v>63</v>
      </c>
      <c r="G19" s="8" t="s">
        <v>64</v>
      </c>
      <c r="H19" s="7" t="s">
        <v>65</v>
      </c>
      <c r="I19" s="7">
        <v>2000</v>
      </c>
      <c r="J19" s="7">
        <v>1600</v>
      </c>
      <c r="K19" s="7">
        <v>2400</v>
      </c>
      <c r="L19" s="7"/>
      <c r="M19" s="7" t="s">
        <v>31</v>
      </c>
      <c r="N19" s="7"/>
      <c r="O19" s="7" t="s">
        <v>372</v>
      </c>
      <c r="P19" s="7" t="s">
        <v>363</v>
      </c>
      <c r="Q19" s="7"/>
    </row>
    <row r="20" spans="1:17" ht="16" customHeight="1" x14ac:dyDescent="0.2">
      <c r="A20" s="7" t="s">
        <v>235</v>
      </c>
      <c r="B20" s="7" t="s">
        <v>61</v>
      </c>
      <c r="C20" s="7" t="s">
        <v>55</v>
      </c>
      <c r="D20" s="7" t="s">
        <v>371</v>
      </c>
      <c r="E20" s="7"/>
      <c r="F20" s="7" t="s">
        <v>69</v>
      </c>
      <c r="G20" s="8" t="s">
        <v>70</v>
      </c>
      <c r="H20" s="7" t="s">
        <v>71</v>
      </c>
      <c r="I20" s="7">
        <v>10</v>
      </c>
      <c r="J20" s="7">
        <v>8</v>
      </c>
      <c r="K20" s="7">
        <v>12</v>
      </c>
      <c r="L20" s="7"/>
      <c r="M20" s="7" t="s">
        <v>31</v>
      </c>
      <c r="N20" s="7"/>
      <c r="O20" s="7" t="s">
        <v>372</v>
      </c>
      <c r="P20" s="7" t="s">
        <v>363</v>
      </c>
      <c r="Q20" s="7"/>
    </row>
    <row r="21" spans="1:17" ht="16" customHeight="1" x14ac:dyDescent="0.2">
      <c r="A21" s="7" t="s">
        <v>235</v>
      </c>
      <c r="B21" s="7" t="s">
        <v>61</v>
      </c>
      <c r="C21" s="7" t="s">
        <v>55</v>
      </c>
      <c r="D21" s="7" t="s">
        <v>371</v>
      </c>
      <c r="E21" s="7"/>
      <c r="F21" s="7" t="s">
        <v>74</v>
      </c>
      <c r="G21" s="8" t="s">
        <v>75</v>
      </c>
      <c r="H21" s="7" t="s">
        <v>76</v>
      </c>
      <c r="I21" s="7">
        <v>600</v>
      </c>
      <c r="J21" s="7">
        <v>480</v>
      </c>
      <c r="K21" s="7">
        <v>720</v>
      </c>
      <c r="L21" s="7"/>
      <c r="M21" s="7" t="s">
        <v>31</v>
      </c>
      <c r="N21" s="7"/>
      <c r="O21" s="7" t="s">
        <v>372</v>
      </c>
      <c r="P21" s="7" t="s">
        <v>363</v>
      </c>
      <c r="Q21" s="7"/>
    </row>
    <row r="22" spans="1:17" ht="16" customHeight="1" x14ac:dyDescent="0.2">
      <c r="A22" s="7" t="s">
        <v>235</v>
      </c>
      <c r="B22" s="7" t="s">
        <v>61</v>
      </c>
      <c r="C22" s="7" t="s">
        <v>55</v>
      </c>
      <c r="D22" s="7" t="s">
        <v>371</v>
      </c>
      <c r="E22" s="7"/>
      <c r="F22" s="7" t="s">
        <v>79</v>
      </c>
      <c r="G22" s="8" t="s">
        <v>80</v>
      </c>
      <c r="H22" s="7" t="s">
        <v>81</v>
      </c>
      <c r="I22" s="7">
        <v>40000</v>
      </c>
      <c r="J22" s="7">
        <v>32000</v>
      </c>
      <c r="K22" s="7">
        <v>48000</v>
      </c>
      <c r="L22" s="7"/>
      <c r="M22" s="7" t="s">
        <v>31</v>
      </c>
      <c r="N22" s="7"/>
      <c r="O22" s="7" t="s">
        <v>372</v>
      </c>
      <c r="P22" s="7" t="s">
        <v>363</v>
      </c>
      <c r="Q22" s="7"/>
    </row>
    <row r="23" spans="1:17" ht="32" customHeight="1" x14ac:dyDescent="0.2">
      <c r="A23" s="7" t="s">
        <v>235</v>
      </c>
      <c r="B23" s="7" t="s">
        <v>61</v>
      </c>
      <c r="C23" s="7" t="s">
        <v>55</v>
      </c>
      <c r="D23" s="7" t="s">
        <v>371</v>
      </c>
      <c r="E23" s="7"/>
      <c r="F23" s="7" t="s">
        <v>84</v>
      </c>
      <c r="G23" s="8" t="s">
        <v>85</v>
      </c>
      <c r="H23" s="7" t="s">
        <v>44</v>
      </c>
      <c r="I23" s="7">
        <v>100</v>
      </c>
      <c r="J23" s="7">
        <v>80</v>
      </c>
      <c r="K23" s="7">
        <v>100</v>
      </c>
      <c r="L23" s="7"/>
      <c r="M23" s="7" t="s">
        <v>31</v>
      </c>
      <c r="N23" s="7"/>
      <c r="O23" s="7" t="s">
        <v>372</v>
      </c>
      <c r="P23" s="7" t="s">
        <v>363</v>
      </c>
      <c r="Q23" s="7"/>
    </row>
    <row r="24" spans="1:17" ht="16" customHeight="1" x14ac:dyDescent="0.2">
      <c r="A24" s="7" t="s">
        <v>235</v>
      </c>
      <c r="B24" s="7" t="s">
        <v>61</v>
      </c>
      <c r="C24" s="7" t="s">
        <v>55</v>
      </c>
      <c r="D24" s="7" t="s">
        <v>371</v>
      </c>
      <c r="E24" s="7"/>
      <c r="F24" s="7" t="s">
        <v>88</v>
      </c>
      <c r="G24" s="8" t="s">
        <v>89</v>
      </c>
      <c r="H24" s="7" t="s">
        <v>30</v>
      </c>
      <c r="I24" s="7" t="s">
        <v>41</v>
      </c>
      <c r="J24" s="7"/>
      <c r="K24" s="7"/>
      <c r="L24" s="7"/>
      <c r="M24" s="7" t="s">
        <v>90</v>
      </c>
      <c r="N24" s="7" t="s">
        <v>91</v>
      </c>
      <c r="O24" s="7"/>
      <c r="P24" s="7" t="s">
        <v>363</v>
      </c>
      <c r="Q24" s="7"/>
    </row>
    <row r="25" spans="1:17" ht="16" customHeight="1" x14ac:dyDescent="0.2">
      <c r="A25" s="7" t="s">
        <v>235</v>
      </c>
      <c r="B25" s="7" t="s">
        <v>61</v>
      </c>
      <c r="C25" s="7" t="s">
        <v>55</v>
      </c>
      <c r="D25" s="7" t="s">
        <v>373</v>
      </c>
      <c r="E25" s="7"/>
      <c r="F25" s="7" t="s">
        <v>63</v>
      </c>
      <c r="G25" s="8" t="s">
        <v>64</v>
      </c>
      <c r="H25" s="7" t="s">
        <v>65</v>
      </c>
      <c r="I25" s="7">
        <v>1200</v>
      </c>
      <c r="J25" s="7">
        <v>960</v>
      </c>
      <c r="K25" s="7">
        <v>1440</v>
      </c>
      <c r="L25" s="7"/>
      <c r="M25" s="7" t="s">
        <v>31</v>
      </c>
      <c r="N25" s="7"/>
      <c r="O25" s="7" t="s">
        <v>372</v>
      </c>
      <c r="P25" s="7" t="s">
        <v>363</v>
      </c>
      <c r="Q25" s="7"/>
    </row>
    <row r="26" spans="1:17" ht="16" customHeight="1" x14ac:dyDescent="0.2">
      <c r="A26" s="7" t="s">
        <v>235</v>
      </c>
      <c r="B26" s="7" t="s">
        <v>61</v>
      </c>
      <c r="C26" s="7" t="s">
        <v>55</v>
      </c>
      <c r="D26" s="7" t="s">
        <v>373</v>
      </c>
      <c r="E26" s="7"/>
      <c r="F26" s="7" t="s">
        <v>69</v>
      </c>
      <c r="G26" s="8" t="s">
        <v>70</v>
      </c>
      <c r="H26" s="7" t="s">
        <v>71</v>
      </c>
      <c r="I26" s="7">
        <v>10</v>
      </c>
      <c r="J26" s="7">
        <v>8</v>
      </c>
      <c r="K26" s="7">
        <v>12</v>
      </c>
      <c r="L26" s="7"/>
      <c r="M26" s="7" t="s">
        <v>31</v>
      </c>
      <c r="N26" s="7"/>
      <c r="O26" s="7" t="s">
        <v>372</v>
      </c>
      <c r="P26" s="7" t="s">
        <v>363</v>
      </c>
      <c r="Q26" s="7"/>
    </row>
    <row r="27" spans="1:17" ht="16" customHeight="1" x14ac:dyDescent="0.2">
      <c r="A27" s="7" t="s">
        <v>235</v>
      </c>
      <c r="B27" s="7" t="s">
        <v>61</v>
      </c>
      <c r="C27" s="7" t="s">
        <v>55</v>
      </c>
      <c r="D27" s="7" t="s">
        <v>373</v>
      </c>
      <c r="E27" s="7"/>
      <c r="F27" s="7" t="s">
        <v>74</v>
      </c>
      <c r="G27" s="8" t="s">
        <v>75</v>
      </c>
      <c r="H27" s="7" t="s">
        <v>76</v>
      </c>
      <c r="I27" s="7">
        <v>30</v>
      </c>
      <c r="J27" s="7">
        <v>24</v>
      </c>
      <c r="K27" s="7">
        <v>36</v>
      </c>
      <c r="L27" s="7"/>
      <c r="M27" s="7" t="s">
        <v>31</v>
      </c>
      <c r="N27" s="7"/>
      <c r="O27" s="7" t="s">
        <v>372</v>
      </c>
      <c r="P27" s="7" t="s">
        <v>363</v>
      </c>
      <c r="Q27" s="7"/>
    </row>
    <row r="28" spans="1:17" ht="16" customHeight="1" x14ac:dyDescent="0.2">
      <c r="A28" s="7" t="s">
        <v>235</v>
      </c>
      <c r="B28" s="7" t="s">
        <v>61</v>
      </c>
      <c r="C28" s="7" t="s">
        <v>55</v>
      </c>
      <c r="D28" s="7" t="s">
        <v>373</v>
      </c>
      <c r="E28" s="7"/>
      <c r="F28" s="7" t="s">
        <v>79</v>
      </c>
      <c r="G28" s="8" t="s">
        <v>80</v>
      </c>
      <c r="H28" s="7" t="s">
        <v>81</v>
      </c>
      <c r="I28" s="7">
        <v>40000</v>
      </c>
      <c r="J28" s="7">
        <v>32000</v>
      </c>
      <c r="K28" s="7">
        <v>48000</v>
      </c>
      <c r="L28" s="7"/>
      <c r="M28" s="7" t="s">
        <v>31</v>
      </c>
      <c r="N28" s="7"/>
      <c r="O28" s="7" t="s">
        <v>372</v>
      </c>
      <c r="P28" s="7" t="s">
        <v>363</v>
      </c>
      <c r="Q28" s="7"/>
    </row>
    <row r="29" spans="1:17" ht="32" customHeight="1" x14ac:dyDescent="0.2">
      <c r="A29" s="7" t="s">
        <v>235</v>
      </c>
      <c r="B29" s="7" t="s">
        <v>61</v>
      </c>
      <c r="C29" s="7" t="s">
        <v>55</v>
      </c>
      <c r="D29" s="7" t="s">
        <v>373</v>
      </c>
      <c r="E29" s="7"/>
      <c r="F29" s="7" t="s">
        <v>84</v>
      </c>
      <c r="G29" s="8" t="s">
        <v>85</v>
      </c>
      <c r="H29" s="7" t="s">
        <v>44</v>
      </c>
      <c r="I29" s="7">
        <v>90</v>
      </c>
      <c r="J29" s="7">
        <v>72</v>
      </c>
      <c r="K29" s="7">
        <v>100</v>
      </c>
      <c r="L29" s="7"/>
      <c r="M29" s="7" t="s">
        <v>31</v>
      </c>
      <c r="N29" s="7"/>
      <c r="O29" s="7" t="s">
        <v>372</v>
      </c>
      <c r="P29" s="7" t="s">
        <v>363</v>
      </c>
      <c r="Q29" s="7"/>
    </row>
    <row r="30" spans="1:17" ht="16" customHeight="1" x14ac:dyDescent="0.2">
      <c r="A30" s="7" t="s">
        <v>235</v>
      </c>
      <c r="B30" s="7" t="s">
        <v>61</v>
      </c>
      <c r="C30" s="7" t="s">
        <v>55</v>
      </c>
      <c r="D30" s="7" t="s">
        <v>373</v>
      </c>
      <c r="E30" s="7"/>
      <c r="F30" s="7" t="s">
        <v>88</v>
      </c>
      <c r="G30" s="8" t="s">
        <v>89</v>
      </c>
      <c r="H30" s="7" t="s">
        <v>30</v>
      </c>
      <c r="I30" s="7" t="s">
        <v>41</v>
      </c>
      <c r="J30" s="7"/>
      <c r="K30" s="7"/>
      <c r="L30" s="7"/>
      <c r="M30" s="7" t="s">
        <v>90</v>
      </c>
      <c r="N30" s="7" t="s">
        <v>91</v>
      </c>
      <c r="O30" s="7"/>
      <c r="P30" s="7" t="s">
        <v>363</v>
      </c>
      <c r="Q30" s="7"/>
    </row>
    <row r="31" spans="1:17" ht="16" customHeight="1" x14ac:dyDescent="0.2">
      <c r="A31" s="7" t="s">
        <v>235</v>
      </c>
      <c r="B31" s="7" t="s">
        <v>142</v>
      </c>
      <c r="C31" s="7" t="s">
        <v>143</v>
      </c>
      <c r="D31" s="7" t="s">
        <v>20</v>
      </c>
      <c r="E31" s="7"/>
      <c r="F31" s="7" t="s">
        <v>144</v>
      </c>
      <c r="G31" s="8" t="s">
        <v>145</v>
      </c>
      <c r="H31" s="7" t="s">
        <v>146</v>
      </c>
      <c r="I31" s="7">
        <v>50</v>
      </c>
      <c r="J31" s="7">
        <v>40</v>
      </c>
      <c r="K31" s="7">
        <v>60</v>
      </c>
      <c r="L31" s="7"/>
      <c r="M31" s="7" t="s">
        <v>31</v>
      </c>
      <c r="N31" s="7"/>
      <c r="O31" s="7"/>
      <c r="P31" s="7" t="s">
        <v>363</v>
      </c>
      <c r="Q31" s="7"/>
    </row>
    <row r="32" spans="1:17" ht="16" customHeight="1" x14ac:dyDescent="0.2">
      <c r="A32" s="7" t="s">
        <v>235</v>
      </c>
      <c r="B32" s="7" t="s">
        <v>142</v>
      </c>
      <c r="C32" s="7" t="s">
        <v>143</v>
      </c>
      <c r="D32" s="7" t="s">
        <v>20</v>
      </c>
      <c r="E32" s="7"/>
      <c r="F32" s="7" t="s">
        <v>149</v>
      </c>
      <c r="G32" s="8" t="s">
        <v>150</v>
      </c>
      <c r="H32" s="7" t="s">
        <v>146</v>
      </c>
      <c r="I32" s="7">
        <v>10</v>
      </c>
      <c r="J32" s="7">
        <v>8</v>
      </c>
      <c r="K32" s="7">
        <v>12</v>
      </c>
      <c r="L32" s="7"/>
      <c r="M32" s="7" t="s">
        <v>31</v>
      </c>
      <c r="N32" s="7"/>
      <c r="O32" s="7"/>
      <c r="P32" s="7" t="s">
        <v>363</v>
      </c>
      <c r="Q32" s="7"/>
    </row>
    <row r="33" spans="1:17" ht="16" customHeight="1" x14ac:dyDescent="0.2">
      <c r="A33" s="7" t="s">
        <v>235</v>
      </c>
      <c r="B33" s="7" t="s">
        <v>142</v>
      </c>
      <c r="C33" s="7" t="s">
        <v>55</v>
      </c>
      <c r="D33" s="7" t="s">
        <v>152</v>
      </c>
      <c r="E33" s="7"/>
      <c r="F33" s="7" t="s">
        <v>153</v>
      </c>
      <c r="G33" s="8" t="s">
        <v>154</v>
      </c>
      <c r="H33" s="7" t="s">
        <v>44</v>
      </c>
      <c r="I33" s="7">
        <v>10</v>
      </c>
      <c r="J33" s="7">
        <v>8</v>
      </c>
      <c r="K33" s="7">
        <v>12</v>
      </c>
      <c r="L33" s="7"/>
      <c r="M33" s="7" t="s">
        <v>31</v>
      </c>
      <c r="N33" s="7"/>
      <c r="O33" s="7"/>
      <c r="P33" s="7" t="s">
        <v>363</v>
      </c>
      <c r="Q33" s="7"/>
    </row>
    <row r="34" spans="1:17" ht="16" customHeight="1" x14ac:dyDescent="0.2">
      <c r="A34" s="7" t="s">
        <v>235</v>
      </c>
      <c r="B34" s="7" t="s">
        <v>142</v>
      </c>
      <c r="C34" s="7" t="s">
        <v>156</v>
      </c>
      <c r="D34" s="7" t="s">
        <v>157</v>
      </c>
      <c r="E34" s="7" t="s">
        <v>158</v>
      </c>
      <c r="F34" s="7" t="s">
        <v>159</v>
      </c>
      <c r="G34" s="8" t="s">
        <v>160</v>
      </c>
      <c r="H34" s="7" t="s">
        <v>44</v>
      </c>
      <c r="I34" s="7">
        <v>0</v>
      </c>
      <c r="J34" s="7">
        <v>0</v>
      </c>
      <c r="K34" s="7">
        <v>0</v>
      </c>
      <c r="L34" s="7"/>
      <c r="M34" s="7" t="s">
        <v>24</v>
      </c>
      <c r="N34" s="7"/>
      <c r="O34" s="7"/>
      <c r="P34" s="7" t="s">
        <v>363</v>
      </c>
      <c r="Q34" s="7"/>
    </row>
    <row r="35" spans="1:17" ht="32" customHeight="1" x14ac:dyDescent="0.2">
      <c r="A35" s="7" t="s">
        <v>235</v>
      </c>
      <c r="B35" s="7" t="s">
        <v>142</v>
      </c>
      <c r="C35" s="7" t="s">
        <v>156</v>
      </c>
      <c r="D35" s="7" t="s">
        <v>157</v>
      </c>
      <c r="E35" s="7" t="s">
        <v>163</v>
      </c>
      <c r="F35" s="7" t="s">
        <v>159</v>
      </c>
      <c r="G35" s="8" t="s">
        <v>164</v>
      </c>
      <c r="H35" s="7" t="s">
        <v>44</v>
      </c>
      <c r="I35" s="7">
        <v>0</v>
      </c>
      <c r="J35" s="7">
        <v>0</v>
      </c>
      <c r="K35" s="7">
        <v>0</v>
      </c>
      <c r="L35" s="7"/>
      <c r="M35" s="7" t="s">
        <v>24</v>
      </c>
      <c r="N35" s="7"/>
      <c r="O35" s="7"/>
      <c r="P35" s="7" t="s">
        <v>363</v>
      </c>
      <c r="Q35" s="7"/>
    </row>
    <row r="36" spans="1:17" ht="32" customHeight="1" x14ac:dyDescent="0.2">
      <c r="A36" s="7" t="s">
        <v>235</v>
      </c>
      <c r="B36" s="7" t="s">
        <v>142</v>
      </c>
      <c r="C36" s="7" t="s">
        <v>156</v>
      </c>
      <c r="D36" s="7" t="s">
        <v>157</v>
      </c>
      <c r="E36" s="7" t="s">
        <v>166</v>
      </c>
      <c r="F36" s="7" t="s">
        <v>159</v>
      </c>
      <c r="G36" s="8" t="s">
        <v>167</v>
      </c>
      <c r="H36" s="7" t="s">
        <v>44</v>
      </c>
      <c r="I36" s="7">
        <v>20</v>
      </c>
      <c r="J36" s="7">
        <v>16</v>
      </c>
      <c r="K36" s="7">
        <v>24</v>
      </c>
      <c r="L36" s="7"/>
      <c r="M36" s="7" t="s">
        <v>31</v>
      </c>
      <c r="N36" s="7"/>
      <c r="O36" s="7"/>
      <c r="P36" s="7" t="s">
        <v>363</v>
      </c>
      <c r="Q36" s="7"/>
    </row>
    <row r="37" spans="1:17" ht="32" customHeight="1" x14ac:dyDescent="0.2">
      <c r="A37" s="7" t="s">
        <v>235</v>
      </c>
      <c r="B37" s="7" t="s">
        <v>142</v>
      </c>
      <c r="C37" s="7" t="s">
        <v>156</v>
      </c>
      <c r="D37" s="7" t="s">
        <v>157</v>
      </c>
      <c r="E37" s="7" t="s">
        <v>169</v>
      </c>
      <c r="F37" s="7" t="s">
        <v>159</v>
      </c>
      <c r="G37" s="8" t="s">
        <v>170</v>
      </c>
      <c r="H37" s="7" t="s">
        <v>44</v>
      </c>
      <c r="I37" s="7">
        <v>80</v>
      </c>
      <c r="J37" s="7">
        <v>64</v>
      </c>
      <c r="K37" s="7">
        <v>96</v>
      </c>
      <c r="L37" s="7"/>
      <c r="M37" s="7" t="s">
        <v>31</v>
      </c>
      <c r="N37" s="7"/>
      <c r="O37" s="7"/>
      <c r="P37" s="7" t="s">
        <v>363</v>
      </c>
      <c r="Q37" s="7"/>
    </row>
    <row r="38" spans="1:17" ht="32" customHeight="1" x14ac:dyDescent="0.2">
      <c r="A38" s="7" t="s">
        <v>235</v>
      </c>
      <c r="B38" s="7" t="s">
        <v>142</v>
      </c>
      <c r="C38" s="7" t="s">
        <v>156</v>
      </c>
      <c r="D38" s="7" t="s">
        <v>157</v>
      </c>
      <c r="E38" s="7" t="s">
        <v>172</v>
      </c>
      <c r="F38" s="7" t="s">
        <v>159</v>
      </c>
      <c r="G38" s="8" t="s">
        <v>173</v>
      </c>
      <c r="H38" s="7" t="s">
        <v>44</v>
      </c>
      <c r="I38" s="7">
        <v>0</v>
      </c>
      <c r="J38" s="7">
        <v>0</v>
      </c>
      <c r="K38" s="7">
        <v>0</v>
      </c>
      <c r="L38" s="7"/>
      <c r="M38" s="7" t="s">
        <v>24</v>
      </c>
      <c r="N38" s="7"/>
      <c r="O38" s="7"/>
      <c r="P38" s="7" t="s">
        <v>363</v>
      </c>
      <c r="Q38" s="7"/>
    </row>
    <row r="39" spans="1:17" ht="32" customHeight="1" x14ac:dyDescent="0.2">
      <c r="A39" s="7" t="s">
        <v>235</v>
      </c>
      <c r="B39" s="7" t="s">
        <v>175</v>
      </c>
      <c r="C39" s="7" t="s">
        <v>176</v>
      </c>
      <c r="D39" s="7" t="s">
        <v>20</v>
      </c>
      <c r="E39" s="7"/>
      <c r="F39" s="7" t="s">
        <v>175</v>
      </c>
      <c r="G39" s="8" t="s">
        <v>177</v>
      </c>
      <c r="H39" s="7" t="s">
        <v>178</v>
      </c>
      <c r="I39" s="7" t="s">
        <v>179</v>
      </c>
      <c r="J39" s="7"/>
      <c r="K39" s="7"/>
      <c r="L39" s="7"/>
      <c r="M39" s="7" t="s">
        <v>90</v>
      </c>
      <c r="N39" s="7"/>
      <c r="O39" s="7"/>
      <c r="P39" s="7" t="s">
        <v>363</v>
      </c>
      <c r="Q39" s="7"/>
    </row>
    <row r="40" spans="1:17" ht="32" customHeight="1" x14ac:dyDescent="0.2"/>
  </sheetData>
  <conditionalFormatting sqref="I2:I244">
    <cfRule type="expression" dxfId="11" priority="3">
      <formula>AND($F2&lt;&gt;"",$I2="")</formula>
    </cfRule>
  </conditionalFormatting>
  <conditionalFormatting sqref="I2:P244">
    <cfRule type="expression" dxfId="10" priority="1">
      <formula>$P2="placeholder"</formula>
    </cfRule>
  </conditionalFormatting>
  <conditionalFormatting sqref="J2:K244">
    <cfRule type="expression" dxfId="9" priority="2">
      <formula>AND(OR($M2="triangular",$M2="uniform"),OR($J2="",$K2=""))</formula>
    </cfRule>
  </conditionalFormatting>
  <dataValidations count="4">
    <dataValidation type="list" allowBlank="1" showErrorMessage="1" sqref="B2:B244" xr:uid="{00000000-0002-0000-0600-000000000000}">
      <formula1>"design,manufacturing,circularity,location"</formula1>
    </dataValidation>
    <dataValidation type="list" allowBlank="1" showErrorMessage="1" sqref="C2:C244" xr:uid="{00000000-0002-0000-0600-000001000000}">
      <formula1>"product size,production,repair,use,end-of-life,general"</formula1>
    </dataValidation>
    <dataValidation type="list" allowBlank="1" showErrorMessage="1" sqref="M2:M244" xr:uid="{00000000-0002-0000-0600-000002000000}">
      <formula1>"fixed,triangular,uniform,choice"</formula1>
    </dataValidation>
    <dataValidation type="list" allowBlank="1" showErrorMessage="1" sqref="P2:P244" xr:uid="{00000000-0002-0000-0600-000003000000}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6A5AF"/>
  </sheetPr>
  <dimension ref="A1:Q41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13" customWidth="1"/>
    <col min="4" max="4" width="27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241</v>
      </c>
      <c r="B2" s="7" t="s">
        <v>18</v>
      </c>
      <c r="C2" s="7" t="s">
        <v>19</v>
      </c>
      <c r="D2" s="7" t="s">
        <v>20</v>
      </c>
      <c r="E2" s="7"/>
      <c r="F2" s="7" t="s">
        <v>374</v>
      </c>
      <c r="G2" s="7" t="s">
        <v>375</v>
      </c>
      <c r="H2" s="7" t="s">
        <v>376</v>
      </c>
      <c r="I2" s="7">
        <v>550</v>
      </c>
      <c r="J2" s="7">
        <v>440</v>
      </c>
      <c r="K2" s="7">
        <v>660</v>
      </c>
      <c r="L2" s="7"/>
      <c r="M2" s="7" t="s">
        <v>31</v>
      </c>
      <c r="N2" s="7"/>
      <c r="O2" s="7" t="s">
        <v>362</v>
      </c>
      <c r="P2" s="7" t="s">
        <v>363</v>
      </c>
      <c r="Q2" s="7"/>
    </row>
    <row r="3" spans="1:17" ht="16" customHeight="1" x14ac:dyDescent="0.2">
      <c r="A3" s="7" t="s">
        <v>241</v>
      </c>
      <c r="B3" s="7" t="s">
        <v>18</v>
      </c>
      <c r="C3" s="7" t="s">
        <v>19</v>
      </c>
      <c r="D3" s="7" t="s">
        <v>20</v>
      </c>
      <c r="E3" s="7"/>
      <c r="F3" s="7" t="s">
        <v>377</v>
      </c>
      <c r="G3" s="7" t="s">
        <v>378</v>
      </c>
      <c r="H3" s="7" t="s">
        <v>379</v>
      </c>
      <c r="I3" s="7">
        <v>6.0000000000000001E-3</v>
      </c>
      <c r="J3" s="7">
        <v>4.7999999999999996E-3</v>
      </c>
      <c r="K3" s="7">
        <v>7.1999999999999998E-3</v>
      </c>
      <c r="L3" s="7"/>
      <c r="M3" s="7" t="s">
        <v>31</v>
      </c>
      <c r="N3" s="7"/>
      <c r="O3" s="7" t="s">
        <v>362</v>
      </c>
      <c r="P3" s="7" t="s">
        <v>363</v>
      </c>
      <c r="Q3" s="7"/>
    </row>
    <row r="4" spans="1:17" ht="32" customHeight="1" x14ac:dyDescent="0.2">
      <c r="A4" s="7" t="s">
        <v>241</v>
      </c>
      <c r="B4" s="7" t="s">
        <v>18</v>
      </c>
      <c r="C4" s="7" t="s">
        <v>39</v>
      </c>
      <c r="D4" s="7" t="s">
        <v>60</v>
      </c>
      <c r="E4" s="7" t="s">
        <v>41</v>
      </c>
      <c r="F4" s="7" t="s">
        <v>42</v>
      </c>
      <c r="G4" s="8" t="s">
        <v>43</v>
      </c>
      <c r="H4" s="7" t="s">
        <v>44</v>
      </c>
      <c r="I4" s="7">
        <v>60</v>
      </c>
      <c r="J4" s="7">
        <v>48</v>
      </c>
      <c r="K4" s="7">
        <v>72</v>
      </c>
      <c r="L4" s="7"/>
      <c r="M4" s="7" t="s">
        <v>31</v>
      </c>
      <c r="N4" s="7"/>
      <c r="O4" s="7"/>
      <c r="P4" s="7" t="s">
        <v>363</v>
      </c>
      <c r="Q4" s="7"/>
    </row>
    <row r="5" spans="1:17" ht="32" customHeight="1" x14ac:dyDescent="0.2">
      <c r="A5" s="7" t="s">
        <v>241</v>
      </c>
      <c r="B5" s="7" t="s">
        <v>18</v>
      </c>
      <c r="C5" s="7" t="s">
        <v>39</v>
      </c>
      <c r="D5" s="7" t="s">
        <v>380</v>
      </c>
      <c r="E5" s="7" t="s">
        <v>41</v>
      </c>
      <c r="F5" s="7" t="s">
        <v>42</v>
      </c>
      <c r="G5" s="8" t="s">
        <v>43</v>
      </c>
      <c r="H5" s="7" t="s">
        <v>44</v>
      </c>
      <c r="I5" s="7">
        <v>40</v>
      </c>
      <c r="J5" s="7">
        <v>32</v>
      </c>
      <c r="K5" s="7">
        <v>48</v>
      </c>
      <c r="L5" s="7"/>
      <c r="M5" s="7" t="s">
        <v>31</v>
      </c>
      <c r="N5" s="7"/>
      <c r="O5" s="7"/>
      <c r="P5" s="7" t="s">
        <v>363</v>
      </c>
      <c r="Q5" s="7"/>
    </row>
    <row r="6" spans="1:17" ht="32" customHeight="1" x14ac:dyDescent="0.2">
      <c r="A6" s="7" t="s">
        <v>241</v>
      </c>
      <c r="B6" s="7" t="s">
        <v>18</v>
      </c>
      <c r="C6" s="7" t="s">
        <v>55</v>
      </c>
      <c r="D6" s="7" t="s">
        <v>60</v>
      </c>
      <c r="E6" s="7" t="s">
        <v>41</v>
      </c>
      <c r="F6" s="7" t="s">
        <v>42</v>
      </c>
      <c r="G6" s="8" t="s">
        <v>56</v>
      </c>
      <c r="H6" s="7" t="s">
        <v>44</v>
      </c>
      <c r="I6" s="7">
        <v>60</v>
      </c>
      <c r="J6" s="7">
        <v>48</v>
      </c>
      <c r="K6" s="7">
        <v>72</v>
      </c>
      <c r="L6" s="7"/>
      <c r="M6" s="7" t="s">
        <v>31</v>
      </c>
      <c r="N6" s="7"/>
      <c r="O6" s="7"/>
      <c r="P6" s="7" t="s">
        <v>363</v>
      </c>
      <c r="Q6" s="7"/>
    </row>
    <row r="7" spans="1:17" ht="32" customHeight="1" x14ac:dyDescent="0.2">
      <c r="A7" s="7" t="s">
        <v>241</v>
      </c>
      <c r="B7" s="7" t="s">
        <v>18</v>
      </c>
      <c r="C7" s="7" t="s">
        <v>55</v>
      </c>
      <c r="D7" s="7" t="s">
        <v>380</v>
      </c>
      <c r="E7" s="7" t="s">
        <v>41</v>
      </c>
      <c r="F7" s="7" t="s">
        <v>42</v>
      </c>
      <c r="G7" s="8" t="s">
        <v>56</v>
      </c>
      <c r="H7" s="7" t="s">
        <v>44</v>
      </c>
      <c r="I7" s="7">
        <v>40</v>
      </c>
      <c r="J7" s="7">
        <v>32</v>
      </c>
      <c r="K7" s="7">
        <v>48</v>
      </c>
      <c r="L7" s="7"/>
      <c r="M7" s="7" t="s">
        <v>31</v>
      </c>
      <c r="N7" s="7"/>
      <c r="O7" s="7"/>
      <c r="P7" s="7" t="s">
        <v>363</v>
      </c>
      <c r="Q7" s="7"/>
    </row>
    <row r="8" spans="1:17" ht="16" customHeight="1" x14ac:dyDescent="0.2">
      <c r="A8" s="7" t="s">
        <v>241</v>
      </c>
      <c r="B8" s="7" t="s">
        <v>61</v>
      </c>
      <c r="C8" s="7" t="s">
        <v>39</v>
      </c>
      <c r="D8" s="7" t="s">
        <v>381</v>
      </c>
      <c r="E8" s="7"/>
      <c r="F8" s="7" t="s">
        <v>63</v>
      </c>
      <c r="G8" s="8" t="s">
        <v>64</v>
      </c>
      <c r="H8" s="7" t="s">
        <v>65</v>
      </c>
      <c r="I8" s="7">
        <v>800</v>
      </c>
      <c r="J8" s="7">
        <v>640</v>
      </c>
      <c r="K8" s="7">
        <v>960</v>
      </c>
      <c r="L8" s="7"/>
      <c r="M8" s="7" t="s">
        <v>31</v>
      </c>
      <c r="N8" s="7"/>
      <c r="O8" s="7" t="s">
        <v>372</v>
      </c>
      <c r="P8" s="7" t="s">
        <v>363</v>
      </c>
      <c r="Q8" s="7"/>
    </row>
    <row r="9" spans="1:17" ht="16" customHeight="1" x14ac:dyDescent="0.2">
      <c r="A9" s="7" t="s">
        <v>241</v>
      </c>
      <c r="B9" s="7" t="s">
        <v>61</v>
      </c>
      <c r="C9" s="7" t="s">
        <v>39</v>
      </c>
      <c r="D9" s="7" t="s">
        <v>381</v>
      </c>
      <c r="E9" s="7"/>
      <c r="F9" s="7" t="s">
        <v>69</v>
      </c>
      <c r="G9" s="8" t="s">
        <v>70</v>
      </c>
      <c r="H9" s="7" t="s">
        <v>71</v>
      </c>
      <c r="I9" s="7">
        <v>3</v>
      </c>
      <c r="J9" s="7">
        <v>2.4</v>
      </c>
      <c r="K9" s="7">
        <v>3.6</v>
      </c>
      <c r="L9" s="7"/>
      <c r="M9" s="7" t="s">
        <v>31</v>
      </c>
      <c r="N9" s="7"/>
      <c r="O9" s="7" t="s">
        <v>372</v>
      </c>
      <c r="P9" s="7" t="s">
        <v>363</v>
      </c>
      <c r="Q9" s="7"/>
    </row>
    <row r="10" spans="1:17" ht="16" customHeight="1" x14ac:dyDescent="0.2">
      <c r="A10" s="7" t="s">
        <v>241</v>
      </c>
      <c r="B10" s="7" t="s">
        <v>61</v>
      </c>
      <c r="C10" s="7" t="s">
        <v>39</v>
      </c>
      <c r="D10" s="7" t="s">
        <v>381</v>
      </c>
      <c r="E10" s="7"/>
      <c r="F10" s="7" t="s">
        <v>74</v>
      </c>
      <c r="G10" s="8" t="s">
        <v>75</v>
      </c>
      <c r="H10" s="7" t="s">
        <v>76</v>
      </c>
      <c r="I10" s="7">
        <v>20</v>
      </c>
      <c r="J10" s="7">
        <v>16</v>
      </c>
      <c r="K10" s="7">
        <v>24</v>
      </c>
      <c r="L10" s="7"/>
      <c r="M10" s="7" t="s">
        <v>31</v>
      </c>
      <c r="N10" s="7"/>
      <c r="O10" s="7" t="s">
        <v>372</v>
      </c>
      <c r="P10" s="7" t="s">
        <v>363</v>
      </c>
      <c r="Q10" s="7"/>
    </row>
    <row r="11" spans="1:17" ht="16" customHeight="1" x14ac:dyDescent="0.2">
      <c r="A11" s="7" t="s">
        <v>241</v>
      </c>
      <c r="B11" s="7" t="s">
        <v>61</v>
      </c>
      <c r="C11" s="7" t="s">
        <v>39</v>
      </c>
      <c r="D11" s="7" t="s">
        <v>381</v>
      </c>
      <c r="E11" s="7"/>
      <c r="F11" s="7" t="s">
        <v>79</v>
      </c>
      <c r="G11" s="8" t="s">
        <v>80</v>
      </c>
      <c r="H11" s="7" t="s">
        <v>81</v>
      </c>
      <c r="I11" s="7">
        <v>50000</v>
      </c>
      <c r="J11" s="7">
        <v>40000</v>
      </c>
      <c r="K11" s="7">
        <v>60000</v>
      </c>
      <c r="L11" s="7"/>
      <c r="M11" s="7" t="s">
        <v>31</v>
      </c>
      <c r="N11" s="7"/>
      <c r="O11" s="7" t="s">
        <v>372</v>
      </c>
      <c r="P11" s="7" t="s">
        <v>363</v>
      </c>
      <c r="Q11" s="7"/>
    </row>
    <row r="12" spans="1:17" ht="32" customHeight="1" x14ac:dyDescent="0.2">
      <c r="A12" s="7" t="s">
        <v>241</v>
      </c>
      <c r="B12" s="7" t="s">
        <v>61</v>
      </c>
      <c r="C12" s="7" t="s">
        <v>39</v>
      </c>
      <c r="D12" s="7" t="s">
        <v>381</v>
      </c>
      <c r="E12" s="7"/>
      <c r="F12" s="7" t="s">
        <v>84</v>
      </c>
      <c r="G12" s="8" t="s">
        <v>85</v>
      </c>
      <c r="H12" s="7" t="s">
        <v>44</v>
      </c>
      <c r="I12" s="7">
        <v>95</v>
      </c>
      <c r="J12" s="7">
        <v>76</v>
      </c>
      <c r="K12" s="7">
        <v>100</v>
      </c>
      <c r="L12" s="7"/>
      <c r="M12" s="7" t="s">
        <v>31</v>
      </c>
      <c r="N12" s="7"/>
      <c r="O12" s="7" t="s">
        <v>372</v>
      </c>
      <c r="P12" s="7" t="s">
        <v>363</v>
      </c>
      <c r="Q12" s="7"/>
    </row>
    <row r="13" spans="1:17" ht="16" customHeight="1" x14ac:dyDescent="0.2">
      <c r="A13" s="7" t="s">
        <v>241</v>
      </c>
      <c r="B13" s="7" t="s">
        <v>61</v>
      </c>
      <c r="C13" s="7" t="s">
        <v>39</v>
      </c>
      <c r="D13" s="7" t="s">
        <v>381</v>
      </c>
      <c r="E13" s="7"/>
      <c r="F13" s="7" t="s">
        <v>88</v>
      </c>
      <c r="G13" s="8" t="s">
        <v>89</v>
      </c>
      <c r="H13" s="7" t="s">
        <v>30</v>
      </c>
      <c r="I13" s="7" t="s">
        <v>41</v>
      </c>
      <c r="J13" s="7"/>
      <c r="K13" s="7"/>
      <c r="L13" s="7"/>
      <c r="M13" s="7" t="s">
        <v>90</v>
      </c>
      <c r="N13" s="7" t="s">
        <v>91</v>
      </c>
      <c r="O13" s="7"/>
      <c r="P13" s="7" t="s">
        <v>363</v>
      </c>
      <c r="Q13" s="7"/>
    </row>
    <row r="14" spans="1:17" ht="16" customHeight="1" x14ac:dyDescent="0.2">
      <c r="A14" s="7" t="s">
        <v>241</v>
      </c>
      <c r="B14" s="7" t="s">
        <v>61</v>
      </c>
      <c r="C14" s="7" t="s">
        <v>39</v>
      </c>
      <c r="D14" s="7" t="s">
        <v>382</v>
      </c>
      <c r="E14" s="7"/>
      <c r="F14" s="7" t="s">
        <v>63</v>
      </c>
      <c r="G14" s="8" t="s">
        <v>64</v>
      </c>
      <c r="H14" s="7" t="s">
        <v>65</v>
      </c>
      <c r="I14" s="7">
        <v>3000</v>
      </c>
      <c r="J14" s="7">
        <v>2400</v>
      </c>
      <c r="K14" s="7">
        <v>3600</v>
      </c>
      <c r="L14" s="7">
        <v>5000</v>
      </c>
      <c r="M14" s="7" t="s">
        <v>31</v>
      </c>
      <c r="N14" s="7"/>
      <c r="O14" s="7" t="s">
        <v>372</v>
      </c>
      <c r="P14" s="7" t="s">
        <v>363</v>
      </c>
      <c r="Q14" s="7"/>
    </row>
    <row r="15" spans="1:17" ht="16" customHeight="1" x14ac:dyDescent="0.2">
      <c r="A15" s="7" t="s">
        <v>241</v>
      </c>
      <c r="B15" s="7" t="s">
        <v>61</v>
      </c>
      <c r="C15" s="7" t="s">
        <v>39</v>
      </c>
      <c r="D15" s="7" t="s">
        <v>382</v>
      </c>
      <c r="E15" s="7"/>
      <c r="F15" s="7" t="s">
        <v>69</v>
      </c>
      <c r="G15" s="8" t="s">
        <v>70</v>
      </c>
      <c r="H15" s="7" t="s">
        <v>71</v>
      </c>
      <c r="I15" s="7">
        <v>6</v>
      </c>
      <c r="J15" s="7">
        <v>4.8</v>
      </c>
      <c r="K15" s="7">
        <v>7.2</v>
      </c>
      <c r="L15" s="7">
        <v>25</v>
      </c>
      <c r="M15" s="7" t="s">
        <v>31</v>
      </c>
      <c r="N15" s="7"/>
      <c r="O15" s="7" t="s">
        <v>372</v>
      </c>
      <c r="P15" s="7" t="s">
        <v>363</v>
      </c>
      <c r="Q15" s="7"/>
    </row>
    <row r="16" spans="1:17" ht="16" customHeight="1" x14ac:dyDescent="0.2">
      <c r="A16" s="7" t="s">
        <v>241</v>
      </c>
      <c r="B16" s="7" t="s">
        <v>61</v>
      </c>
      <c r="C16" s="7" t="s">
        <v>39</v>
      </c>
      <c r="D16" s="7" t="s">
        <v>382</v>
      </c>
      <c r="E16" s="7"/>
      <c r="F16" s="7" t="s">
        <v>74</v>
      </c>
      <c r="G16" s="8" t="s">
        <v>75</v>
      </c>
      <c r="H16" s="7" t="s">
        <v>76</v>
      </c>
      <c r="I16" s="7">
        <v>4</v>
      </c>
      <c r="J16" s="7">
        <v>3.2</v>
      </c>
      <c r="K16" s="7">
        <v>4.8</v>
      </c>
      <c r="L16" s="7">
        <v>10</v>
      </c>
      <c r="M16" s="7" t="s">
        <v>31</v>
      </c>
      <c r="N16" s="7"/>
      <c r="O16" s="7" t="s">
        <v>372</v>
      </c>
      <c r="P16" s="7" t="s">
        <v>363</v>
      </c>
      <c r="Q16" s="7"/>
    </row>
    <row r="17" spans="1:17" ht="16" customHeight="1" x14ac:dyDescent="0.2">
      <c r="A17" s="7" t="s">
        <v>241</v>
      </c>
      <c r="B17" s="7" t="s">
        <v>61</v>
      </c>
      <c r="C17" s="7" t="s">
        <v>39</v>
      </c>
      <c r="D17" s="7" t="s">
        <v>382</v>
      </c>
      <c r="E17" s="7"/>
      <c r="F17" s="7" t="s">
        <v>79</v>
      </c>
      <c r="G17" s="8" t="s">
        <v>80</v>
      </c>
      <c r="H17" s="7" t="s">
        <v>81</v>
      </c>
      <c r="I17" s="7">
        <v>50000</v>
      </c>
      <c r="J17" s="7">
        <v>40000</v>
      </c>
      <c r="K17" s="7">
        <v>60000</v>
      </c>
      <c r="L17" s="7">
        <v>50000</v>
      </c>
      <c r="M17" s="7" t="s">
        <v>31</v>
      </c>
      <c r="N17" s="7"/>
      <c r="O17" s="7" t="s">
        <v>372</v>
      </c>
      <c r="P17" s="7" t="s">
        <v>363</v>
      </c>
      <c r="Q17" s="7"/>
    </row>
    <row r="18" spans="1:17" ht="32" customHeight="1" x14ac:dyDescent="0.2">
      <c r="A18" s="7" t="s">
        <v>241</v>
      </c>
      <c r="B18" s="7" t="s">
        <v>61</v>
      </c>
      <c r="C18" s="7" t="s">
        <v>39</v>
      </c>
      <c r="D18" s="7" t="s">
        <v>382</v>
      </c>
      <c r="E18" s="7"/>
      <c r="F18" s="7" t="s">
        <v>84</v>
      </c>
      <c r="G18" s="8" t="s">
        <v>85</v>
      </c>
      <c r="H18" s="7" t="s">
        <v>44</v>
      </c>
      <c r="I18" s="7">
        <v>95</v>
      </c>
      <c r="J18" s="7">
        <v>76</v>
      </c>
      <c r="K18" s="7">
        <v>100</v>
      </c>
      <c r="L18" s="7"/>
      <c r="M18" s="7" t="s">
        <v>31</v>
      </c>
      <c r="N18" s="7"/>
      <c r="O18" s="7" t="s">
        <v>372</v>
      </c>
      <c r="P18" s="7" t="s">
        <v>363</v>
      </c>
      <c r="Q18" s="7"/>
    </row>
    <row r="19" spans="1:17" ht="16" customHeight="1" x14ac:dyDescent="0.2">
      <c r="A19" s="7" t="s">
        <v>241</v>
      </c>
      <c r="B19" s="7" t="s">
        <v>61</v>
      </c>
      <c r="C19" s="7" t="s">
        <v>39</v>
      </c>
      <c r="D19" s="7" t="s">
        <v>382</v>
      </c>
      <c r="E19" s="7"/>
      <c r="F19" s="7" t="s">
        <v>88</v>
      </c>
      <c r="G19" s="8" t="s">
        <v>89</v>
      </c>
      <c r="H19" s="7" t="s">
        <v>30</v>
      </c>
      <c r="I19" s="7" t="s">
        <v>41</v>
      </c>
      <c r="J19" s="7"/>
      <c r="K19" s="7"/>
      <c r="L19" s="7"/>
      <c r="M19" s="7" t="s">
        <v>90</v>
      </c>
      <c r="N19" s="7" t="s">
        <v>91</v>
      </c>
      <c r="O19" s="7"/>
      <c r="P19" s="7" t="s">
        <v>363</v>
      </c>
      <c r="Q19" s="7"/>
    </row>
    <row r="20" spans="1:17" ht="16" customHeight="1" x14ac:dyDescent="0.2">
      <c r="A20" s="7" t="s">
        <v>241</v>
      </c>
      <c r="B20" s="7" t="s">
        <v>61</v>
      </c>
      <c r="C20" s="7" t="s">
        <v>55</v>
      </c>
      <c r="D20" s="7" t="s">
        <v>381</v>
      </c>
      <c r="E20" s="7"/>
      <c r="F20" s="7" t="s">
        <v>63</v>
      </c>
      <c r="G20" s="8" t="s">
        <v>64</v>
      </c>
      <c r="H20" s="7" t="s">
        <v>65</v>
      </c>
      <c r="I20" s="7">
        <v>800</v>
      </c>
      <c r="J20" s="7">
        <v>640</v>
      </c>
      <c r="K20" s="7">
        <v>960</v>
      </c>
      <c r="L20" s="7"/>
      <c r="M20" s="7" t="s">
        <v>31</v>
      </c>
      <c r="N20" s="7"/>
      <c r="O20" s="7" t="s">
        <v>372</v>
      </c>
      <c r="P20" s="7" t="s">
        <v>363</v>
      </c>
      <c r="Q20" s="7"/>
    </row>
    <row r="21" spans="1:17" ht="16" customHeight="1" x14ac:dyDescent="0.2">
      <c r="A21" s="7" t="s">
        <v>241</v>
      </c>
      <c r="B21" s="7" t="s">
        <v>61</v>
      </c>
      <c r="C21" s="7" t="s">
        <v>55</v>
      </c>
      <c r="D21" s="7" t="s">
        <v>381</v>
      </c>
      <c r="E21" s="7"/>
      <c r="F21" s="7" t="s">
        <v>69</v>
      </c>
      <c r="G21" s="8" t="s">
        <v>70</v>
      </c>
      <c r="H21" s="7" t="s">
        <v>71</v>
      </c>
      <c r="I21" s="7">
        <v>3</v>
      </c>
      <c r="J21" s="7">
        <v>2.4</v>
      </c>
      <c r="K21" s="7">
        <v>3.6</v>
      </c>
      <c r="L21" s="7"/>
      <c r="M21" s="7" t="s">
        <v>31</v>
      </c>
      <c r="N21" s="7"/>
      <c r="O21" s="7" t="s">
        <v>372</v>
      </c>
      <c r="P21" s="7" t="s">
        <v>363</v>
      </c>
      <c r="Q21" s="7"/>
    </row>
    <row r="22" spans="1:17" ht="16" customHeight="1" x14ac:dyDescent="0.2">
      <c r="A22" s="7" t="s">
        <v>241</v>
      </c>
      <c r="B22" s="7" t="s">
        <v>61</v>
      </c>
      <c r="C22" s="7" t="s">
        <v>55</v>
      </c>
      <c r="D22" s="7" t="s">
        <v>381</v>
      </c>
      <c r="E22" s="7"/>
      <c r="F22" s="7" t="s">
        <v>74</v>
      </c>
      <c r="G22" s="8" t="s">
        <v>75</v>
      </c>
      <c r="H22" s="7" t="s">
        <v>76</v>
      </c>
      <c r="I22" s="7">
        <v>20</v>
      </c>
      <c r="J22" s="7">
        <v>16</v>
      </c>
      <c r="K22" s="7">
        <v>24</v>
      </c>
      <c r="L22" s="7"/>
      <c r="M22" s="7" t="s">
        <v>31</v>
      </c>
      <c r="N22" s="7"/>
      <c r="O22" s="7" t="s">
        <v>372</v>
      </c>
      <c r="P22" s="7" t="s">
        <v>363</v>
      </c>
      <c r="Q22" s="7"/>
    </row>
    <row r="23" spans="1:17" ht="16" customHeight="1" x14ac:dyDescent="0.2">
      <c r="A23" s="7" t="s">
        <v>241</v>
      </c>
      <c r="B23" s="7" t="s">
        <v>61</v>
      </c>
      <c r="C23" s="7" t="s">
        <v>55</v>
      </c>
      <c r="D23" s="7" t="s">
        <v>381</v>
      </c>
      <c r="E23" s="7"/>
      <c r="F23" s="7" t="s">
        <v>79</v>
      </c>
      <c r="G23" s="8" t="s">
        <v>80</v>
      </c>
      <c r="H23" s="7" t="s">
        <v>81</v>
      </c>
      <c r="I23" s="7">
        <v>50000</v>
      </c>
      <c r="J23" s="7">
        <v>40000</v>
      </c>
      <c r="K23" s="7">
        <v>60000</v>
      </c>
      <c r="L23" s="7"/>
      <c r="M23" s="7" t="s">
        <v>31</v>
      </c>
      <c r="N23" s="7"/>
      <c r="O23" s="7" t="s">
        <v>372</v>
      </c>
      <c r="P23" s="7" t="s">
        <v>363</v>
      </c>
      <c r="Q23" s="7"/>
    </row>
    <row r="24" spans="1:17" ht="32" customHeight="1" x14ac:dyDescent="0.2">
      <c r="A24" s="7" t="s">
        <v>241</v>
      </c>
      <c r="B24" s="7" t="s">
        <v>61</v>
      </c>
      <c r="C24" s="7" t="s">
        <v>55</v>
      </c>
      <c r="D24" s="7" t="s">
        <v>381</v>
      </c>
      <c r="E24" s="7"/>
      <c r="F24" s="7" t="s">
        <v>84</v>
      </c>
      <c r="G24" s="8" t="s">
        <v>85</v>
      </c>
      <c r="H24" s="7" t="s">
        <v>44</v>
      </c>
      <c r="I24" s="7">
        <v>95</v>
      </c>
      <c r="J24" s="7">
        <v>76</v>
      </c>
      <c r="K24" s="7">
        <v>100</v>
      </c>
      <c r="L24" s="7"/>
      <c r="M24" s="7" t="s">
        <v>31</v>
      </c>
      <c r="N24" s="7"/>
      <c r="O24" s="7" t="s">
        <v>372</v>
      </c>
      <c r="P24" s="7" t="s">
        <v>363</v>
      </c>
      <c r="Q24" s="7"/>
    </row>
    <row r="25" spans="1:17" ht="16" customHeight="1" x14ac:dyDescent="0.2">
      <c r="A25" s="7" t="s">
        <v>241</v>
      </c>
      <c r="B25" s="7" t="s">
        <v>61</v>
      </c>
      <c r="C25" s="7" t="s">
        <v>55</v>
      </c>
      <c r="D25" s="7" t="s">
        <v>381</v>
      </c>
      <c r="E25" s="7"/>
      <c r="F25" s="7" t="s">
        <v>88</v>
      </c>
      <c r="G25" s="8" t="s">
        <v>89</v>
      </c>
      <c r="H25" s="7" t="s">
        <v>30</v>
      </c>
      <c r="I25" s="7" t="s">
        <v>41</v>
      </c>
      <c r="J25" s="7"/>
      <c r="K25" s="7"/>
      <c r="L25" s="7"/>
      <c r="M25" s="7" t="s">
        <v>90</v>
      </c>
      <c r="N25" s="7" t="s">
        <v>91</v>
      </c>
      <c r="O25" s="7"/>
      <c r="P25" s="7" t="s">
        <v>363</v>
      </c>
      <c r="Q25" s="7"/>
    </row>
    <row r="26" spans="1:17" ht="16" customHeight="1" x14ac:dyDescent="0.2">
      <c r="A26" s="7" t="s">
        <v>241</v>
      </c>
      <c r="B26" s="7" t="s">
        <v>61</v>
      </c>
      <c r="C26" s="7" t="s">
        <v>55</v>
      </c>
      <c r="D26" s="7" t="s">
        <v>382</v>
      </c>
      <c r="E26" s="7"/>
      <c r="F26" s="7" t="s">
        <v>63</v>
      </c>
      <c r="G26" s="8" t="s">
        <v>64</v>
      </c>
      <c r="H26" s="7" t="s">
        <v>65</v>
      </c>
      <c r="I26" s="7">
        <v>3000</v>
      </c>
      <c r="J26" s="7">
        <v>2400</v>
      </c>
      <c r="K26" s="7">
        <v>3600</v>
      </c>
      <c r="L26" s="7"/>
      <c r="M26" s="7" t="s">
        <v>31</v>
      </c>
      <c r="N26" s="7"/>
      <c r="O26" s="7" t="s">
        <v>372</v>
      </c>
      <c r="P26" s="7" t="s">
        <v>363</v>
      </c>
      <c r="Q26" s="7"/>
    </row>
    <row r="27" spans="1:17" ht="16" customHeight="1" x14ac:dyDescent="0.2">
      <c r="A27" s="7" t="s">
        <v>241</v>
      </c>
      <c r="B27" s="7" t="s">
        <v>61</v>
      </c>
      <c r="C27" s="7" t="s">
        <v>55</v>
      </c>
      <c r="D27" s="7" t="s">
        <v>382</v>
      </c>
      <c r="E27" s="7"/>
      <c r="F27" s="7" t="s">
        <v>69</v>
      </c>
      <c r="G27" s="8" t="s">
        <v>70</v>
      </c>
      <c r="H27" s="7" t="s">
        <v>71</v>
      </c>
      <c r="I27" s="7">
        <v>6</v>
      </c>
      <c r="J27" s="7">
        <v>4.8</v>
      </c>
      <c r="K27" s="7">
        <v>7.2</v>
      </c>
      <c r="L27" s="7"/>
      <c r="M27" s="7" t="s">
        <v>31</v>
      </c>
      <c r="N27" s="7"/>
      <c r="O27" s="7" t="s">
        <v>372</v>
      </c>
      <c r="P27" s="7" t="s">
        <v>363</v>
      </c>
      <c r="Q27" s="7"/>
    </row>
    <row r="28" spans="1:17" ht="16" customHeight="1" x14ac:dyDescent="0.2">
      <c r="A28" s="7" t="s">
        <v>241</v>
      </c>
      <c r="B28" s="7" t="s">
        <v>61</v>
      </c>
      <c r="C28" s="7" t="s">
        <v>55</v>
      </c>
      <c r="D28" s="7" t="s">
        <v>382</v>
      </c>
      <c r="E28" s="7"/>
      <c r="F28" s="7" t="s">
        <v>74</v>
      </c>
      <c r="G28" s="8" t="s">
        <v>75</v>
      </c>
      <c r="H28" s="7" t="s">
        <v>76</v>
      </c>
      <c r="I28" s="7">
        <v>4</v>
      </c>
      <c r="J28" s="7">
        <v>3.2</v>
      </c>
      <c r="K28" s="7">
        <v>4.8</v>
      </c>
      <c r="L28" s="7"/>
      <c r="M28" s="7" t="s">
        <v>31</v>
      </c>
      <c r="N28" s="7"/>
      <c r="O28" s="7" t="s">
        <v>372</v>
      </c>
      <c r="P28" s="7" t="s">
        <v>363</v>
      </c>
      <c r="Q28" s="7"/>
    </row>
    <row r="29" spans="1:17" ht="16" customHeight="1" x14ac:dyDescent="0.2">
      <c r="A29" s="7" t="s">
        <v>241</v>
      </c>
      <c r="B29" s="7" t="s">
        <v>61</v>
      </c>
      <c r="C29" s="7" t="s">
        <v>55</v>
      </c>
      <c r="D29" s="7" t="s">
        <v>382</v>
      </c>
      <c r="E29" s="7"/>
      <c r="F29" s="7" t="s">
        <v>79</v>
      </c>
      <c r="G29" s="8" t="s">
        <v>80</v>
      </c>
      <c r="H29" s="7" t="s">
        <v>81</v>
      </c>
      <c r="I29" s="7">
        <v>50000</v>
      </c>
      <c r="J29" s="7">
        <v>40000</v>
      </c>
      <c r="K29" s="7">
        <v>60000</v>
      </c>
      <c r="L29" s="7"/>
      <c r="M29" s="7" t="s">
        <v>31</v>
      </c>
      <c r="N29" s="7"/>
      <c r="O29" s="7" t="s">
        <v>372</v>
      </c>
      <c r="P29" s="7" t="s">
        <v>363</v>
      </c>
      <c r="Q29" s="7"/>
    </row>
    <row r="30" spans="1:17" ht="32" customHeight="1" x14ac:dyDescent="0.2">
      <c r="A30" s="7" t="s">
        <v>241</v>
      </c>
      <c r="B30" s="7" t="s">
        <v>61</v>
      </c>
      <c r="C30" s="7" t="s">
        <v>55</v>
      </c>
      <c r="D30" s="7" t="s">
        <v>382</v>
      </c>
      <c r="E30" s="7"/>
      <c r="F30" s="7" t="s">
        <v>84</v>
      </c>
      <c r="G30" s="8" t="s">
        <v>85</v>
      </c>
      <c r="H30" s="7" t="s">
        <v>44</v>
      </c>
      <c r="I30" s="7">
        <v>95</v>
      </c>
      <c r="J30" s="7">
        <v>76</v>
      </c>
      <c r="K30" s="7">
        <v>100</v>
      </c>
      <c r="L30" s="7"/>
      <c r="M30" s="7" t="s">
        <v>31</v>
      </c>
      <c r="N30" s="7"/>
      <c r="O30" s="7" t="s">
        <v>372</v>
      </c>
      <c r="P30" s="7" t="s">
        <v>363</v>
      </c>
      <c r="Q30" s="7"/>
    </row>
    <row r="31" spans="1:17" ht="16" customHeight="1" x14ac:dyDescent="0.2">
      <c r="A31" s="7" t="s">
        <v>241</v>
      </c>
      <c r="B31" s="7" t="s">
        <v>61</v>
      </c>
      <c r="C31" s="7" t="s">
        <v>55</v>
      </c>
      <c r="D31" s="7" t="s">
        <v>382</v>
      </c>
      <c r="E31" s="7"/>
      <c r="F31" s="7" t="s">
        <v>88</v>
      </c>
      <c r="G31" s="8" t="s">
        <v>89</v>
      </c>
      <c r="H31" s="7" t="s">
        <v>30</v>
      </c>
      <c r="I31" s="7" t="s">
        <v>41</v>
      </c>
      <c r="J31" s="7"/>
      <c r="K31" s="7"/>
      <c r="L31" s="7"/>
      <c r="M31" s="7" t="s">
        <v>90</v>
      </c>
      <c r="N31" s="7" t="s">
        <v>91</v>
      </c>
      <c r="O31" s="7"/>
      <c r="P31" s="7" t="s">
        <v>363</v>
      </c>
      <c r="Q31" s="7"/>
    </row>
    <row r="32" spans="1:17" ht="16" customHeight="1" x14ac:dyDescent="0.2">
      <c r="A32" s="7" t="s">
        <v>241</v>
      </c>
      <c r="B32" s="7" t="s">
        <v>142</v>
      </c>
      <c r="C32" s="7" t="s">
        <v>143</v>
      </c>
      <c r="D32" s="7" t="s">
        <v>20</v>
      </c>
      <c r="E32" s="7"/>
      <c r="F32" s="7" t="s">
        <v>144</v>
      </c>
      <c r="G32" s="8" t="s">
        <v>145</v>
      </c>
      <c r="H32" s="7" t="s">
        <v>146</v>
      </c>
      <c r="I32" s="7">
        <v>50</v>
      </c>
      <c r="J32" s="7">
        <v>40</v>
      </c>
      <c r="K32" s="7">
        <v>60</v>
      </c>
      <c r="L32" s="7"/>
      <c r="M32" s="7" t="s">
        <v>31</v>
      </c>
      <c r="N32" s="7"/>
      <c r="O32" s="7"/>
      <c r="P32" s="7" t="s">
        <v>363</v>
      </c>
      <c r="Q32" s="7"/>
    </row>
    <row r="33" spans="1:17" ht="16" customHeight="1" x14ac:dyDescent="0.2">
      <c r="A33" s="7" t="s">
        <v>241</v>
      </c>
      <c r="B33" s="7" t="s">
        <v>142</v>
      </c>
      <c r="C33" s="7" t="s">
        <v>143</v>
      </c>
      <c r="D33" s="7" t="s">
        <v>20</v>
      </c>
      <c r="E33" s="7"/>
      <c r="F33" s="7" t="s">
        <v>149</v>
      </c>
      <c r="G33" s="8" t="s">
        <v>150</v>
      </c>
      <c r="H33" s="7" t="s">
        <v>146</v>
      </c>
      <c r="I33" s="7">
        <v>10</v>
      </c>
      <c r="J33" s="7">
        <v>8</v>
      </c>
      <c r="K33" s="7">
        <v>12</v>
      </c>
      <c r="L33" s="7"/>
      <c r="M33" s="7" t="s">
        <v>31</v>
      </c>
      <c r="N33" s="7"/>
      <c r="O33" s="7"/>
      <c r="P33" s="7" t="s">
        <v>363</v>
      </c>
      <c r="Q33" s="7"/>
    </row>
    <row r="34" spans="1:17" ht="16" customHeight="1" x14ac:dyDescent="0.2">
      <c r="A34" s="7" t="s">
        <v>241</v>
      </c>
      <c r="B34" s="7" t="s">
        <v>142</v>
      </c>
      <c r="C34" s="7" t="s">
        <v>55</v>
      </c>
      <c r="D34" s="7" t="s">
        <v>152</v>
      </c>
      <c r="E34" s="7"/>
      <c r="F34" s="7" t="s">
        <v>153</v>
      </c>
      <c r="G34" s="8" t="s">
        <v>154</v>
      </c>
      <c r="H34" s="7" t="s">
        <v>44</v>
      </c>
      <c r="I34" s="7">
        <v>10</v>
      </c>
      <c r="J34" s="7">
        <v>8</v>
      </c>
      <c r="K34" s="7">
        <v>12</v>
      </c>
      <c r="L34" s="7"/>
      <c r="M34" s="7" t="s">
        <v>31</v>
      </c>
      <c r="N34" s="7"/>
      <c r="O34" s="7"/>
      <c r="P34" s="7" t="s">
        <v>363</v>
      </c>
      <c r="Q34" s="7"/>
    </row>
    <row r="35" spans="1:17" ht="16" customHeight="1" x14ac:dyDescent="0.2">
      <c r="A35" s="7" t="s">
        <v>241</v>
      </c>
      <c r="B35" s="7" t="s">
        <v>142</v>
      </c>
      <c r="C35" s="7" t="s">
        <v>156</v>
      </c>
      <c r="D35" s="7" t="s">
        <v>157</v>
      </c>
      <c r="E35" s="7" t="s">
        <v>158</v>
      </c>
      <c r="F35" s="7" t="s">
        <v>159</v>
      </c>
      <c r="G35" s="8" t="s">
        <v>160</v>
      </c>
      <c r="H35" s="7" t="s">
        <v>44</v>
      </c>
      <c r="I35" s="7">
        <v>0</v>
      </c>
      <c r="J35" s="7">
        <v>0</v>
      </c>
      <c r="K35" s="7">
        <v>0</v>
      </c>
      <c r="L35" s="7"/>
      <c r="M35" s="7" t="s">
        <v>24</v>
      </c>
      <c r="N35" s="7"/>
      <c r="O35" s="7"/>
      <c r="P35" s="7" t="s">
        <v>363</v>
      </c>
      <c r="Q35" s="7"/>
    </row>
    <row r="36" spans="1:17" ht="32" customHeight="1" x14ac:dyDescent="0.2">
      <c r="A36" s="7" t="s">
        <v>241</v>
      </c>
      <c r="B36" s="7" t="s">
        <v>142</v>
      </c>
      <c r="C36" s="7" t="s">
        <v>156</v>
      </c>
      <c r="D36" s="7" t="s">
        <v>157</v>
      </c>
      <c r="E36" s="7" t="s">
        <v>163</v>
      </c>
      <c r="F36" s="7" t="s">
        <v>159</v>
      </c>
      <c r="G36" s="8" t="s">
        <v>164</v>
      </c>
      <c r="H36" s="7" t="s">
        <v>44</v>
      </c>
      <c r="I36" s="7">
        <v>0</v>
      </c>
      <c r="J36" s="7">
        <v>0</v>
      </c>
      <c r="K36" s="7">
        <v>0</v>
      </c>
      <c r="L36" s="7"/>
      <c r="M36" s="7" t="s">
        <v>24</v>
      </c>
      <c r="N36" s="7"/>
      <c r="O36" s="7"/>
      <c r="P36" s="7" t="s">
        <v>363</v>
      </c>
      <c r="Q36" s="7"/>
    </row>
    <row r="37" spans="1:17" ht="32" customHeight="1" x14ac:dyDescent="0.2">
      <c r="A37" s="7" t="s">
        <v>241</v>
      </c>
      <c r="B37" s="7" t="s">
        <v>142</v>
      </c>
      <c r="C37" s="7" t="s">
        <v>156</v>
      </c>
      <c r="D37" s="7" t="s">
        <v>157</v>
      </c>
      <c r="E37" s="7" t="s">
        <v>166</v>
      </c>
      <c r="F37" s="7" t="s">
        <v>159</v>
      </c>
      <c r="G37" s="8" t="s">
        <v>167</v>
      </c>
      <c r="H37" s="7" t="s">
        <v>44</v>
      </c>
      <c r="I37" s="7">
        <v>20</v>
      </c>
      <c r="J37" s="7">
        <v>16</v>
      </c>
      <c r="K37" s="7">
        <v>24</v>
      </c>
      <c r="L37" s="7"/>
      <c r="M37" s="7" t="s">
        <v>31</v>
      </c>
      <c r="N37" s="7"/>
      <c r="O37" s="7"/>
      <c r="P37" s="7" t="s">
        <v>363</v>
      </c>
      <c r="Q37" s="7"/>
    </row>
    <row r="38" spans="1:17" ht="32" customHeight="1" x14ac:dyDescent="0.2">
      <c r="A38" s="7" t="s">
        <v>241</v>
      </c>
      <c r="B38" s="7" t="s">
        <v>142</v>
      </c>
      <c r="C38" s="7" t="s">
        <v>156</v>
      </c>
      <c r="D38" s="7" t="s">
        <v>157</v>
      </c>
      <c r="E38" s="7" t="s">
        <v>169</v>
      </c>
      <c r="F38" s="7" t="s">
        <v>159</v>
      </c>
      <c r="G38" s="8" t="s">
        <v>170</v>
      </c>
      <c r="H38" s="7" t="s">
        <v>44</v>
      </c>
      <c r="I38" s="7">
        <v>80</v>
      </c>
      <c r="J38" s="7">
        <v>64</v>
      </c>
      <c r="K38" s="7">
        <v>96</v>
      </c>
      <c r="L38" s="7"/>
      <c r="M38" s="7" t="s">
        <v>31</v>
      </c>
      <c r="N38" s="7"/>
      <c r="O38" s="7"/>
      <c r="P38" s="7" t="s">
        <v>363</v>
      </c>
      <c r="Q38" s="7"/>
    </row>
    <row r="39" spans="1:17" ht="32" customHeight="1" x14ac:dyDescent="0.2">
      <c r="A39" s="7" t="s">
        <v>241</v>
      </c>
      <c r="B39" s="7" t="s">
        <v>142</v>
      </c>
      <c r="C39" s="7" t="s">
        <v>156</v>
      </c>
      <c r="D39" s="7" t="s">
        <v>157</v>
      </c>
      <c r="E39" s="7" t="s">
        <v>172</v>
      </c>
      <c r="F39" s="7" t="s">
        <v>159</v>
      </c>
      <c r="G39" s="8" t="s">
        <v>173</v>
      </c>
      <c r="H39" s="7" t="s">
        <v>44</v>
      </c>
      <c r="I39" s="7">
        <v>0</v>
      </c>
      <c r="J39" s="7">
        <v>0</v>
      </c>
      <c r="K39" s="7">
        <v>0</v>
      </c>
      <c r="L39" s="7"/>
      <c r="M39" s="7" t="s">
        <v>24</v>
      </c>
      <c r="N39" s="7"/>
      <c r="O39" s="7"/>
      <c r="P39" s="7" t="s">
        <v>363</v>
      </c>
      <c r="Q39" s="7"/>
    </row>
    <row r="40" spans="1:17" ht="32" customHeight="1" x14ac:dyDescent="0.2">
      <c r="A40" s="7" t="s">
        <v>241</v>
      </c>
      <c r="B40" s="7" t="s">
        <v>175</v>
      </c>
      <c r="C40" s="7" t="s">
        <v>176</v>
      </c>
      <c r="D40" s="7" t="s">
        <v>20</v>
      </c>
      <c r="E40" s="7"/>
      <c r="F40" s="7" t="s">
        <v>175</v>
      </c>
      <c r="G40" s="8" t="s">
        <v>177</v>
      </c>
      <c r="H40" s="7" t="s">
        <v>178</v>
      </c>
      <c r="I40" s="7" t="s">
        <v>179</v>
      </c>
      <c r="J40" s="7"/>
      <c r="K40" s="7"/>
      <c r="L40" s="7"/>
      <c r="M40" s="7" t="s">
        <v>90</v>
      </c>
      <c r="N40" s="7"/>
      <c r="O40" s="7"/>
      <c r="P40" s="7" t="s">
        <v>363</v>
      </c>
      <c r="Q40" s="7"/>
    </row>
    <row r="41" spans="1:17" ht="32" customHeight="1" x14ac:dyDescent="0.2"/>
  </sheetData>
  <conditionalFormatting sqref="I2:I245">
    <cfRule type="expression" dxfId="8" priority="3">
      <formula>AND($F2&lt;&gt;"",$I2="")</formula>
    </cfRule>
  </conditionalFormatting>
  <conditionalFormatting sqref="I2:P245">
    <cfRule type="expression" dxfId="7" priority="1">
      <formula>$P2="placeholder"</formula>
    </cfRule>
  </conditionalFormatting>
  <conditionalFormatting sqref="J2:K245">
    <cfRule type="expression" dxfId="6" priority="2">
      <formula>AND(OR($M2="triangular",$M2="uniform"),OR($J2="",$K2=""))</formula>
    </cfRule>
  </conditionalFormatting>
  <dataValidations count="4">
    <dataValidation type="list" allowBlank="1" showErrorMessage="1" sqref="B2:B245" xr:uid="{00000000-0002-0000-0700-000000000000}">
      <formula1>"design,manufacturing,circularity,location"</formula1>
    </dataValidation>
    <dataValidation type="list" allowBlank="1" showErrorMessage="1" sqref="C2:C245" xr:uid="{00000000-0002-0000-0700-000001000000}">
      <formula1>"product size,production,repair,use,end-of-life,general"</formula1>
    </dataValidation>
    <dataValidation type="list" allowBlank="1" showErrorMessage="1" sqref="M2:M245" xr:uid="{00000000-0002-0000-0700-000002000000}">
      <formula1>"fixed,triangular,uniform,choice"</formula1>
    </dataValidation>
    <dataValidation type="list" allowBlank="1" showErrorMessage="1" sqref="P2:P245" xr:uid="{00000000-0002-0000-0700-000003000000}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C47D"/>
  </sheetPr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20" customWidth="1"/>
    <col min="3" max="3" width="23" customWidth="1"/>
    <col min="4" max="4" width="21" customWidth="1"/>
    <col min="5" max="5" width="14" customWidth="1"/>
    <col min="6" max="6" width="27" customWidth="1"/>
    <col min="7" max="8" width="45" customWidth="1"/>
    <col min="9" max="9" width="15" customWidth="1"/>
    <col min="10" max="10" width="19" customWidth="1"/>
    <col min="11" max="11" width="11" customWidth="1"/>
    <col min="12" max="12" width="23" customWidth="1"/>
    <col min="13" max="13" width="15" customWidth="1"/>
    <col min="14" max="14" width="45" customWidth="1"/>
    <col min="15" max="15" width="24" customWidth="1"/>
    <col min="16" max="16" width="45" customWidth="1"/>
  </cols>
  <sheetData>
    <row r="1" spans="1:12" x14ac:dyDescent="0.2">
      <c r="A1" s="9" t="s">
        <v>608</v>
      </c>
      <c r="B1" s="9" t="s">
        <v>609</v>
      </c>
      <c r="C1" s="9" t="s">
        <v>610</v>
      </c>
      <c r="D1" s="9" t="s">
        <v>611</v>
      </c>
      <c r="E1" s="9" t="s">
        <v>612</v>
      </c>
      <c r="F1" s="9" t="s">
        <v>613</v>
      </c>
      <c r="G1" s="9" t="s">
        <v>614</v>
      </c>
      <c r="H1" s="9" t="s">
        <v>615</v>
      </c>
      <c r="I1" s="9" t="s">
        <v>616</v>
      </c>
      <c r="J1" s="9" t="s">
        <v>617</v>
      </c>
      <c r="K1" s="9" t="s">
        <v>618</v>
      </c>
      <c r="L1" s="9" t="s">
        <v>16</v>
      </c>
    </row>
    <row r="2" spans="1:12" x14ac:dyDescent="0.2">
      <c r="A2" s="10" t="s">
        <v>619</v>
      </c>
      <c r="B2" s="10" t="s">
        <v>620</v>
      </c>
      <c r="C2" s="10" t="s">
        <v>239</v>
      </c>
      <c r="D2" s="10" t="s">
        <v>239</v>
      </c>
      <c r="E2" s="10" t="s">
        <v>621</v>
      </c>
      <c r="F2" s="10" t="s">
        <v>238</v>
      </c>
      <c r="G2" s="10" t="s">
        <v>23</v>
      </c>
      <c r="H2" s="10" t="s">
        <v>622</v>
      </c>
      <c r="I2" s="10" t="s">
        <v>65</v>
      </c>
      <c r="J2" s="10" t="s">
        <v>623</v>
      </c>
      <c r="K2" s="10">
        <v>0.36583300000000002</v>
      </c>
      <c r="L2" s="10" t="s">
        <v>624</v>
      </c>
    </row>
    <row r="3" spans="1:12" x14ac:dyDescent="0.2">
      <c r="A3" s="10" t="s">
        <v>619</v>
      </c>
      <c r="B3" s="10" t="s">
        <v>625</v>
      </c>
      <c r="C3" s="10" t="s">
        <v>240</v>
      </c>
      <c r="D3" s="10" t="s">
        <v>240</v>
      </c>
      <c r="E3" s="10" t="s">
        <v>621</v>
      </c>
      <c r="F3" s="10" t="s">
        <v>238</v>
      </c>
      <c r="G3" s="10" t="s">
        <v>23</v>
      </c>
      <c r="H3" s="10" t="s">
        <v>626</v>
      </c>
      <c r="I3" s="10" t="s">
        <v>65</v>
      </c>
      <c r="J3" s="10" t="s">
        <v>627</v>
      </c>
      <c r="K3" s="10">
        <v>8.3333300000000001</v>
      </c>
      <c r="L3" s="10" t="s">
        <v>628</v>
      </c>
    </row>
    <row r="4" spans="1:12" x14ac:dyDescent="0.2">
      <c r="A4" s="10" t="s">
        <v>619</v>
      </c>
      <c r="B4" s="10" t="s">
        <v>620</v>
      </c>
      <c r="C4" s="10" t="s">
        <v>520</v>
      </c>
      <c r="D4" s="10" t="s">
        <v>520</v>
      </c>
      <c r="E4" s="10" t="s">
        <v>621</v>
      </c>
      <c r="F4" s="10" t="s">
        <v>238</v>
      </c>
      <c r="G4" s="10" t="s">
        <v>23</v>
      </c>
      <c r="H4" s="10" t="s">
        <v>629</v>
      </c>
      <c r="I4" s="10" t="s">
        <v>65</v>
      </c>
      <c r="J4" s="10" t="s">
        <v>630</v>
      </c>
      <c r="K4" s="10">
        <v>5.5</v>
      </c>
      <c r="L4" s="10" t="s">
        <v>631</v>
      </c>
    </row>
    <row r="5" spans="1:12" x14ac:dyDescent="0.2">
      <c r="A5" s="10" t="s">
        <v>632</v>
      </c>
      <c r="B5" s="10" t="s">
        <v>620</v>
      </c>
      <c r="C5" s="10" t="s">
        <v>246</v>
      </c>
      <c r="D5" s="10" t="s">
        <v>246</v>
      </c>
      <c r="E5" s="10" t="s">
        <v>633</v>
      </c>
      <c r="F5" s="10" t="s">
        <v>245</v>
      </c>
      <c r="G5" s="10" t="s">
        <v>23</v>
      </c>
      <c r="H5" s="10" t="s">
        <v>634</v>
      </c>
      <c r="I5" s="10" t="s">
        <v>65</v>
      </c>
      <c r="J5" s="10" t="s">
        <v>635</v>
      </c>
      <c r="K5" s="10">
        <v>1530</v>
      </c>
      <c r="L5" s="10" t="s">
        <v>636</v>
      </c>
    </row>
    <row r="6" spans="1:12" x14ac:dyDescent="0.2">
      <c r="A6" s="10" t="s">
        <v>632</v>
      </c>
      <c r="B6" s="10" t="s">
        <v>625</v>
      </c>
      <c r="C6" s="10" t="s">
        <v>247</v>
      </c>
      <c r="D6" s="10" t="s">
        <v>247</v>
      </c>
      <c r="E6" s="10" t="s">
        <v>633</v>
      </c>
      <c r="F6" s="10" t="s">
        <v>245</v>
      </c>
      <c r="G6" s="10" t="s">
        <v>23</v>
      </c>
      <c r="H6" s="10" t="s">
        <v>637</v>
      </c>
      <c r="I6" s="10" t="s">
        <v>65</v>
      </c>
      <c r="J6" s="10" t="s">
        <v>638</v>
      </c>
      <c r="K6" s="10">
        <v>655.5</v>
      </c>
      <c r="L6" s="10" t="s">
        <v>639</v>
      </c>
    </row>
    <row r="7" spans="1:12" x14ac:dyDescent="0.2">
      <c r="A7" s="10" t="s">
        <v>640</v>
      </c>
      <c r="B7" s="10" t="s">
        <v>625</v>
      </c>
      <c r="C7" s="10" t="s">
        <v>253</v>
      </c>
      <c r="D7" s="10" t="s">
        <v>253</v>
      </c>
      <c r="E7" s="10" t="s">
        <v>641</v>
      </c>
      <c r="F7" s="10" t="s">
        <v>251</v>
      </c>
      <c r="G7" s="10" t="s">
        <v>252</v>
      </c>
      <c r="H7" s="10" t="s">
        <v>642</v>
      </c>
      <c r="I7" s="10" t="s">
        <v>65</v>
      </c>
      <c r="J7" s="10" t="s">
        <v>643</v>
      </c>
      <c r="K7" s="10">
        <v>0.3</v>
      </c>
      <c r="L7" s="10" t="s">
        <v>644</v>
      </c>
    </row>
    <row r="8" spans="1:12" x14ac:dyDescent="0.2">
      <c r="A8" s="10" t="s">
        <v>619</v>
      </c>
      <c r="B8" s="10" t="s">
        <v>645</v>
      </c>
      <c r="C8" s="10" t="s">
        <v>235</v>
      </c>
      <c r="D8" s="10" t="s">
        <v>646</v>
      </c>
      <c r="E8" s="10" t="s">
        <v>621</v>
      </c>
      <c r="F8" s="10" t="s">
        <v>238</v>
      </c>
      <c r="G8" s="10" t="s">
        <v>23</v>
      </c>
      <c r="H8" s="10" t="s">
        <v>647</v>
      </c>
      <c r="I8" s="10" t="s">
        <v>65</v>
      </c>
      <c r="J8" s="10" t="s">
        <v>648</v>
      </c>
      <c r="K8" s="10">
        <v>0.4</v>
      </c>
      <c r="L8" s="10" t="s">
        <v>649</v>
      </c>
    </row>
    <row r="9" spans="1:12" x14ac:dyDescent="0.2">
      <c r="A9" s="10" t="s">
        <v>619</v>
      </c>
      <c r="B9" s="10" t="s">
        <v>645</v>
      </c>
      <c r="C9" s="10" t="s">
        <v>241</v>
      </c>
      <c r="D9" s="10" t="s">
        <v>650</v>
      </c>
      <c r="E9" s="10" t="s">
        <v>621</v>
      </c>
      <c r="F9" s="10" t="s">
        <v>238</v>
      </c>
      <c r="G9" s="10" t="s">
        <v>23</v>
      </c>
      <c r="H9" s="10" t="s">
        <v>651</v>
      </c>
      <c r="I9" s="10" t="s">
        <v>65</v>
      </c>
      <c r="J9" s="10" t="s">
        <v>652</v>
      </c>
      <c r="K9" s="10">
        <v>3.3</v>
      </c>
      <c r="L9" s="10" t="s">
        <v>653</v>
      </c>
    </row>
    <row r="10" spans="1:12" x14ac:dyDescent="0.2">
      <c r="A10" s="10" t="s">
        <v>632</v>
      </c>
      <c r="B10" s="10" t="s">
        <v>645</v>
      </c>
      <c r="C10" s="10" t="s">
        <v>17</v>
      </c>
      <c r="D10" s="10" t="s">
        <v>654</v>
      </c>
      <c r="E10" s="10" t="s">
        <v>633</v>
      </c>
      <c r="F10" s="10" t="s">
        <v>245</v>
      </c>
      <c r="G10" s="10" t="s">
        <v>23</v>
      </c>
      <c r="H10" s="10" t="s">
        <v>655</v>
      </c>
      <c r="I10" s="10" t="s">
        <v>65</v>
      </c>
      <c r="J10" s="10" t="s">
        <v>635</v>
      </c>
      <c r="K10" s="10">
        <v>315</v>
      </c>
      <c r="L10" s="10" t="s">
        <v>656</v>
      </c>
    </row>
    <row r="11" spans="1:12" x14ac:dyDescent="0.2">
      <c r="A11" s="10" t="s">
        <v>640</v>
      </c>
      <c r="B11" s="10" t="s">
        <v>645</v>
      </c>
      <c r="C11" s="10" t="s">
        <v>248</v>
      </c>
      <c r="D11" s="10" t="s">
        <v>657</v>
      </c>
      <c r="E11" s="10" t="s">
        <v>641</v>
      </c>
      <c r="F11" s="10" t="s">
        <v>251</v>
      </c>
      <c r="G11" s="10" t="s">
        <v>252</v>
      </c>
      <c r="H11" s="10" t="s">
        <v>658</v>
      </c>
      <c r="I11" s="10" t="s">
        <v>65</v>
      </c>
      <c r="J11" s="10" t="s">
        <v>643</v>
      </c>
      <c r="K11" s="10">
        <v>0.4</v>
      </c>
      <c r="L11" s="10" t="s">
        <v>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FC5E8"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17" customWidth="1"/>
    <col min="4" max="4" width="45" customWidth="1"/>
    <col min="5" max="5" width="32" customWidth="1"/>
    <col min="6" max="6" width="45" customWidth="1"/>
    <col min="7" max="7" width="25" customWidth="1"/>
    <col min="8" max="8" width="45" customWidth="1"/>
    <col min="9" max="9" width="14" customWidth="1"/>
  </cols>
  <sheetData>
    <row r="1" spans="1:9" x14ac:dyDescent="0.2">
      <c r="A1" s="11" t="s">
        <v>615</v>
      </c>
      <c r="B1" s="11" t="s">
        <v>7</v>
      </c>
      <c r="C1" s="11" t="s">
        <v>660</v>
      </c>
      <c r="D1" s="11" t="s">
        <v>661</v>
      </c>
      <c r="E1" s="11" t="s">
        <v>662</v>
      </c>
      <c r="F1" s="11" t="s">
        <v>663</v>
      </c>
      <c r="G1" s="11" t="s">
        <v>664</v>
      </c>
      <c r="H1" s="11" t="s">
        <v>16</v>
      </c>
      <c r="I1" s="11" t="s">
        <v>665</v>
      </c>
    </row>
    <row r="2" spans="1:9" x14ac:dyDescent="0.2">
      <c r="A2" s="12" t="s">
        <v>666</v>
      </c>
      <c r="B2" s="12"/>
      <c r="C2" s="12"/>
      <c r="D2" s="12"/>
      <c r="E2" s="12"/>
      <c r="F2" s="12"/>
      <c r="G2" s="12"/>
      <c r="H2" s="12"/>
      <c r="I2" s="12"/>
    </row>
    <row r="3" spans="1:9" x14ac:dyDescent="0.2">
      <c r="A3" s="12" t="s">
        <v>667</v>
      </c>
      <c r="B3" s="12" t="s">
        <v>65</v>
      </c>
      <c r="C3" s="12" t="s">
        <v>41</v>
      </c>
      <c r="D3" s="12" t="s">
        <v>668</v>
      </c>
      <c r="E3" s="12" t="s">
        <v>669</v>
      </c>
      <c r="F3" s="12" t="s">
        <v>670</v>
      </c>
      <c r="G3" s="12"/>
      <c r="H3" s="12"/>
      <c r="I3" s="12"/>
    </row>
    <row r="4" spans="1:9" x14ac:dyDescent="0.2">
      <c r="A4" s="12" t="s">
        <v>671</v>
      </c>
      <c r="B4" s="12" t="s">
        <v>65</v>
      </c>
      <c r="C4" s="12" t="s">
        <v>41</v>
      </c>
      <c r="D4" s="12" t="s">
        <v>672</v>
      </c>
      <c r="E4" s="12" t="s">
        <v>669</v>
      </c>
      <c r="F4" s="12" t="s">
        <v>673</v>
      </c>
      <c r="G4" s="12"/>
      <c r="H4" s="12"/>
      <c r="I4" s="12"/>
    </row>
    <row r="5" spans="1:9" x14ac:dyDescent="0.2">
      <c r="A5" s="12" t="s">
        <v>60</v>
      </c>
      <c r="B5" s="12" t="s">
        <v>65</v>
      </c>
      <c r="C5" s="12" t="s">
        <v>41</v>
      </c>
      <c r="D5" s="12" t="s">
        <v>674</v>
      </c>
      <c r="E5" s="12" t="s">
        <v>675</v>
      </c>
      <c r="F5" s="12" t="s">
        <v>676</v>
      </c>
      <c r="G5" s="12"/>
      <c r="H5" s="12"/>
      <c r="I5" s="12"/>
    </row>
    <row r="6" spans="1:9" x14ac:dyDescent="0.2">
      <c r="A6" s="12" t="s">
        <v>367</v>
      </c>
      <c r="B6" s="12" t="s">
        <v>65</v>
      </c>
      <c r="C6" s="12" t="s">
        <v>41</v>
      </c>
      <c r="D6" s="12" t="s">
        <v>677</v>
      </c>
      <c r="E6" s="12" t="s">
        <v>678</v>
      </c>
      <c r="F6" s="12" t="s">
        <v>679</v>
      </c>
      <c r="G6" s="12"/>
      <c r="H6" s="12"/>
      <c r="I6" s="12"/>
    </row>
    <row r="7" spans="1:9" x14ac:dyDescent="0.2">
      <c r="A7" s="12" t="s">
        <v>680</v>
      </c>
      <c r="B7" s="12" t="s">
        <v>65</v>
      </c>
      <c r="C7" s="12" t="s">
        <v>41</v>
      </c>
      <c r="D7" s="12" t="s">
        <v>681</v>
      </c>
      <c r="E7" s="12" t="s">
        <v>678</v>
      </c>
      <c r="F7" s="12" t="s">
        <v>682</v>
      </c>
      <c r="G7" s="12"/>
      <c r="H7" s="12"/>
      <c r="I7" s="12"/>
    </row>
    <row r="8" spans="1:9" x14ac:dyDescent="0.2">
      <c r="A8" s="12" t="s">
        <v>40</v>
      </c>
      <c r="B8" s="12" t="s">
        <v>65</v>
      </c>
      <c r="C8" s="12" t="s">
        <v>41</v>
      </c>
      <c r="D8" s="12"/>
      <c r="E8" s="12" t="s">
        <v>683</v>
      </c>
      <c r="F8" s="12"/>
      <c r="G8" s="12" t="s">
        <v>684</v>
      </c>
      <c r="H8" s="12"/>
      <c r="I8" s="12"/>
    </row>
    <row r="9" spans="1:9" x14ac:dyDescent="0.2">
      <c r="A9" s="12" t="s">
        <v>685</v>
      </c>
      <c r="B9" s="12" t="s">
        <v>65</v>
      </c>
      <c r="C9" s="12" t="s">
        <v>48</v>
      </c>
      <c r="D9" s="12" t="s">
        <v>674</v>
      </c>
      <c r="E9" s="12" t="s">
        <v>675</v>
      </c>
      <c r="F9" s="12" t="s">
        <v>686</v>
      </c>
      <c r="G9" s="12"/>
      <c r="H9" s="12"/>
      <c r="I9" s="12"/>
    </row>
    <row r="10" spans="1:9" x14ac:dyDescent="0.2">
      <c r="A10" s="12" t="s">
        <v>687</v>
      </c>
      <c r="B10" s="12" t="s">
        <v>65</v>
      </c>
      <c r="C10" s="12" t="s">
        <v>48</v>
      </c>
      <c r="D10" s="12" t="s">
        <v>688</v>
      </c>
      <c r="E10" s="12" t="s">
        <v>689</v>
      </c>
      <c r="F10" s="12" t="s">
        <v>690</v>
      </c>
      <c r="G10" s="12"/>
      <c r="H10" s="12"/>
      <c r="I10" s="12"/>
    </row>
    <row r="11" spans="1:9" x14ac:dyDescent="0.2">
      <c r="A11" s="12" t="s">
        <v>47</v>
      </c>
      <c r="B11" s="12" t="s">
        <v>65</v>
      </c>
      <c r="C11" s="12" t="s">
        <v>48</v>
      </c>
      <c r="D11" s="12" t="s">
        <v>691</v>
      </c>
      <c r="E11" s="12" t="s">
        <v>689</v>
      </c>
      <c r="F11" s="12" t="s">
        <v>692</v>
      </c>
      <c r="G11" s="12"/>
      <c r="H11" s="12"/>
      <c r="I11" s="12"/>
    </row>
    <row r="12" spans="1:9" x14ac:dyDescent="0.2">
      <c r="A12" s="12" t="s">
        <v>693</v>
      </c>
      <c r="B12" s="12" t="s">
        <v>65</v>
      </c>
      <c r="C12" s="12" t="s">
        <v>48</v>
      </c>
      <c r="D12" s="12"/>
      <c r="E12" s="12" t="s">
        <v>683</v>
      </c>
      <c r="F12" s="12"/>
      <c r="G12" s="12" t="s">
        <v>694</v>
      </c>
      <c r="H12" s="12" t="s">
        <v>695</v>
      </c>
      <c r="I12" s="12"/>
    </row>
    <row r="13" spans="1:9" x14ac:dyDescent="0.2">
      <c r="A13" s="12" t="s">
        <v>667</v>
      </c>
      <c r="B13" s="12" t="s">
        <v>65</v>
      </c>
      <c r="C13" s="12" t="s">
        <v>368</v>
      </c>
      <c r="D13" s="12"/>
      <c r="E13" s="12" t="s">
        <v>683</v>
      </c>
      <c r="F13" s="12"/>
      <c r="G13" s="12" t="s">
        <v>694</v>
      </c>
      <c r="H13" s="12" t="s">
        <v>695</v>
      </c>
      <c r="I13" s="12"/>
    </row>
    <row r="14" spans="1:9" x14ac:dyDescent="0.2">
      <c r="A14" s="12" t="s">
        <v>671</v>
      </c>
      <c r="B14" s="12" t="s">
        <v>65</v>
      </c>
      <c r="C14" s="12" t="s">
        <v>368</v>
      </c>
      <c r="D14" s="12" t="s">
        <v>696</v>
      </c>
      <c r="E14" s="12" t="s">
        <v>697</v>
      </c>
      <c r="F14" s="12" t="s">
        <v>698</v>
      </c>
      <c r="G14" s="12"/>
      <c r="H14" s="12"/>
      <c r="I14" s="12"/>
    </row>
    <row r="15" spans="1:9" x14ac:dyDescent="0.2">
      <c r="A15" s="12" t="s">
        <v>367</v>
      </c>
      <c r="B15" s="12" t="s">
        <v>65</v>
      </c>
      <c r="C15" s="12" t="s">
        <v>368</v>
      </c>
      <c r="D15" s="12" t="s">
        <v>699</v>
      </c>
      <c r="E15" s="12" t="s">
        <v>683</v>
      </c>
      <c r="F15" s="12" t="s">
        <v>700</v>
      </c>
      <c r="G15" s="12"/>
      <c r="H15" s="12"/>
      <c r="I15" s="12"/>
    </row>
    <row r="16" spans="1:9" x14ac:dyDescent="0.2">
      <c r="A16" s="12" t="s">
        <v>680</v>
      </c>
      <c r="B16" s="12" t="s">
        <v>65</v>
      </c>
      <c r="C16" s="12" t="s">
        <v>368</v>
      </c>
      <c r="D16" s="12" t="s">
        <v>699</v>
      </c>
      <c r="E16" s="12" t="s">
        <v>683</v>
      </c>
      <c r="F16" s="12" t="s">
        <v>700</v>
      </c>
      <c r="G16" s="12"/>
      <c r="H16" s="12"/>
      <c r="I16" s="12"/>
    </row>
    <row r="17" spans="1:9" x14ac:dyDescent="0.2">
      <c r="A17" s="12" t="s">
        <v>51</v>
      </c>
      <c r="B17" s="12" t="s">
        <v>65</v>
      </c>
      <c r="C17" s="12" t="s">
        <v>52</v>
      </c>
      <c r="D17" s="12"/>
      <c r="E17" s="12"/>
      <c r="F17" s="12"/>
      <c r="G17" s="12" t="s">
        <v>694</v>
      </c>
      <c r="H17" s="12" t="s">
        <v>695</v>
      </c>
      <c r="I17" s="12"/>
    </row>
    <row r="18" spans="1:9" x14ac:dyDescent="0.2">
      <c r="A18" s="12" t="s">
        <v>701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2">
      <c r="A19" s="12" t="s">
        <v>465</v>
      </c>
      <c r="B19" s="12" t="s">
        <v>702</v>
      </c>
      <c r="C19" s="12"/>
      <c r="D19" s="12" t="s">
        <v>703</v>
      </c>
      <c r="E19" s="12" t="s">
        <v>704</v>
      </c>
      <c r="F19" s="12" t="s">
        <v>705</v>
      </c>
      <c r="G19" s="12"/>
      <c r="H19" s="12"/>
      <c r="I19" s="12"/>
    </row>
    <row r="20" spans="1:9" x14ac:dyDescent="0.2">
      <c r="A20" s="12" t="s">
        <v>499</v>
      </c>
      <c r="B20" s="12" t="s">
        <v>65</v>
      </c>
      <c r="C20" s="12"/>
      <c r="D20" s="12" t="s">
        <v>706</v>
      </c>
      <c r="E20" s="12" t="s">
        <v>697</v>
      </c>
      <c r="F20" s="12" t="s">
        <v>707</v>
      </c>
      <c r="G20" s="12"/>
      <c r="H20" s="12"/>
      <c r="I20" s="12"/>
    </row>
    <row r="21" spans="1:9" x14ac:dyDescent="0.2">
      <c r="A21" s="12" t="s">
        <v>503</v>
      </c>
      <c r="B21" s="12" t="s">
        <v>65</v>
      </c>
      <c r="C21" s="12"/>
      <c r="D21" s="12" t="s">
        <v>708</v>
      </c>
      <c r="E21" s="12" t="s">
        <v>678</v>
      </c>
      <c r="F21" s="12" t="s">
        <v>709</v>
      </c>
      <c r="G21" s="12"/>
      <c r="H21" s="12"/>
      <c r="I21" s="12"/>
    </row>
    <row r="22" spans="1:9" x14ac:dyDescent="0.2">
      <c r="A22" s="12" t="s">
        <v>506</v>
      </c>
      <c r="B22" s="12" t="s">
        <v>65</v>
      </c>
      <c r="C22" s="12"/>
      <c r="D22" s="12" t="s">
        <v>710</v>
      </c>
      <c r="E22" s="12" t="s">
        <v>683</v>
      </c>
      <c r="F22" s="12" t="s">
        <v>711</v>
      </c>
      <c r="G22" s="12"/>
      <c r="H22" s="12"/>
      <c r="I22" s="12"/>
    </row>
    <row r="23" spans="1:9" x14ac:dyDescent="0.2">
      <c r="A23" s="12" t="s">
        <v>531</v>
      </c>
      <c r="B23" s="12" t="s">
        <v>65</v>
      </c>
      <c r="C23" s="12"/>
      <c r="D23" s="12" t="s">
        <v>712</v>
      </c>
      <c r="E23" s="12" t="s">
        <v>678</v>
      </c>
      <c r="F23" s="12" t="s">
        <v>531</v>
      </c>
      <c r="G23" s="12"/>
      <c r="H23" s="12" t="s">
        <v>713</v>
      </c>
      <c r="I23" s="12"/>
    </row>
    <row r="24" spans="1:9" x14ac:dyDescent="0.2">
      <c r="A24" s="12" t="s">
        <v>554</v>
      </c>
      <c r="B24" s="12" t="s">
        <v>65</v>
      </c>
      <c r="C24" s="12"/>
      <c r="D24" s="12" t="s">
        <v>714</v>
      </c>
      <c r="E24" s="12" t="s">
        <v>697</v>
      </c>
      <c r="F24" s="12" t="s">
        <v>554</v>
      </c>
      <c r="G24" s="12"/>
      <c r="H24" s="12"/>
      <c r="I24" s="12"/>
    </row>
    <row r="25" spans="1:9" x14ac:dyDescent="0.2">
      <c r="A25" s="12" t="s">
        <v>571</v>
      </c>
      <c r="B25" s="12" t="s">
        <v>65</v>
      </c>
      <c r="C25" s="12"/>
      <c r="D25" s="12" t="s">
        <v>715</v>
      </c>
      <c r="E25" s="12" t="s">
        <v>697</v>
      </c>
      <c r="F25" s="12" t="s">
        <v>571</v>
      </c>
      <c r="G25" s="12"/>
      <c r="H25" s="12"/>
      <c r="I25" s="12"/>
    </row>
    <row r="26" spans="1:9" x14ac:dyDescent="0.2">
      <c r="A26" s="12" t="s">
        <v>575</v>
      </c>
      <c r="B26" s="12" t="s">
        <v>65</v>
      </c>
      <c r="C26" s="12"/>
      <c r="D26" s="12" t="s">
        <v>716</v>
      </c>
      <c r="E26" s="12" t="s">
        <v>678</v>
      </c>
      <c r="F26" s="12" t="s">
        <v>575</v>
      </c>
      <c r="G26" s="12"/>
      <c r="H26" s="12"/>
      <c r="I26" s="12"/>
    </row>
    <row r="27" spans="1:9" x14ac:dyDescent="0.2">
      <c r="A27" s="12" t="s">
        <v>594</v>
      </c>
      <c r="B27" s="12" t="s">
        <v>65</v>
      </c>
      <c r="C27" s="12"/>
      <c r="D27" s="12" t="s">
        <v>717</v>
      </c>
      <c r="E27" s="12" t="s">
        <v>678</v>
      </c>
      <c r="F27" s="12" t="s">
        <v>718</v>
      </c>
      <c r="G27" s="12"/>
      <c r="H27" s="12"/>
      <c r="I27" s="12"/>
    </row>
    <row r="28" spans="1:9" x14ac:dyDescent="0.2">
      <c r="A28" s="12" t="s">
        <v>597</v>
      </c>
      <c r="B28" s="12" t="s">
        <v>65</v>
      </c>
      <c r="C28" s="12"/>
      <c r="D28" s="12" t="s">
        <v>719</v>
      </c>
      <c r="E28" s="12" t="s">
        <v>678</v>
      </c>
      <c r="F28" s="12" t="s">
        <v>720</v>
      </c>
      <c r="G28" s="12"/>
      <c r="H28" s="12"/>
      <c r="I28" s="12"/>
    </row>
    <row r="29" spans="1:9" x14ac:dyDescent="0.2">
      <c r="A29" s="12" t="s">
        <v>721</v>
      </c>
      <c r="B29" s="12"/>
      <c r="C29" s="12"/>
      <c r="D29" s="12"/>
      <c r="E29" s="12"/>
      <c r="F29" s="12"/>
      <c r="G29" s="12"/>
      <c r="H29" s="12"/>
      <c r="I29" s="12"/>
    </row>
    <row r="30" spans="1:9" x14ac:dyDescent="0.2">
      <c r="A30" s="12" t="s">
        <v>722</v>
      </c>
      <c r="B30" s="12" t="s">
        <v>65</v>
      </c>
      <c r="C30" s="12" t="s">
        <v>41</v>
      </c>
      <c r="D30" s="12" t="s">
        <v>723</v>
      </c>
      <c r="E30" s="12" t="s">
        <v>678</v>
      </c>
      <c r="F30" s="12" t="s">
        <v>724</v>
      </c>
      <c r="G30" s="12"/>
      <c r="H30" s="12"/>
      <c r="I30" s="12"/>
    </row>
    <row r="31" spans="1:9" x14ac:dyDescent="0.2">
      <c r="A31" s="12" t="s">
        <v>725</v>
      </c>
      <c r="B31" s="12" t="s">
        <v>65</v>
      </c>
      <c r="C31" s="12" t="s">
        <v>41</v>
      </c>
      <c r="D31" s="12" t="s">
        <v>726</v>
      </c>
      <c r="E31" s="12" t="s">
        <v>678</v>
      </c>
      <c r="F31" s="12" t="s">
        <v>727</v>
      </c>
      <c r="G31" s="12"/>
      <c r="H31" s="12" t="s">
        <v>728</v>
      </c>
      <c r="I31" s="12"/>
    </row>
    <row r="32" spans="1:9" x14ac:dyDescent="0.2">
      <c r="A32" s="12" t="s">
        <v>380</v>
      </c>
      <c r="B32" s="12" t="s">
        <v>65</v>
      </c>
      <c r="C32" s="12" t="s">
        <v>41</v>
      </c>
      <c r="D32" s="12" t="s">
        <v>729</v>
      </c>
      <c r="E32" s="12" t="s">
        <v>683</v>
      </c>
      <c r="F32" s="12" t="s">
        <v>730</v>
      </c>
      <c r="G32" s="12"/>
      <c r="H32" s="12" t="s">
        <v>731</v>
      </c>
      <c r="I32" s="12"/>
    </row>
    <row r="33" spans="1:9" x14ac:dyDescent="0.2">
      <c r="A33" s="12" t="s">
        <v>732</v>
      </c>
      <c r="B33" s="12" t="s">
        <v>65</v>
      </c>
      <c r="C33" s="12" t="s">
        <v>41</v>
      </c>
      <c r="D33" s="12" t="s">
        <v>733</v>
      </c>
      <c r="E33" s="12" t="s">
        <v>689</v>
      </c>
      <c r="F33" s="12" t="s">
        <v>734</v>
      </c>
      <c r="G33" s="12"/>
      <c r="H33" s="12"/>
      <c r="I33" s="12"/>
    </row>
    <row r="34" spans="1:9" x14ac:dyDescent="0.2">
      <c r="A34" s="12" t="s">
        <v>735</v>
      </c>
      <c r="B34" s="12" t="s">
        <v>65</v>
      </c>
      <c r="C34" s="12" t="s">
        <v>41</v>
      </c>
      <c r="D34" s="12" t="s">
        <v>736</v>
      </c>
      <c r="E34" s="12" t="s">
        <v>683</v>
      </c>
      <c r="F34" s="12" t="s">
        <v>737</v>
      </c>
      <c r="G34" s="12"/>
      <c r="H34" s="12"/>
      <c r="I34" s="12"/>
    </row>
    <row r="35" spans="1:9" x14ac:dyDescent="0.2">
      <c r="A35" s="12" t="s">
        <v>738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">
      <c r="A36" s="12" t="s">
        <v>739</v>
      </c>
      <c r="B36" s="12" t="s">
        <v>740</v>
      </c>
      <c r="C36" s="12"/>
      <c r="D36" s="12" t="s">
        <v>741</v>
      </c>
      <c r="E36" s="12" t="s">
        <v>683</v>
      </c>
      <c r="F36" s="12" t="s">
        <v>742</v>
      </c>
      <c r="G36" s="12"/>
      <c r="H36" s="12"/>
      <c r="I36" s="12"/>
    </row>
    <row r="37" spans="1:9" x14ac:dyDescent="0.2">
      <c r="A37" s="12" t="s">
        <v>743</v>
      </c>
      <c r="B37" s="12"/>
      <c r="C37" s="12"/>
      <c r="D37" s="12"/>
      <c r="E37" s="12"/>
      <c r="F37" s="12"/>
      <c r="G37" s="12"/>
      <c r="H37" s="12"/>
      <c r="I37" s="12"/>
    </row>
    <row r="38" spans="1:9" x14ac:dyDescent="0.2">
      <c r="A38" s="12" t="s">
        <v>744</v>
      </c>
      <c r="B38" s="12" t="s">
        <v>745</v>
      </c>
      <c r="C38" s="12"/>
      <c r="D38" s="12" t="s">
        <v>746</v>
      </c>
      <c r="E38" s="12" t="s">
        <v>747</v>
      </c>
      <c r="F38" s="12" t="s">
        <v>748</v>
      </c>
      <c r="G38" s="12"/>
      <c r="H38" s="12"/>
      <c r="I38" s="12"/>
    </row>
    <row r="39" spans="1:9" x14ac:dyDescent="0.2">
      <c r="A39" s="12" t="s">
        <v>749</v>
      </c>
      <c r="B39" s="12" t="s">
        <v>65</v>
      </c>
      <c r="C39" s="12" t="s">
        <v>41</v>
      </c>
      <c r="D39" s="12" t="s">
        <v>750</v>
      </c>
      <c r="E39" s="12" t="s">
        <v>683</v>
      </c>
      <c r="F39" s="12" t="s">
        <v>751</v>
      </c>
      <c r="G39" s="12"/>
      <c r="H39" s="12"/>
      <c r="I39" s="12"/>
    </row>
    <row r="40" spans="1:9" x14ac:dyDescent="0.2">
      <c r="A40" s="12" t="s">
        <v>749</v>
      </c>
      <c r="B40" s="12" t="s">
        <v>65</v>
      </c>
      <c r="C40" s="12" t="s">
        <v>368</v>
      </c>
      <c r="D40" s="12"/>
      <c r="E40" s="12" t="s">
        <v>683</v>
      </c>
      <c r="F40" s="12"/>
      <c r="G40" s="12" t="s">
        <v>694</v>
      </c>
      <c r="H40" s="12" t="s">
        <v>695</v>
      </c>
      <c r="I40" s="12"/>
    </row>
    <row r="41" spans="1:9" x14ac:dyDescent="0.2">
      <c r="A41" s="12" t="s">
        <v>752</v>
      </c>
      <c r="B41" s="12" t="s">
        <v>65</v>
      </c>
      <c r="C41" s="12"/>
      <c r="D41" s="12" t="s">
        <v>753</v>
      </c>
      <c r="E41" s="12" t="s">
        <v>697</v>
      </c>
      <c r="F41" s="12" t="s">
        <v>754</v>
      </c>
      <c r="G41" s="12"/>
      <c r="H41" s="12"/>
      <c r="I41" s="12" t="s">
        <v>755</v>
      </c>
    </row>
    <row r="42" spans="1:9" x14ac:dyDescent="0.2">
      <c r="A42" s="12" t="s">
        <v>480</v>
      </c>
      <c r="B42" s="12" t="s">
        <v>65</v>
      </c>
      <c r="C42" s="12"/>
      <c r="D42" s="12" t="s">
        <v>756</v>
      </c>
      <c r="E42" s="12" t="s">
        <v>697</v>
      </c>
      <c r="F42" s="12" t="s">
        <v>757</v>
      </c>
      <c r="G42" s="12"/>
      <c r="H42" s="12"/>
      <c r="I42" s="12" t="s">
        <v>758</v>
      </c>
    </row>
    <row r="43" spans="1:9" x14ac:dyDescent="0.2">
      <c r="A43" s="12" t="s">
        <v>475</v>
      </c>
      <c r="B43" s="12" t="s">
        <v>65</v>
      </c>
      <c r="C43" s="12"/>
      <c r="D43" s="12" t="s">
        <v>759</v>
      </c>
      <c r="E43" s="12" t="s">
        <v>678</v>
      </c>
      <c r="F43" s="12" t="s">
        <v>754</v>
      </c>
      <c r="G43" s="12"/>
      <c r="H43" s="12"/>
      <c r="I43" s="12" t="s">
        <v>760</v>
      </c>
    </row>
    <row r="44" spans="1:9" x14ac:dyDescent="0.2">
      <c r="A44" s="12" t="s">
        <v>483</v>
      </c>
      <c r="B44" s="12" t="s">
        <v>65</v>
      </c>
      <c r="C44" s="12"/>
      <c r="D44" s="12" t="s">
        <v>761</v>
      </c>
      <c r="E44" s="12" t="s">
        <v>697</v>
      </c>
      <c r="F44" s="12" t="s">
        <v>754</v>
      </c>
      <c r="G44" s="12"/>
      <c r="H44" s="12"/>
      <c r="I44" s="12" t="s">
        <v>762</v>
      </c>
    </row>
    <row r="45" spans="1:9" x14ac:dyDescent="0.2">
      <c r="A45" s="12" t="s">
        <v>763</v>
      </c>
      <c r="B45" s="12"/>
      <c r="C45" s="12"/>
      <c r="D45" s="12"/>
      <c r="E45" s="12"/>
      <c r="F45" s="12"/>
      <c r="G45" s="12"/>
      <c r="H45" s="12"/>
      <c r="I45" s="12"/>
    </row>
    <row r="46" spans="1:9" x14ac:dyDescent="0.2">
      <c r="A46" s="12" t="s">
        <v>764</v>
      </c>
      <c r="B46" s="12" t="s">
        <v>65</v>
      </c>
      <c r="C46" s="12"/>
      <c r="D46" s="12" t="s">
        <v>765</v>
      </c>
      <c r="E46" s="12" t="s">
        <v>678</v>
      </c>
      <c r="F46" s="12" t="s">
        <v>766</v>
      </c>
      <c r="G46" s="12"/>
      <c r="H46" s="12"/>
      <c r="I46" s="12"/>
    </row>
    <row r="47" spans="1:9" x14ac:dyDescent="0.2">
      <c r="A47" s="12" t="s">
        <v>767</v>
      </c>
      <c r="B47" s="12" t="s">
        <v>65</v>
      </c>
      <c r="C47" s="12"/>
      <c r="D47" s="12" t="s">
        <v>768</v>
      </c>
      <c r="E47" s="12" t="s">
        <v>683</v>
      </c>
      <c r="F47" s="12" t="s">
        <v>769</v>
      </c>
      <c r="G47" s="12"/>
      <c r="H47" s="12"/>
      <c r="I47" s="12"/>
    </row>
    <row r="48" spans="1:9" x14ac:dyDescent="0.2">
      <c r="A48" s="12" t="s">
        <v>770</v>
      </c>
      <c r="B48" s="12" t="s">
        <v>328</v>
      </c>
      <c r="C48" s="12"/>
      <c r="D48" s="12" t="s">
        <v>771</v>
      </c>
      <c r="E48" s="12" t="s">
        <v>683</v>
      </c>
      <c r="F48" s="12" t="s">
        <v>772</v>
      </c>
      <c r="G48" s="12"/>
      <c r="H48" s="12"/>
      <c r="I48" s="12"/>
    </row>
    <row r="49" spans="1:9" x14ac:dyDescent="0.2">
      <c r="A49" s="12" t="s">
        <v>773</v>
      </c>
      <c r="B49" s="12" t="s">
        <v>745</v>
      </c>
      <c r="C49" s="12"/>
      <c r="D49" s="12" t="s">
        <v>746</v>
      </c>
      <c r="E49" s="12" t="s">
        <v>747</v>
      </c>
      <c r="F49" s="12" t="s">
        <v>748</v>
      </c>
      <c r="G49" s="12"/>
      <c r="H49" s="12"/>
      <c r="I49" s="12"/>
    </row>
    <row r="50" spans="1:9" x14ac:dyDescent="0.2">
      <c r="A50" s="12" t="s">
        <v>774</v>
      </c>
      <c r="B50" s="12"/>
      <c r="C50" s="12"/>
      <c r="D50" s="12"/>
      <c r="E50" s="12"/>
      <c r="F50" s="12"/>
      <c r="G50" s="12"/>
      <c r="H50" s="12"/>
      <c r="I50" s="12"/>
    </row>
    <row r="51" spans="1:9" x14ac:dyDescent="0.2">
      <c r="A51" s="12" t="s">
        <v>540</v>
      </c>
      <c r="B51" s="12" t="s">
        <v>65</v>
      </c>
      <c r="C51" s="12"/>
      <c r="D51" s="12" t="s">
        <v>775</v>
      </c>
      <c r="E51" s="12" t="s">
        <v>704</v>
      </c>
      <c r="F51" s="12" t="s">
        <v>776</v>
      </c>
      <c r="G51" s="12"/>
      <c r="H51" s="12" t="s">
        <v>777</v>
      </c>
      <c r="I51" s="12" t="s">
        <v>762</v>
      </c>
    </row>
    <row r="52" spans="1:9" x14ac:dyDescent="0.2">
      <c r="A52" s="12" t="s">
        <v>517</v>
      </c>
      <c r="B52" s="12" t="s">
        <v>65</v>
      </c>
      <c r="C52" s="12"/>
      <c r="D52" s="12" t="s">
        <v>778</v>
      </c>
      <c r="E52" s="12" t="s">
        <v>689</v>
      </c>
      <c r="F52" s="12" t="s">
        <v>779</v>
      </c>
      <c r="G52" s="12"/>
      <c r="H52" s="12" t="s">
        <v>780</v>
      </c>
      <c r="I52" s="12" t="s">
        <v>762</v>
      </c>
    </row>
    <row r="53" spans="1:9" x14ac:dyDescent="0.2">
      <c r="A53" s="12" t="s">
        <v>512</v>
      </c>
      <c r="B53" s="12" t="s">
        <v>65</v>
      </c>
      <c r="C53" s="12"/>
      <c r="D53" s="12" t="s">
        <v>781</v>
      </c>
      <c r="E53" s="12" t="s">
        <v>689</v>
      </c>
      <c r="F53" s="12" t="s">
        <v>782</v>
      </c>
      <c r="G53" s="12"/>
      <c r="H53" s="12" t="s">
        <v>783</v>
      </c>
      <c r="I53" s="12" t="s">
        <v>758</v>
      </c>
    </row>
    <row r="54" spans="1:9" x14ac:dyDescent="0.2">
      <c r="A54" s="12" t="s">
        <v>581</v>
      </c>
      <c r="B54" s="12" t="s">
        <v>65</v>
      </c>
      <c r="C54" s="12"/>
      <c r="D54" s="12" t="s">
        <v>784</v>
      </c>
      <c r="E54" s="12" t="s">
        <v>704</v>
      </c>
      <c r="F54" s="12" t="s">
        <v>785</v>
      </c>
      <c r="G54" s="12"/>
      <c r="H54" s="12" t="s">
        <v>786</v>
      </c>
      <c r="I54" s="12" t="s">
        <v>758</v>
      </c>
    </row>
    <row r="55" spans="1:9" x14ac:dyDescent="0.2">
      <c r="A55" s="12" t="s">
        <v>602</v>
      </c>
      <c r="B55" s="12" t="s">
        <v>65</v>
      </c>
      <c r="C55" s="12"/>
      <c r="D55" s="12" t="s">
        <v>787</v>
      </c>
      <c r="E55" s="12" t="s">
        <v>704</v>
      </c>
      <c r="F55" s="12" t="s">
        <v>788</v>
      </c>
      <c r="G55" s="12"/>
      <c r="H55" s="12" t="s">
        <v>789</v>
      </c>
      <c r="I55" s="12" t="s">
        <v>760</v>
      </c>
    </row>
    <row r="56" spans="1:9" x14ac:dyDescent="0.2">
      <c r="A56" s="12" t="s">
        <v>544</v>
      </c>
      <c r="B56" s="12" t="s">
        <v>65</v>
      </c>
      <c r="C56" s="12"/>
      <c r="D56" s="12" t="s">
        <v>790</v>
      </c>
      <c r="E56" s="12" t="s">
        <v>704</v>
      </c>
      <c r="F56" s="12" t="s">
        <v>788</v>
      </c>
      <c r="G56" s="12"/>
      <c r="H56" s="12" t="s">
        <v>789</v>
      </c>
      <c r="I56" s="12" t="s">
        <v>762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FC5E8"/>
  </sheetPr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45" customWidth="1"/>
    <col min="4" max="4" width="28" customWidth="1"/>
    <col min="5" max="5" width="45" customWidth="1"/>
    <col min="6" max="6" width="28" customWidth="1"/>
    <col min="7" max="7" width="45" customWidth="1"/>
    <col min="8" max="8" width="19" customWidth="1"/>
    <col min="9" max="10" width="45" customWidth="1"/>
  </cols>
  <sheetData>
    <row r="1" spans="1:10" x14ac:dyDescent="0.2">
      <c r="A1" s="11" t="s">
        <v>791</v>
      </c>
      <c r="B1" s="11" t="s">
        <v>7</v>
      </c>
      <c r="C1" s="11" t="s">
        <v>661</v>
      </c>
      <c r="D1" s="11" t="s">
        <v>662</v>
      </c>
      <c r="E1" s="11" t="s">
        <v>663</v>
      </c>
      <c r="F1" s="11" t="s">
        <v>792</v>
      </c>
      <c r="G1" s="11" t="s">
        <v>793</v>
      </c>
      <c r="H1" s="11" t="s">
        <v>794</v>
      </c>
      <c r="I1" s="11" t="s">
        <v>795</v>
      </c>
      <c r="J1" s="11" t="s">
        <v>16</v>
      </c>
    </row>
    <row r="2" spans="1:10" x14ac:dyDescent="0.2">
      <c r="A2" s="12" t="s">
        <v>667</v>
      </c>
      <c r="B2" s="12" t="s">
        <v>796</v>
      </c>
      <c r="C2" s="12" t="s">
        <v>668</v>
      </c>
      <c r="D2" s="12" t="s">
        <v>669</v>
      </c>
      <c r="E2" s="12" t="s">
        <v>670</v>
      </c>
      <c r="F2" s="12" t="s">
        <v>797</v>
      </c>
      <c r="G2" s="12" t="s">
        <v>798</v>
      </c>
      <c r="H2" s="12">
        <v>1</v>
      </c>
      <c r="I2" s="12" t="s">
        <v>799</v>
      </c>
      <c r="J2" s="12"/>
    </row>
    <row r="3" spans="1:10" x14ac:dyDescent="0.2">
      <c r="A3" s="12" t="s">
        <v>671</v>
      </c>
      <c r="B3" s="12" t="s">
        <v>796</v>
      </c>
      <c r="C3" s="12" t="s">
        <v>672</v>
      </c>
      <c r="D3" s="12" t="s">
        <v>669</v>
      </c>
      <c r="E3" s="12" t="s">
        <v>673</v>
      </c>
      <c r="F3" s="12" t="s">
        <v>797</v>
      </c>
      <c r="G3" s="12" t="s">
        <v>798</v>
      </c>
      <c r="H3" s="12">
        <v>1</v>
      </c>
      <c r="I3" s="12" t="s">
        <v>799</v>
      </c>
      <c r="J3" s="12"/>
    </row>
    <row r="4" spans="1:10" x14ac:dyDescent="0.2">
      <c r="A4" s="12" t="s">
        <v>60</v>
      </c>
      <c r="B4" s="12" t="s">
        <v>796</v>
      </c>
      <c r="C4" s="12" t="s">
        <v>674</v>
      </c>
      <c r="D4" s="12" t="s">
        <v>675</v>
      </c>
      <c r="E4" s="12" t="s">
        <v>676</v>
      </c>
      <c r="F4" s="12" t="s">
        <v>797</v>
      </c>
      <c r="G4" s="12" t="s">
        <v>798</v>
      </c>
      <c r="H4" s="12">
        <v>1</v>
      </c>
      <c r="I4" s="12" t="s">
        <v>799</v>
      </c>
      <c r="J4" s="12"/>
    </row>
    <row r="5" spans="1:10" x14ac:dyDescent="0.2">
      <c r="A5" s="12" t="s">
        <v>687</v>
      </c>
      <c r="B5" s="12" t="s">
        <v>796</v>
      </c>
      <c r="C5" s="12" t="s">
        <v>688</v>
      </c>
      <c r="D5" s="12" t="s">
        <v>689</v>
      </c>
      <c r="E5" s="12" t="s">
        <v>690</v>
      </c>
      <c r="F5" s="12" t="s">
        <v>797</v>
      </c>
      <c r="G5" s="12" t="s">
        <v>798</v>
      </c>
      <c r="H5" s="12">
        <v>80</v>
      </c>
      <c r="I5" s="12" t="s">
        <v>800</v>
      </c>
      <c r="J5" s="12"/>
    </row>
    <row r="6" spans="1:10" x14ac:dyDescent="0.2">
      <c r="A6" s="12" t="s">
        <v>47</v>
      </c>
      <c r="B6" s="12" t="s">
        <v>796</v>
      </c>
      <c r="C6" s="12" t="s">
        <v>691</v>
      </c>
      <c r="D6" s="12" t="s">
        <v>689</v>
      </c>
      <c r="E6" s="12" t="s">
        <v>692</v>
      </c>
      <c r="F6" s="12" t="s">
        <v>797</v>
      </c>
      <c r="G6" s="12" t="s">
        <v>798</v>
      </c>
      <c r="H6" s="12">
        <v>80</v>
      </c>
      <c r="I6" s="12" t="s">
        <v>800</v>
      </c>
      <c r="J6" s="12"/>
    </row>
    <row r="7" spans="1:10" x14ac:dyDescent="0.2">
      <c r="A7" s="12" t="s">
        <v>367</v>
      </c>
      <c r="B7" s="12" t="s">
        <v>796</v>
      </c>
      <c r="C7" s="12" t="s">
        <v>677</v>
      </c>
      <c r="D7" s="12" t="s">
        <v>678</v>
      </c>
      <c r="E7" s="12" t="s">
        <v>679</v>
      </c>
      <c r="F7" s="12" t="s">
        <v>797</v>
      </c>
      <c r="G7" s="12" t="s">
        <v>798</v>
      </c>
      <c r="H7" s="12">
        <v>100</v>
      </c>
      <c r="I7" s="12" t="s">
        <v>801</v>
      </c>
      <c r="J7" s="12" t="s">
        <v>802</v>
      </c>
    </row>
    <row r="8" spans="1:10" x14ac:dyDescent="0.2">
      <c r="A8" s="12" t="s">
        <v>680</v>
      </c>
      <c r="B8" s="12" t="s">
        <v>796</v>
      </c>
      <c r="C8" s="12" t="s">
        <v>681</v>
      </c>
      <c r="D8" s="12" t="s">
        <v>678</v>
      </c>
      <c r="E8" s="12" t="s">
        <v>682</v>
      </c>
      <c r="F8" s="12" t="s">
        <v>797</v>
      </c>
      <c r="G8" s="12" t="s">
        <v>798</v>
      </c>
      <c r="H8" s="12">
        <v>65</v>
      </c>
      <c r="I8" s="12" t="s">
        <v>803</v>
      </c>
      <c r="J8" s="12"/>
    </row>
    <row r="9" spans="1:10" x14ac:dyDescent="0.2">
      <c r="A9" s="12" t="s">
        <v>693</v>
      </c>
      <c r="B9" s="12" t="s">
        <v>796</v>
      </c>
      <c r="C9" s="12" t="s">
        <v>804</v>
      </c>
      <c r="D9" s="12" t="s">
        <v>678</v>
      </c>
      <c r="E9" s="12" t="s">
        <v>805</v>
      </c>
      <c r="F9" s="12" t="s">
        <v>797</v>
      </c>
      <c r="G9" s="12" t="s">
        <v>798</v>
      </c>
      <c r="H9" s="12"/>
      <c r="I9" s="12"/>
      <c r="J9" s="12"/>
    </row>
    <row r="10" spans="1:10" x14ac:dyDescent="0.2">
      <c r="A10" s="12" t="s">
        <v>51</v>
      </c>
      <c r="B10" s="12" t="s">
        <v>796</v>
      </c>
      <c r="C10" s="12"/>
      <c r="D10" s="12"/>
      <c r="E10" s="12"/>
      <c r="F10" s="12">
        <v>0.33600000000000002</v>
      </c>
      <c r="G10" s="12" t="s">
        <v>806</v>
      </c>
      <c r="H10" s="12"/>
      <c r="I10" s="12"/>
      <c r="J10" s="12"/>
    </row>
    <row r="11" spans="1:10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 t="s">
        <v>807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 t="s">
        <v>808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 t="s">
        <v>809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 t="s">
        <v>810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">
      <c r="A18" s="12" t="s">
        <v>380</v>
      </c>
      <c r="B18" s="12" t="s">
        <v>796</v>
      </c>
      <c r="C18" s="12"/>
      <c r="D18" s="12"/>
      <c r="E18" s="12"/>
      <c r="F18" s="12">
        <v>0</v>
      </c>
      <c r="G18" s="12" t="s">
        <v>811</v>
      </c>
      <c r="H18" s="12" t="s">
        <v>812</v>
      </c>
      <c r="I18" s="12" t="s">
        <v>812</v>
      </c>
      <c r="J18" s="12"/>
    </row>
    <row r="19" spans="1:10" x14ac:dyDescent="0.2">
      <c r="A19" s="12" t="s">
        <v>725</v>
      </c>
      <c r="B19" s="12" t="s">
        <v>796</v>
      </c>
      <c r="C19" s="12"/>
      <c r="D19" s="12"/>
      <c r="E19" s="12"/>
      <c r="F19" s="12">
        <v>0</v>
      </c>
      <c r="G19" s="12" t="s">
        <v>811</v>
      </c>
      <c r="H19" s="12" t="s">
        <v>812</v>
      </c>
      <c r="I19" s="12" t="s">
        <v>812</v>
      </c>
      <c r="J19" s="12"/>
    </row>
    <row r="20" spans="1:10" x14ac:dyDescent="0.2">
      <c r="A20" s="12" t="s">
        <v>813</v>
      </c>
      <c r="B20" s="12" t="s">
        <v>796</v>
      </c>
      <c r="C20" s="12"/>
      <c r="D20" s="12"/>
      <c r="E20" s="12"/>
      <c r="F20" s="12">
        <v>0</v>
      </c>
      <c r="G20" s="12" t="s">
        <v>811</v>
      </c>
      <c r="H20" s="12" t="s">
        <v>812</v>
      </c>
      <c r="I20" s="12" t="s">
        <v>812</v>
      </c>
      <c r="J20" s="12"/>
    </row>
    <row r="21" spans="1:10" x14ac:dyDescent="0.2">
      <c r="A21" s="12" t="s">
        <v>732</v>
      </c>
      <c r="B21" s="12" t="s">
        <v>796</v>
      </c>
      <c r="C21" s="12"/>
      <c r="D21" s="12"/>
      <c r="E21" s="12"/>
      <c r="F21" s="12">
        <v>0</v>
      </c>
      <c r="G21" s="12" t="s">
        <v>811</v>
      </c>
      <c r="H21" s="12" t="s">
        <v>812</v>
      </c>
      <c r="I21" s="12" t="s">
        <v>812</v>
      </c>
      <c r="J21" s="12"/>
    </row>
    <row r="22" spans="1:10" x14ac:dyDescent="0.2">
      <c r="A22" s="12" t="s">
        <v>735</v>
      </c>
      <c r="B22" s="12" t="s">
        <v>796</v>
      </c>
      <c r="C22" s="12"/>
      <c r="D22" s="12"/>
      <c r="E22" s="12"/>
      <c r="F22" s="12">
        <v>0</v>
      </c>
      <c r="G22" s="12" t="s">
        <v>811</v>
      </c>
      <c r="H22" s="12" t="s">
        <v>812</v>
      </c>
      <c r="I22" s="12" t="s">
        <v>812</v>
      </c>
      <c r="J22" s="12"/>
    </row>
    <row r="23" spans="1:10" x14ac:dyDescent="0.2">
      <c r="A23" s="12" t="s">
        <v>40</v>
      </c>
      <c r="B23" s="12" t="s">
        <v>796</v>
      </c>
      <c r="C23" s="12"/>
      <c r="D23" s="12"/>
      <c r="E23" s="12"/>
      <c r="F23" s="12">
        <v>0.26516849999999997</v>
      </c>
      <c r="G23" s="12" t="s">
        <v>814</v>
      </c>
      <c r="H23" s="12">
        <v>1</v>
      </c>
      <c r="I23" s="12" t="s">
        <v>815</v>
      </c>
      <c r="J23" s="12"/>
    </row>
    <row r="24" spans="1:10" x14ac:dyDescent="0.2">
      <c r="A24" s="12" t="s">
        <v>465</v>
      </c>
      <c r="B24" s="12" t="s">
        <v>816</v>
      </c>
      <c r="C24" s="12" t="s">
        <v>703</v>
      </c>
      <c r="D24" s="12" t="s">
        <v>704</v>
      </c>
      <c r="E24" s="12" t="s">
        <v>705</v>
      </c>
      <c r="F24" s="12" t="s">
        <v>797</v>
      </c>
      <c r="G24" s="12" t="s">
        <v>798</v>
      </c>
      <c r="H24" s="12">
        <v>65</v>
      </c>
      <c r="I24" s="12" t="s">
        <v>817</v>
      </c>
      <c r="J24" s="1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FC5E8"/>
  </sheetPr>
  <dimension ref="A1:I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5" customWidth="1"/>
    <col min="3" max="3" width="19" customWidth="1"/>
    <col min="4" max="4" width="15" customWidth="1"/>
    <col min="5" max="5" width="32" customWidth="1"/>
    <col min="6" max="6" width="45" customWidth="1"/>
    <col min="7" max="7" width="27" customWidth="1"/>
    <col min="8" max="8" width="34" customWidth="1"/>
    <col min="9" max="9" width="40" customWidth="1"/>
  </cols>
  <sheetData>
    <row r="1" spans="1:9" x14ac:dyDescent="0.2">
      <c r="A1" s="11" t="s">
        <v>791</v>
      </c>
      <c r="B1" s="11" t="s">
        <v>7</v>
      </c>
      <c r="C1" s="11" t="s">
        <v>818</v>
      </c>
      <c r="D1" s="11" t="s">
        <v>819</v>
      </c>
      <c r="E1" s="11" t="s">
        <v>820</v>
      </c>
      <c r="F1" s="11" t="s">
        <v>821</v>
      </c>
      <c r="G1" s="11" t="s">
        <v>822</v>
      </c>
      <c r="H1" s="11" t="s">
        <v>823</v>
      </c>
      <c r="I1" s="11" t="s">
        <v>824</v>
      </c>
    </row>
    <row r="2" spans="1:9" x14ac:dyDescent="0.2">
      <c r="A2" s="12" t="s">
        <v>40</v>
      </c>
      <c r="B2" s="12" t="s">
        <v>796</v>
      </c>
      <c r="C2" s="12">
        <v>0.8</v>
      </c>
      <c r="D2" s="12">
        <v>0.9</v>
      </c>
      <c r="E2" s="12">
        <v>22.5</v>
      </c>
      <c r="F2" s="12" t="s">
        <v>825</v>
      </c>
      <c r="G2" s="12">
        <v>0.6</v>
      </c>
      <c r="H2" s="12">
        <v>0.25</v>
      </c>
      <c r="I2" s="12"/>
    </row>
    <row r="3" spans="1:9" x14ac:dyDescent="0.2">
      <c r="A3" s="12" t="s">
        <v>667</v>
      </c>
      <c r="B3" s="12" t="s">
        <v>796</v>
      </c>
      <c r="C3" s="12">
        <v>0.8</v>
      </c>
      <c r="D3" s="12">
        <v>0.9</v>
      </c>
      <c r="E3" s="12">
        <v>16</v>
      </c>
      <c r="F3" s="12" t="s">
        <v>826</v>
      </c>
      <c r="G3" s="12">
        <v>0.6</v>
      </c>
      <c r="H3" s="12">
        <v>0.25</v>
      </c>
      <c r="I3" s="12"/>
    </row>
    <row r="4" spans="1:9" x14ac:dyDescent="0.2">
      <c r="A4" s="12" t="s">
        <v>671</v>
      </c>
      <c r="B4" s="12" t="s">
        <v>796</v>
      </c>
      <c r="C4" s="12">
        <v>0.8</v>
      </c>
      <c r="D4" s="12">
        <v>0.9</v>
      </c>
      <c r="E4" s="12">
        <v>16</v>
      </c>
      <c r="F4" s="12" t="s">
        <v>827</v>
      </c>
      <c r="G4" s="12">
        <v>0.6</v>
      </c>
      <c r="H4" s="12">
        <v>0.25</v>
      </c>
      <c r="I4" s="12"/>
    </row>
    <row r="5" spans="1:9" x14ac:dyDescent="0.2">
      <c r="A5" s="12" t="s">
        <v>367</v>
      </c>
      <c r="B5" s="12" t="s">
        <v>796</v>
      </c>
      <c r="C5" s="12">
        <v>0.8</v>
      </c>
      <c r="D5" s="12">
        <v>0.9</v>
      </c>
      <c r="E5" s="12">
        <v>18.5</v>
      </c>
      <c r="F5" s="12" t="s">
        <v>828</v>
      </c>
      <c r="G5" s="12">
        <v>0.6</v>
      </c>
      <c r="H5" s="12">
        <v>0.25</v>
      </c>
      <c r="I5" s="12"/>
    </row>
    <row r="6" spans="1:9" x14ac:dyDescent="0.2">
      <c r="A6" s="12" t="s">
        <v>680</v>
      </c>
      <c r="B6" s="12" t="s">
        <v>796</v>
      </c>
      <c r="C6" s="12">
        <v>0.8</v>
      </c>
      <c r="D6" s="12">
        <v>0.9</v>
      </c>
      <c r="E6" s="12">
        <v>19.5</v>
      </c>
      <c r="F6" s="12" t="s">
        <v>829</v>
      </c>
      <c r="G6" s="12">
        <v>0.6</v>
      </c>
      <c r="H6" s="12">
        <v>0.25</v>
      </c>
      <c r="I6" s="12"/>
    </row>
    <row r="7" spans="1:9" x14ac:dyDescent="0.2">
      <c r="A7" s="12" t="s">
        <v>60</v>
      </c>
      <c r="B7" s="12" t="s">
        <v>796</v>
      </c>
      <c r="C7" s="12">
        <v>0.8</v>
      </c>
      <c r="D7" s="12">
        <v>0.9</v>
      </c>
      <c r="E7" s="12">
        <v>17.5</v>
      </c>
      <c r="F7" s="12" t="s">
        <v>830</v>
      </c>
      <c r="G7" s="12">
        <v>0.6</v>
      </c>
      <c r="H7" s="12">
        <v>0.25</v>
      </c>
      <c r="I7" s="12"/>
    </row>
    <row r="8" spans="1:9" x14ac:dyDescent="0.2">
      <c r="A8" s="12" t="s">
        <v>685</v>
      </c>
      <c r="B8" s="12" t="s">
        <v>796</v>
      </c>
      <c r="C8" s="12">
        <v>0.8</v>
      </c>
      <c r="D8" s="12">
        <v>0.9</v>
      </c>
      <c r="E8" s="12">
        <v>17</v>
      </c>
      <c r="F8" s="12" t="s">
        <v>830</v>
      </c>
      <c r="G8" s="12">
        <v>0.6</v>
      </c>
      <c r="H8" s="12">
        <v>0.25</v>
      </c>
      <c r="I8" s="12"/>
    </row>
    <row r="9" spans="1:9" x14ac:dyDescent="0.2">
      <c r="A9" s="12" t="s">
        <v>687</v>
      </c>
      <c r="B9" s="12" t="s">
        <v>796</v>
      </c>
      <c r="C9" s="12">
        <v>0.8</v>
      </c>
      <c r="D9" s="12">
        <v>0.9</v>
      </c>
      <c r="E9" s="12">
        <v>19</v>
      </c>
      <c r="F9" s="12" t="s">
        <v>831</v>
      </c>
      <c r="G9" s="12">
        <v>0.6</v>
      </c>
      <c r="H9" s="12">
        <v>0.25</v>
      </c>
      <c r="I9" s="12"/>
    </row>
    <row r="10" spans="1:9" x14ac:dyDescent="0.2">
      <c r="A10" s="12" t="s">
        <v>47</v>
      </c>
      <c r="B10" s="12" t="s">
        <v>796</v>
      </c>
      <c r="C10" s="12">
        <v>0.8</v>
      </c>
      <c r="D10" s="12">
        <v>0.9</v>
      </c>
      <c r="E10" s="12">
        <v>19</v>
      </c>
      <c r="F10" s="12" t="s">
        <v>831</v>
      </c>
      <c r="G10" s="12">
        <v>0.6</v>
      </c>
      <c r="H10" s="12">
        <v>0.25</v>
      </c>
      <c r="I10" s="12"/>
    </row>
    <row r="11" spans="1:9" x14ac:dyDescent="0.2">
      <c r="A11" s="12" t="s">
        <v>693</v>
      </c>
      <c r="B11" s="12" t="s">
        <v>796</v>
      </c>
      <c r="C11" s="12">
        <v>0.8</v>
      </c>
      <c r="D11" s="12">
        <v>0.9</v>
      </c>
      <c r="E11" s="12">
        <v>11</v>
      </c>
      <c r="F11" s="12" t="s">
        <v>832</v>
      </c>
      <c r="G11" s="12">
        <v>0.6</v>
      </c>
      <c r="H11" s="12">
        <v>0.25</v>
      </c>
      <c r="I11" s="12"/>
    </row>
    <row r="12" spans="1:9" x14ac:dyDescent="0.2">
      <c r="A12" s="12" t="s">
        <v>51</v>
      </c>
      <c r="B12" s="12" t="s">
        <v>796</v>
      </c>
      <c r="C12" s="12">
        <v>0.8</v>
      </c>
      <c r="D12" s="12">
        <v>0.9</v>
      </c>
      <c r="E12" s="12">
        <v>10</v>
      </c>
      <c r="F12" s="12" t="s">
        <v>833</v>
      </c>
      <c r="G12" s="12">
        <v>0.6</v>
      </c>
      <c r="H12" s="12">
        <v>0.25</v>
      </c>
      <c r="I12" s="12"/>
    </row>
    <row r="13" spans="1:9" x14ac:dyDescent="0.2">
      <c r="A13" s="12" t="s">
        <v>834</v>
      </c>
      <c r="B13" s="12" t="s">
        <v>796</v>
      </c>
      <c r="C13" s="12">
        <v>0.8</v>
      </c>
      <c r="D13" s="12">
        <v>0.9</v>
      </c>
      <c r="E13" s="12">
        <v>16.350000000000001</v>
      </c>
      <c r="F13" s="12" t="s">
        <v>835</v>
      </c>
      <c r="G13" s="12">
        <v>0.6</v>
      </c>
      <c r="H13" s="12">
        <v>0.25</v>
      </c>
      <c r="I13" s="12"/>
    </row>
    <row r="14" spans="1:9" x14ac:dyDescent="0.2">
      <c r="A14" s="12" t="s">
        <v>465</v>
      </c>
      <c r="B14" s="12" t="s">
        <v>796</v>
      </c>
      <c r="C14" s="12">
        <v>0.8</v>
      </c>
      <c r="D14" s="12">
        <v>0.9</v>
      </c>
      <c r="E14" s="12">
        <v>17.7</v>
      </c>
      <c r="F14" s="12" t="s">
        <v>836</v>
      </c>
      <c r="G14" s="12">
        <v>0.6</v>
      </c>
      <c r="H14" s="12">
        <v>0.25</v>
      </c>
      <c r="I14" s="12" t="s">
        <v>767</v>
      </c>
    </row>
    <row r="15" spans="1:9" x14ac:dyDescent="0.2">
      <c r="A15" s="12" t="s">
        <v>499</v>
      </c>
      <c r="B15" s="12" t="s">
        <v>796</v>
      </c>
      <c r="C15" s="12">
        <v>0.8</v>
      </c>
      <c r="D15" s="12">
        <v>0.9</v>
      </c>
      <c r="E15" s="12"/>
      <c r="F15" s="12"/>
      <c r="G15" s="12">
        <v>0.6</v>
      </c>
      <c r="H15" s="12">
        <v>0.25</v>
      </c>
      <c r="I15" s="12"/>
    </row>
    <row r="16" spans="1:9" x14ac:dyDescent="0.2">
      <c r="A16" s="12" t="s">
        <v>503</v>
      </c>
      <c r="B16" s="12" t="s">
        <v>796</v>
      </c>
      <c r="C16" s="12">
        <v>0.8</v>
      </c>
      <c r="D16" s="12">
        <v>0.9</v>
      </c>
      <c r="E16" s="12"/>
      <c r="F16" s="12"/>
      <c r="G16" s="12">
        <v>0.6</v>
      </c>
      <c r="H16" s="12">
        <v>0.25</v>
      </c>
      <c r="I16" s="12"/>
    </row>
    <row r="17" spans="1:9" x14ac:dyDescent="0.2">
      <c r="A17" s="12" t="s">
        <v>506</v>
      </c>
      <c r="B17" s="12" t="s">
        <v>796</v>
      </c>
      <c r="C17" s="12">
        <v>0.8</v>
      </c>
      <c r="D17" s="12">
        <v>0.9</v>
      </c>
      <c r="E17" s="12">
        <v>14.2</v>
      </c>
      <c r="F17" s="12" t="s">
        <v>837</v>
      </c>
      <c r="G17" s="12">
        <v>0.6</v>
      </c>
      <c r="H17" s="12">
        <v>0.25</v>
      </c>
      <c r="I17" s="12"/>
    </row>
    <row r="18" spans="1:9" x14ac:dyDescent="0.2">
      <c r="A18" s="12" t="s">
        <v>554</v>
      </c>
      <c r="B18" s="12" t="s">
        <v>796</v>
      </c>
      <c r="C18" s="12">
        <v>0.8</v>
      </c>
      <c r="D18" s="12">
        <v>0.9</v>
      </c>
      <c r="E18" s="12"/>
      <c r="F18" s="12"/>
      <c r="G18" s="12">
        <v>0.6</v>
      </c>
      <c r="H18" s="12">
        <v>0.25</v>
      </c>
      <c r="I18" s="12"/>
    </row>
    <row r="19" spans="1:9" x14ac:dyDescent="0.2">
      <c r="A19" s="12" t="s">
        <v>571</v>
      </c>
      <c r="B19" s="12" t="s">
        <v>796</v>
      </c>
      <c r="C19" s="12">
        <v>0.8</v>
      </c>
      <c r="D19" s="12">
        <v>0.9</v>
      </c>
      <c r="E19" s="12"/>
      <c r="F19" s="12"/>
      <c r="G19" s="12">
        <v>0.6</v>
      </c>
      <c r="H19" s="12">
        <v>0.25</v>
      </c>
      <c r="I19" s="12"/>
    </row>
    <row r="20" spans="1:9" x14ac:dyDescent="0.2">
      <c r="A20" s="12" t="s">
        <v>575</v>
      </c>
      <c r="B20" s="12" t="s">
        <v>796</v>
      </c>
      <c r="C20" s="12">
        <v>0.8</v>
      </c>
      <c r="D20" s="12">
        <v>0.9</v>
      </c>
      <c r="E20" s="12"/>
      <c r="F20" s="12"/>
      <c r="G20" s="12">
        <v>0.6</v>
      </c>
      <c r="H20" s="12">
        <v>0.25</v>
      </c>
      <c r="I20" s="12"/>
    </row>
    <row r="21" spans="1:9" x14ac:dyDescent="0.2">
      <c r="A21" s="12" t="s">
        <v>594</v>
      </c>
      <c r="B21" s="12" t="s">
        <v>796</v>
      </c>
      <c r="C21" s="12">
        <v>0.8</v>
      </c>
      <c r="D21" s="12">
        <v>0.9</v>
      </c>
      <c r="E21" s="12">
        <v>23</v>
      </c>
      <c r="F21" s="12" t="s">
        <v>838</v>
      </c>
      <c r="G21" s="12">
        <v>0.6</v>
      </c>
      <c r="H21" s="12">
        <v>0.25</v>
      </c>
      <c r="I21" s="12"/>
    </row>
    <row r="22" spans="1:9" x14ac:dyDescent="0.2">
      <c r="A22" s="12" t="s">
        <v>531</v>
      </c>
      <c r="B22" s="12" t="s">
        <v>796</v>
      </c>
      <c r="C22" s="12">
        <v>0.8</v>
      </c>
      <c r="D22" s="12">
        <v>0.9</v>
      </c>
      <c r="E22" s="12"/>
      <c r="F22" s="12"/>
      <c r="G22" s="12">
        <v>0.6</v>
      </c>
      <c r="H22" s="12">
        <v>0.25</v>
      </c>
      <c r="I22" s="12"/>
    </row>
    <row r="23" spans="1:9" x14ac:dyDescent="0.2">
      <c r="A23" s="12" t="s">
        <v>380</v>
      </c>
      <c r="B23" s="12" t="s">
        <v>796</v>
      </c>
      <c r="C23" s="12">
        <v>0.8</v>
      </c>
      <c r="D23" s="12">
        <v>0.9</v>
      </c>
      <c r="E23" s="12"/>
      <c r="F23" s="12"/>
      <c r="G23" s="12">
        <v>0.6</v>
      </c>
      <c r="H23" s="12">
        <v>0.25</v>
      </c>
      <c r="I23" s="12"/>
    </row>
    <row r="24" spans="1:9" x14ac:dyDescent="0.2">
      <c r="A24" s="12" t="s">
        <v>513</v>
      </c>
      <c r="B24" s="12" t="s">
        <v>796</v>
      </c>
      <c r="C24" s="12">
        <v>0.8</v>
      </c>
      <c r="D24" s="12">
        <v>0.9</v>
      </c>
      <c r="E24" s="12"/>
      <c r="F24" s="12"/>
      <c r="G24" s="12">
        <v>0.6</v>
      </c>
      <c r="H24" s="12">
        <v>0.25</v>
      </c>
      <c r="I24" s="12"/>
    </row>
    <row r="25" spans="1:9" x14ac:dyDescent="0.2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">
      <c r="A27" s="12" t="s">
        <v>839</v>
      </c>
      <c r="B27" s="12" t="s">
        <v>840</v>
      </c>
      <c r="C27" s="12"/>
      <c r="D27" s="12"/>
      <c r="E27" s="12"/>
      <c r="F27" s="12"/>
      <c r="G27" s="12"/>
      <c r="H27" s="12"/>
      <c r="I27" s="12"/>
    </row>
    <row r="28" spans="1:9" x14ac:dyDescent="0.2">
      <c r="A28" s="12" t="s">
        <v>841</v>
      </c>
      <c r="B28" s="12"/>
      <c r="C28" s="12"/>
      <c r="D28" s="12"/>
      <c r="E28" s="12"/>
      <c r="F28" s="12"/>
      <c r="G28" s="12"/>
      <c r="H28" s="12"/>
      <c r="I28" s="12"/>
    </row>
    <row r="29" spans="1:9" x14ac:dyDescent="0.2">
      <c r="A29" s="12" t="s">
        <v>842</v>
      </c>
      <c r="B29" s="12"/>
      <c r="C29" s="12"/>
      <c r="D29" s="12"/>
      <c r="E29" s="12"/>
      <c r="F29" s="12"/>
      <c r="G29" s="12"/>
      <c r="H29" s="12"/>
      <c r="I29" s="1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FC5E8"/>
  </sheetPr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3" width="20" customWidth="1"/>
    <col min="4" max="4" width="38" customWidth="1"/>
    <col min="5" max="5" width="37" customWidth="1"/>
    <col min="6" max="6" width="44" customWidth="1"/>
  </cols>
  <sheetData>
    <row r="1" spans="1:6" x14ac:dyDescent="0.2">
      <c r="A1" s="11" t="s">
        <v>843</v>
      </c>
      <c r="B1" s="11" t="s">
        <v>844</v>
      </c>
      <c r="C1" s="11" t="s">
        <v>845</v>
      </c>
      <c r="D1" s="11" t="s">
        <v>846</v>
      </c>
      <c r="E1" s="11" t="s">
        <v>847</v>
      </c>
      <c r="F1" s="11" t="s">
        <v>848</v>
      </c>
    </row>
    <row r="2" spans="1:6" x14ac:dyDescent="0.2">
      <c r="A2" s="12" t="s">
        <v>158</v>
      </c>
      <c r="B2" s="12" t="s">
        <v>752</v>
      </c>
      <c r="C2" s="12" t="s">
        <v>302</v>
      </c>
      <c r="D2" s="12" t="s">
        <v>764</v>
      </c>
      <c r="E2" s="12"/>
      <c r="F2" s="12"/>
    </row>
    <row r="3" spans="1:6" x14ac:dyDescent="0.2">
      <c r="A3" s="12" t="s">
        <v>163</v>
      </c>
      <c r="B3" s="12" t="s">
        <v>480</v>
      </c>
      <c r="C3" s="12" t="s">
        <v>302</v>
      </c>
      <c r="D3" s="12" t="s">
        <v>767</v>
      </c>
      <c r="E3" s="12"/>
      <c r="F3" s="12"/>
    </row>
    <row r="4" spans="1:6" x14ac:dyDescent="0.2">
      <c r="A4" s="12" t="s">
        <v>166</v>
      </c>
      <c r="B4" s="12" t="s">
        <v>480</v>
      </c>
      <c r="C4" s="12" t="s">
        <v>302</v>
      </c>
      <c r="D4" s="12"/>
      <c r="E4" s="12"/>
      <c r="F4" s="12"/>
    </row>
    <row r="5" spans="1:6" x14ac:dyDescent="0.2">
      <c r="A5" s="12" t="s">
        <v>169</v>
      </c>
      <c r="B5" s="12" t="s">
        <v>475</v>
      </c>
      <c r="C5" s="12" t="s">
        <v>320</v>
      </c>
      <c r="D5" s="12"/>
      <c r="E5" s="12" t="s">
        <v>770</v>
      </c>
      <c r="F5" s="12" t="s">
        <v>773</v>
      </c>
    </row>
    <row r="6" spans="1:6" x14ac:dyDescent="0.2">
      <c r="A6" s="12" t="s">
        <v>172</v>
      </c>
      <c r="B6" s="12" t="s">
        <v>483</v>
      </c>
      <c r="C6" s="12" t="s">
        <v>320</v>
      </c>
      <c r="D6" s="12"/>
      <c r="E6" s="12"/>
      <c r="F6" s="1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6B26B"/>
  </sheetPr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4" customWidth="1"/>
    <col min="3" max="3" width="15" customWidth="1"/>
    <col min="4" max="4" width="45" customWidth="1"/>
    <col min="5" max="5" width="42" customWidth="1"/>
  </cols>
  <sheetData>
    <row r="1" spans="1:5" x14ac:dyDescent="0.2">
      <c r="A1" s="13" t="s">
        <v>849</v>
      </c>
      <c r="B1" s="13" t="s">
        <v>254</v>
      </c>
      <c r="C1" s="13" t="s">
        <v>7</v>
      </c>
      <c r="D1" s="13" t="s">
        <v>6</v>
      </c>
      <c r="E1" s="13" t="s">
        <v>14</v>
      </c>
    </row>
    <row r="2" spans="1:5" x14ac:dyDescent="0.2">
      <c r="A2" s="14" t="s">
        <v>850</v>
      </c>
      <c r="B2" s="14">
        <v>100</v>
      </c>
      <c r="C2" s="14" t="s">
        <v>146</v>
      </c>
      <c r="D2" s="14" t="s">
        <v>851</v>
      </c>
      <c r="E2" s="14" t="s">
        <v>852</v>
      </c>
    </row>
    <row r="3" spans="1:5" x14ac:dyDescent="0.2">
      <c r="A3" s="14" t="s">
        <v>853</v>
      </c>
      <c r="B3" s="14">
        <v>50</v>
      </c>
      <c r="C3" s="14" t="s">
        <v>854</v>
      </c>
      <c r="D3" s="14" t="s">
        <v>855</v>
      </c>
      <c r="E3" s="14" t="s">
        <v>856</v>
      </c>
    </row>
    <row r="4" spans="1:5" x14ac:dyDescent="0.2">
      <c r="A4" s="14" t="s">
        <v>857</v>
      </c>
      <c r="B4" s="14">
        <v>1</v>
      </c>
      <c r="C4" s="14" t="s">
        <v>30</v>
      </c>
      <c r="D4" s="14" t="s">
        <v>858</v>
      </c>
      <c r="E4" s="14" t="s">
        <v>859</v>
      </c>
    </row>
    <row r="5" spans="1:5" x14ac:dyDescent="0.2">
      <c r="A5" s="14" t="s">
        <v>860</v>
      </c>
      <c r="B5" s="14">
        <v>3.6666669999999999</v>
      </c>
      <c r="C5" s="14" t="s">
        <v>861</v>
      </c>
      <c r="D5" s="14" t="s">
        <v>862</v>
      </c>
      <c r="E5" s="14" t="s">
        <v>863</v>
      </c>
    </row>
    <row r="6" spans="1:5" x14ac:dyDescent="0.2">
      <c r="A6" s="14" t="s">
        <v>864</v>
      </c>
      <c r="B6" s="14">
        <v>3.6</v>
      </c>
      <c r="C6" s="14" t="s">
        <v>865</v>
      </c>
      <c r="D6" s="14" t="s">
        <v>866</v>
      </c>
      <c r="E6" s="14" t="s">
        <v>863</v>
      </c>
    </row>
    <row r="7" spans="1:5" x14ac:dyDescent="0.2">
      <c r="A7" s="14" t="s">
        <v>867</v>
      </c>
      <c r="B7" s="14" t="s">
        <v>749</v>
      </c>
      <c r="C7" s="14" t="s">
        <v>30</v>
      </c>
      <c r="D7" s="14" t="s">
        <v>868</v>
      </c>
      <c r="E7" s="14"/>
    </row>
    <row r="8" spans="1:5" x14ac:dyDescent="0.2">
      <c r="A8" s="14" t="s">
        <v>869</v>
      </c>
      <c r="B8" s="14" t="s">
        <v>744</v>
      </c>
      <c r="C8" s="14" t="s">
        <v>30</v>
      </c>
      <c r="D8" s="14" t="s">
        <v>870</v>
      </c>
      <c r="E8" s="14"/>
    </row>
    <row r="9" spans="1:5" x14ac:dyDescent="0.2">
      <c r="A9" s="14" t="s">
        <v>871</v>
      </c>
      <c r="B9" s="14" t="s">
        <v>834</v>
      </c>
      <c r="C9" s="14" t="s">
        <v>30</v>
      </c>
      <c r="D9" s="14" t="s">
        <v>872</v>
      </c>
      <c r="E9" s="1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6B26B"/>
  </sheetPr>
  <dimension ref="A1:M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11" width="14" customWidth="1"/>
    <col min="12" max="12" width="15" customWidth="1"/>
    <col min="13" max="13" width="45" customWidth="1"/>
  </cols>
  <sheetData>
    <row r="1" spans="1:13" x14ac:dyDescent="0.2">
      <c r="A1" s="13" t="s">
        <v>873</v>
      </c>
      <c r="B1" s="13" t="s">
        <v>874</v>
      </c>
      <c r="C1" s="13" t="s">
        <v>875</v>
      </c>
      <c r="D1" s="13" t="s">
        <v>876</v>
      </c>
      <c r="E1" s="13" t="s">
        <v>877</v>
      </c>
      <c r="F1" s="13" t="s">
        <v>878</v>
      </c>
      <c r="G1" s="13" t="s">
        <v>879</v>
      </c>
      <c r="H1" s="13" t="s">
        <v>880</v>
      </c>
      <c r="I1" s="13" t="s">
        <v>881</v>
      </c>
      <c r="J1" s="13" t="s">
        <v>882</v>
      </c>
      <c r="K1" s="13" t="s">
        <v>883</v>
      </c>
      <c r="L1" s="13" t="s">
        <v>884</v>
      </c>
      <c r="M1" s="13" t="s">
        <v>14</v>
      </c>
    </row>
    <row r="2" spans="1:13" x14ac:dyDescent="0.2">
      <c r="A2" s="14">
        <v>1</v>
      </c>
      <c r="B2" s="14">
        <v>0</v>
      </c>
      <c r="C2" s="14">
        <v>-7.0000000000000007E-2</v>
      </c>
      <c r="D2" s="14">
        <v>-0.15</v>
      </c>
      <c r="E2" s="14">
        <v>-0.23</v>
      </c>
      <c r="F2" s="14">
        <v>-0.32</v>
      </c>
      <c r="G2" s="14">
        <v>-0.4</v>
      </c>
      <c r="H2" s="14">
        <v>-0.5</v>
      </c>
      <c r="I2" s="14">
        <v>-0.6</v>
      </c>
      <c r="J2" s="14">
        <v>-0.71</v>
      </c>
      <c r="K2" s="14">
        <v>-0.84</v>
      </c>
      <c r="L2" s="14">
        <v>-0.99</v>
      </c>
      <c r="M2" s="14" t="s">
        <v>885</v>
      </c>
    </row>
    <row r="3" spans="1:13" x14ac:dyDescent="0.2">
      <c r="A3" s="14">
        <v>10</v>
      </c>
      <c r="B3" s="14">
        <v>0.04</v>
      </c>
      <c r="C3" s="14">
        <v>-0.04</v>
      </c>
      <c r="D3" s="14">
        <v>-0.12</v>
      </c>
      <c r="E3" s="14">
        <v>-0.2</v>
      </c>
      <c r="F3" s="14">
        <v>-0.28000000000000003</v>
      </c>
      <c r="G3" s="14">
        <v>-0.37</v>
      </c>
      <c r="H3" s="14">
        <v>-0.46</v>
      </c>
      <c r="I3" s="14">
        <v>-0.56999999999999995</v>
      </c>
      <c r="J3" s="14">
        <v>-0.68</v>
      </c>
      <c r="K3" s="14">
        <v>-0.8</v>
      </c>
      <c r="L3" s="14">
        <v>-0.96</v>
      </c>
      <c r="M3" s="14" t="s">
        <v>885</v>
      </c>
    </row>
    <row r="4" spans="1:13" x14ac:dyDescent="0.2">
      <c r="A4" s="14">
        <v>20</v>
      </c>
      <c r="B4" s="14">
        <v>0.08</v>
      </c>
      <c r="C4" s="14">
        <v>0</v>
      </c>
      <c r="D4" s="14">
        <v>-0.08</v>
      </c>
      <c r="E4" s="14">
        <v>-0.16</v>
      </c>
      <c r="F4" s="14">
        <v>-0.24</v>
      </c>
      <c r="G4" s="14">
        <v>-0.33</v>
      </c>
      <c r="H4" s="14">
        <v>-0.42</v>
      </c>
      <c r="I4" s="14">
        <v>-0.53</v>
      </c>
      <c r="J4" s="14">
        <v>-0.64</v>
      </c>
      <c r="K4" s="14">
        <v>-0.76</v>
      </c>
      <c r="L4" s="14">
        <v>-0.92</v>
      </c>
      <c r="M4" s="14" t="s">
        <v>885</v>
      </c>
    </row>
    <row r="5" spans="1:13" x14ac:dyDescent="0.2">
      <c r="A5" s="14">
        <v>30</v>
      </c>
      <c r="B5" s="14">
        <v>0.12</v>
      </c>
      <c r="C5" s="14">
        <v>0.04</v>
      </c>
      <c r="D5" s="14">
        <v>-0.04</v>
      </c>
      <c r="E5" s="14">
        <v>-0.12</v>
      </c>
      <c r="F5" s="14">
        <v>-0.2</v>
      </c>
      <c r="G5" s="14">
        <v>-0.28999999999999998</v>
      </c>
      <c r="H5" s="14">
        <v>-0.38</v>
      </c>
      <c r="I5" s="14">
        <v>-0.48</v>
      </c>
      <c r="J5" s="14">
        <v>-0.6</v>
      </c>
      <c r="K5" s="14">
        <v>-0.72</v>
      </c>
      <c r="L5" s="14">
        <v>-0.88</v>
      </c>
      <c r="M5" s="14" t="s">
        <v>885</v>
      </c>
    </row>
    <row r="6" spans="1:13" x14ac:dyDescent="0.2">
      <c r="A6" s="14">
        <v>40</v>
      </c>
      <c r="B6" s="14">
        <v>0.16</v>
      </c>
      <c r="C6" s="14">
        <v>0.09</v>
      </c>
      <c r="D6" s="14">
        <v>0.01</v>
      </c>
      <c r="E6" s="14">
        <v>-0.08</v>
      </c>
      <c r="F6" s="14">
        <v>-0.16</v>
      </c>
      <c r="G6" s="14">
        <v>-0.25</v>
      </c>
      <c r="H6" s="14">
        <v>-0.34</v>
      </c>
      <c r="I6" s="14">
        <v>-0.44</v>
      </c>
      <c r="J6" s="14">
        <v>-0.55000000000000004</v>
      </c>
      <c r="K6" s="14">
        <v>-0.68</v>
      </c>
      <c r="L6" s="14">
        <v>-0.84</v>
      </c>
      <c r="M6" s="14" t="s">
        <v>885</v>
      </c>
    </row>
    <row r="7" spans="1:13" x14ac:dyDescent="0.2">
      <c r="A7" s="14">
        <v>50</v>
      </c>
      <c r="B7" s="14">
        <v>0.2</v>
      </c>
      <c r="C7" s="14">
        <v>0.13</v>
      </c>
      <c r="D7" s="14">
        <v>0.05</v>
      </c>
      <c r="E7" s="14">
        <v>-0.03</v>
      </c>
      <c r="F7" s="14">
        <v>-0.12</v>
      </c>
      <c r="G7" s="14">
        <v>-0.21</v>
      </c>
      <c r="H7" s="14">
        <v>-0.3</v>
      </c>
      <c r="I7" s="14">
        <v>-0.4</v>
      </c>
      <c r="J7" s="14">
        <v>-0.51</v>
      </c>
      <c r="K7" s="14">
        <v>-0.64</v>
      </c>
      <c r="L7" s="14">
        <v>-0.8</v>
      </c>
      <c r="M7" s="14" t="s">
        <v>885</v>
      </c>
    </row>
    <row r="8" spans="1:13" x14ac:dyDescent="0.2">
      <c r="A8" s="14">
        <v>60</v>
      </c>
      <c r="B8" s="14">
        <v>0.25</v>
      </c>
      <c r="C8" s="14">
        <v>0.17</v>
      </c>
      <c r="D8" s="14">
        <v>0.09</v>
      </c>
      <c r="E8" s="14">
        <v>0.01</v>
      </c>
      <c r="F8" s="14">
        <v>-7.0000000000000007E-2</v>
      </c>
      <c r="G8" s="14">
        <v>-0.16</v>
      </c>
      <c r="H8" s="14">
        <v>-0.26</v>
      </c>
      <c r="I8" s="14">
        <v>-0.36</v>
      </c>
      <c r="J8" s="14">
        <v>-0.47</v>
      </c>
      <c r="K8" s="14">
        <v>-0.59</v>
      </c>
      <c r="L8" s="14">
        <v>-0.75</v>
      </c>
      <c r="M8" s="14" t="s">
        <v>885</v>
      </c>
    </row>
    <row r="9" spans="1:13" x14ac:dyDescent="0.2">
      <c r="A9" s="14">
        <v>70</v>
      </c>
      <c r="B9" s="14">
        <v>0.28999999999999998</v>
      </c>
      <c r="C9" s="14">
        <v>0.22</v>
      </c>
      <c r="D9" s="14">
        <v>0.14000000000000001</v>
      </c>
      <c r="E9" s="14">
        <v>0.06</v>
      </c>
      <c r="F9" s="14">
        <v>-0.03</v>
      </c>
      <c r="G9" s="14">
        <v>-0.12</v>
      </c>
      <c r="H9" s="14">
        <v>-0.21</v>
      </c>
      <c r="I9" s="14">
        <v>-0.31</v>
      </c>
      <c r="J9" s="14">
        <v>-0.42</v>
      </c>
      <c r="K9" s="14">
        <v>-0.55000000000000004</v>
      </c>
      <c r="L9" s="14">
        <v>-0.71</v>
      </c>
      <c r="M9" s="14" t="s">
        <v>885</v>
      </c>
    </row>
    <row r="10" spans="1:13" x14ac:dyDescent="0.2">
      <c r="A10" s="14">
        <v>80</v>
      </c>
      <c r="B10" s="14">
        <v>0.34</v>
      </c>
      <c r="C10" s="14">
        <v>0.26</v>
      </c>
      <c r="D10" s="14">
        <v>0.18</v>
      </c>
      <c r="E10" s="14">
        <v>0.1</v>
      </c>
      <c r="F10" s="14">
        <v>0.02</v>
      </c>
      <c r="G10" s="14">
        <v>-7.0000000000000007E-2</v>
      </c>
      <c r="H10" s="14">
        <v>-0.17</v>
      </c>
      <c r="I10" s="14">
        <v>-0.27</v>
      </c>
      <c r="J10" s="14">
        <v>-0.38</v>
      </c>
      <c r="K10" s="14">
        <v>-0.5</v>
      </c>
      <c r="L10" s="14">
        <v>-0.66</v>
      </c>
      <c r="M10" s="14" t="s">
        <v>885</v>
      </c>
    </row>
    <row r="11" spans="1:13" x14ac:dyDescent="0.2">
      <c r="A11" s="14">
        <v>90</v>
      </c>
      <c r="B11" s="14">
        <v>0.38</v>
      </c>
      <c r="C11" s="14">
        <v>0.31</v>
      </c>
      <c r="D11" s="14">
        <v>0.23</v>
      </c>
      <c r="E11" s="14">
        <v>0.15</v>
      </c>
      <c r="F11" s="14">
        <v>0.06</v>
      </c>
      <c r="G11" s="14">
        <v>-0.03</v>
      </c>
      <c r="H11" s="14">
        <v>-0.12</v>
      </c>
      <c r="I11" s="14">
        <v>-0.22</v>
      </c>
      <c r="J11" s="14">
        <v>-0.33</v>
      </c>
      <c r="K11" s="14">
        <v>-0.46</v>
      </c>
      <c r="L11" s="14">
        <v>-0.62</v>
      </c>
      <c r="M11" s="14" t="s">
        <v>885</v>
      </c>
    </row>
    <row r="12" spans="1:13" x14ac:dyDescent="0.2">
      <c r="A12" s="14">
        <v>100</v>
      </c>
      <c r="B12" s="14">
        <v>0.44</v>
      </c>
      <c r="C12" s="14">
        <v>0.37</v>
      </c>
      <c r="D12" s="14">
        <v>0.28999999999999998</v>
      </c>
      <c r="E12" s="14">
        <v>0.21</v>
      </c>
      <c r="F12" s="14">
        <v>0.12</v>
      </c>
      <c r="G12" s="14">
        <v>3.2000000000000001E-2</v>
      </c>
      <c r="H12" s="14">
        <v>-0.06</v>
      </c>
      <c r="I12" s="14">
        <v>-0.16</v>
      </c>
      <c r="J12" s="14">
        <v>-0.27</v>
      </c>
      <c r="K12" s="14">
        <v>-0.4</v>
      </c>
      <c r="L12" s="14">
        <v>-0.56000000000000005</v>
      </c>
      <c r="M12" s="14" t="s">
        <v>885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6B26B"/>
  </sheetPr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22" customWidth="1"/>
    <col min="4" max="4" width="45" customWidth="1"/>
  </cols>
  <sheetData>
    <row r="1" spans="1:4" x14ac:dyDescent="0.2">
      <c r="A1" s="13" t="s">
        <v>886</v>
      </c>
      <c r="B1" s="13" t="s">
        <v>887</v>
      </c>
      <c r="C1" s="13" t="s">
        <v>888</v>
      </c>
      <c r="D1" s="13" t="s">
        <v>14</v>
      </c>
    </row>
    <row r="2" spans="1:4" x14ac:dyDescent="0.2">
      <c r="A2" s="14" t="s">
        <v>889</v>
      </c>
      <c r="B2" s="14">
        <v>0.217</v>
      </c>
      <c r="C2" s="14"/>
      <c r="D2" s="14" t="s">
        <v>890</v>
      </c>
    </row>
    <row r="3" spans="1:4" x14ac:dyDescent="0.2">
      <c r="A3" s="14" t="s">
        <v>891</v>
      </c>
      <c r="B3" s="14">
        <v>0.25900000000000001</v>
      </c>
      <c r="C3" s="14">
        <v>172.9</v>
      </c>
      <c r="D3" s="14" t="s">
        <v>890</v>
      </c>
    </row>
    <row r="4" spans="1:4" x14ac:dyDescent="0.2">
      <c r="A4" s="14" t="s">
        <v>892</v>
      </c>
      <c r="B4" s="14">
        <v>0.33800000000000002</v>
      </c>
      <c r="C4" s="14">
        <v>18.510000000000002</v>
      </c>
      <c r="D4" s="14" t="s">
        <v>890</v>
      </c>
    </row>
    <row r="5" spans="1:4" x14ac:dyDescent="0.2">
      <c r="A5" s="14" t="s">
        <v>893</v>
      </c>
      <c r="B5" s="14">
        <v>0.186</v>
      </c>
      <c r="C5" s="14">
        <v>1.1859999999999999</v>
      </c>
      <c r="D5" s="14" t="s">
        <v>890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fu_comparison</vt:lpstr>
      <vt:lpstr>study_setup</vt:lpstr>
      <vt:lpstr>impact_categories</vt:lpstr>
      <vt:lpstr>scenarios</vt:lpstr>
      <vt:lpstr>lci_baselines</vt:lpstr>
      <vt:lpstr>lci_raw_biopol</vt:lpstr>
      <vt:lpstr>lci_raw_knit</vt:lpstr>
      <vt:lpstr>lci_raw_timber</vt:lpstr>
      <vt:lpstr>lci_raw_cfw</vt:lpstr>
      <vt:lpstr>product_size_formulas</vt:lpstr>
      <vt:lpstr>unit_burdens_dataSources</vt:lpstr>
      <vt:lpstr>benefits_constants_dataSources</vt:lpstr>
      <vt:lpstr>EoL_constants</vt:lpstr>
      <vt:lpstr>eol_routes</vt:lpstr>
      <vt:lpstr>constants</vt:lpstr>
      <vt:lpstr>gwpbio_table</vt:lpstr>
      <vt:lpstr>dcf_bern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Tsui, T.P.Y. (Tanya)</cp:lastModifiedBy>
  <dcterms:created xsi:type="dcterms:W3CDTF">2026-09-25T12:10:23Z</dcterms:created>
  <dcterms:modified xsi:type="dcterms:W3CDTF">2026-09-29T14:08:20Z</dcterms:modified>
</cp:coreProperties>
</file>
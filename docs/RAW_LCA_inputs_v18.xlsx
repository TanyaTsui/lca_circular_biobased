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158" documentId="11_DF65D327DE2893D119831FD947F74453E2A67633" xr6:coauthVersionLast="47" xr6:coauthVersionMax="47" xr10:uidLastSave="{CC79FB3D-04F5-B740-A319-07C1F6C1FDAE}"/>
  <bookViews>
    <workbookView xWindow="0" yWindow="660" windowWidth="29400" windowHeight="18460" firstSheet="4" activeTab="10" xr2:uid="{00000000-000D-0000-FFFF-FFFF00000000}"/>
  </bookViews>
  <sheets>
    <sheet name="README" sheetId="1" r:id="rId1"/>
    <sheet name="fu_comparison" sheetId="2" r:id="rId2"/>
    <sheet name="study_setup" sheetId="3" r:id="rId3"/>
    <sheet name="impact_categories" sheetId="4" r:id="rId4"/>
    <sheet name="scenarios" sheetId="5" r:id="rId5"/>
    <sheet name="process_assumptions" sheetId="6" r:id="rId6"/>
    <sheet name="product_size_formulas" sheetId="7" r:id="rId7"/>
    <sheet name="lci_raw_cfw" sheetId="10" r:id="rId8"/>
    <sheet name="lci_raw_biopol" sheetId="8" r:id="rId9"/>
    <sheet name="lci_raw_timber" sheetId="11" r:id="rId10"/>
    <sheet name="lci_raw_knit" sheetId="9" r:id="rId11"/>
    <sheet name="lci_baseline_cfw_flax" sheetId="12" r:id="rId12"/>
    <sheet name="lci_baseline_cfw_glass" sheetId="13" r:id="rId13"/>
    <sheet name="lci_baseline_glulam_beam" sheetId="14" r:id="rId14"/>
    <sheet name="lci_baseline_rc_beam" sheetId="15" r:id="rId15"/>
    <sheet name="lci_baseline_adobe_wall" sheetId="16" r:id="rId16"/>
    <sheet name="lci_baseline_clay_brick_wall" sheetId="17" r:id="rId17"/>
    <sheet name="lci_baseline_polymer_membrane" sheetId="18" r:id="rId18"/>
    <sheet name="lci_baseline_knit_hemp" sheetId="19" r:id="rId19"/>
    <sheet name="unit_burdens_dataSources" sheetId="20" r:id="rId20"/>
    <sheet name="benefits_constants_dataSources" sheetId="21" r:id="rId21"/>
    <sheet name="EoL_constants" sheetId="22" r:id="rId22"/>
    <sheet name="eol_routes" sheetId="23" r:id="rId23"/>
    <sheet name="constants" sheetId="24" r:id="rId24"/>
    <sheet name="gwpbio_table" sheetId="25" r:id="rId25"/>
    <sheet name="dcf_bern"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11" l="1"/>
  <c r="K26" i="11"/>
  <c r="J27" i="11"/>
  <c r="K27" i="11"/>
  <c r="J28" i="11"/>
  <c r="K28" i="11"/>
  <c r="J29" i="11"/>
  <c r="K29" i="11"/>
  <c r="J31" i="11"/>
  <c r="K31" i="11"/>
  <c r="J32" i="11"/>
  <c r="K32" i="11"/>
  <c r="J33" i="11"/>
  <c r="K33" i="11"/>
  <c r="J34" i="11"/>
  <c r="K34" i="11"/>
  <c r="J35" i="11"/>
  <c r="K35" i="11"/>
  <c r="J36" i="11"/>
  <c r="K36" i="11"/>
  <c r="K25" i="11"/>
  <c r="J25" i="11"/>
  <c r="J7" i="11"/>
  <c r="K7" i="11"/>
  <c r="J8" i="11"/>
  <c r="K8" i="11"/>
  <c r="J9" i="11"/>
  <c r="K9" i="11"/>
  <c r="J10" i="11"/>
  <c r="K10" i="11"/>
  <c r="J11" i="11"/>
  <c r="K11" i="11"/>
  <c r="J13" i="11"/>
  <c r="K13" i="11"/>
  <c r="J14" i="11"/>
  <c r="K14" i="11"/>
  <c r="J15" i="11"/>
  <c r="K15" i="11"/>
  <c r="J16" i="11"/>
  <c r="K16" i="11"/>
  <c r="J17" i="11"/>
  <c r="K17" i="11"/>
  <c r="J19" i="11"/>
  <c r="K19" i="11"/>
  <c r="J20" i="11"/>
  <c r="K20" i="11"/>
  <c r="J21" i="11"/>
  <c r="K21" i="11"/>
  <c r="J22" i="11"/>
  <c r="K22" i="11"/>
  <c r="J5" i="11"/>
  <c r="K5" i="11"/>
  <c r="J6" i="11"/>
  <c r="K6" i="11"/>
  <c r="J3" i="11"/>
  <c r="K3" i="11"/>
  <c r="J4" i="11"/>
  <c r="K4" i="11"/>
  <c r="K2" i="11"/>
  <c r="J2" i="11"/>
  <c r="J7" i="10"/>
  <c r="K7" i="10"/>
  <c r="J8" i="10"/>
  <c r="K8" i="10"/>
  <c r="J9" i="10"/>
  <c r="K9" i="10"/>
  <c r="J10" i="10"/>
  <c r="K10" i="10"/>
  <c r="J12" i="10"/>
  <c r="K12" i="10"/>
  <c r="J13" i="10"/>
  <c r="K13" i="10"/>
  <c r="J14" i="10"/>
  <c r="K14" i="10"/>
  <c r="J15" i="10"/>
  <c r="K15" i="10"/>
  <c r="J16" i="10"/>
  <c r="K16" i="10"/>
  <c r="J18" i="10"/>
  <c r="K18" i="10"/>
  <c r="J19" i="10"/>
  <c r="K19" i="10"/>
  <c r="J20" i="10"/>
  <c r="K20" i="10"/>
  <c r="J21" i="10"/>
  <c r="K21" i="10"/>
  <c r="J22" i="10"/>
  <c r="K22" i="10"/>
  <c r="J24" i="10"/>
  <c r="K24" i="10"/>
  <c r="J25" i="10"/>
  <c r="K25" i="10"/>
  <c r="J26" i="10"/>
  <c r="K26" i="10"/>
  <c r="J27" i="10"/>
  <c r="K27" i="10"/>
  <c r="J28" i="10"/>
  <c r="K28" i="10"/>
  <c r="J29" i="10"/>
  <c r="K29" i="10"/>
  <c r="K6" i="10"/>
  <c r="J6" i="10"/>
  <c r="J50" i="8"/>
  <c r="K50" i="8"/>
  <c r="J51" i="8"/>
  <c r="K51" i="8"/>
  <c r="J52" i="8"/>
  <c r="K52" i="8"/>
  <c r="J53" i="8"/>
  <c r="K53" i="8"/>
  <c r="J54" i="8"/>
  <c r="K54" i="8"/>
  <c r="J48" i="8"/>
  <c r="K48" i="8"/>
  <c r="J49" i="8"/>
  <c r="K49" i="8"/>
  <c r="J42" i="8"/>
  <c r="K42" i="8"/>
  <c r="J43" i="8"/>
  <c r="K43" i="8"/>
  <c r="J44" i="8"/>
  <c r="K44" i="8"/>
  <c r="J45" i="8"/>
  <c r="K45" i="8"/>
  <c r="J36" i="8"/>
  <c r="K36" i="8"/>
  <c r="J37" i="8"/>
  <c r="K37" i="8"/>
  <c r="J38" i="8"/>
  <c r="K38" i="8"/>
  <c r="J39" i="8"/>
  <c r="K39" i="8"/>
  <c r="J30" i="8"/>
  <c r="K30" i="8"/>
  <c r="J31" i="8"/>
  <c r="K31" i="8"/>
  <c r="J32" i="8"/>
  <c r="K32" i="8"/>
  <c r="J33" i="8"/>
  <c r="K33" i="8"/>
  <c r="J24" i="8"/>
  <c r="K24" i="8"/>
  <c r="J25" i="8"/>
  <c r="K25" i="8"/>
  <c r="J26" i="8"/>
  <c r="K26" i="8"/>
  <c r="J27" i="8"/>
  <c r="K27" i="8"/>
  <c r="K47" i="8"/>
  <c r="J47" i="8"/>
  <c r="K41" i="8"/>
  <c r="J41" i="8"/>
  <c r="K35" i="8"/>
  <c r="J35" i="8"/>
  <c r="K29" i="8"/>
  <c r="J29" i="8"/>
  <c r="K23" i="8"/>
  <c r="J23" i="8"/>
  <c r="J18" i="8"/>
  <c r="K18" i="8"/>
  <c r="J19" i="8"/>
  <c r="K19" i="8"/>
  <c r="J20" i="8"/>
  <c r="K20" i="8"/>
  <c r="J21" i="8"/>
  <c r="K21" i="8"/>
  <c r="K17" i="8"/>
  <c r="J17" i="8"/>
  <c r="J11" i="8"/>
  <c r="J12" i="8"/>
  <c r="K12" i="8"/>
  <c r="J13" i="8"/>
  <c r="K13" i="8"/>
  <c r="J14" i="8"/>
  <c r="K14" i="8"/>
  <c r="J15" i="8"/>
  <c r="K15" i="8"/>
  <c r="K11" i="8"/>
  <c r="J4" i="8"/>
  <c r="K4" i="8"/>
  <c r="K3" i="8"/>
  <c r="J3" i="8"/>
  <c r="J23" i="11"/>
  <c r="K23" i="11"/>
  <c r="J2" i="10"/>
</calcChain>
</file>

<file path=xl/sharedStrings.xml><?xml version="1.0" encoding="utf-8"?>
<sst xmlns="http://schemas.openxmlformats.org/spreadsheetml/2006/main" count="4854" uniqueCount="1124">
  <si>
    <t>case</t>
  </si>
  <si>
    <t>group</t>
  </si>
  <si>
    <t>stage</t>
  </si>
  <si>
    <t>item</t>
  </si>
  <si>
    <t>qualifier</t>
  </si>
  <si>
    <t>parameter</t>
  </si>
  <si>
    <t>description</t>
  </si>
  <si>
    <t>unit</t>
  </si>
  <si>
    <t>typical</t>
  </si>
  <si>
    <t>min</t>
  </si>
  <si>
    <t>max</t>
  </si>
  <si>
    <t>scaled_up</t>
  </si>
  <si>
    <t>distribution</t>
  </si>
  <si>
    <t>choices</t>
  </si>
  <si>
    <t>source</t>
  </si>
  <si>
    <t>status</t>
  </si>
  <si>
    <t>comments</t>
  </si>
  <si>
    <t>raw_timber</t>
  </si>
  <si>
    <t>design</t>
  </si>
  <si>
    <t>product size</t>
  </si>
  <si>
    <t>product</t>
  </si>
  <si>
    <t>depth_ratio</t>
  </si>
  <si>
    <t>Beam span / beam depth (depth = span / depth_ratio)</t>
  </si>
  <si>
    <t>-</t>
  </si>
  <si>
    <t>triangular</t>
  </si>
  <si>
    <t>Rule of thumb span/depth ~20 for timber beams (same value and range as the glulam baseline).</t>
  </si>
  <si>
    <t>literature</t>
  </si>
  <si>
    <t>DESIGN UNCERTAINTY: a better design (dowel placement and number, layer build-up, piece grading from the CT scan) can reach the same stiffness/strength with a shallower beam (higher ratio = less material), a worse one needs a deeper beam. At 6 m span: depth 0.25-0.375 m (typical 0.30 m, ~7 layers of 40 mm pieces).</t>
  </si>
  <si>
    <t>width_ratio</t>
  </si>
  <si>
    <t>Beam depth / beam width (width = depth / width_ratio)</t>
  </si>
  <si>
    <t>Partners: pieces are stacked in depth only, so the beam width = one planed piece (~95 mm, partners' image). 0.30 m depth / 0.095 m = 3.2.</t>
  </si>
  <si>
    <t>partner estimate</t>
  </si>
  <si>
    <t>DESIGN UNCERTAINTY: choosing wider or narrower reclaimed stock changes the width for the same depth. Range 2.5-4 = ~120 mm to ~75 mm wide at 0.30 m depth. Was 3 (2.4-3.6, placeholder).</t>
  </si>
  <si>
    <t>density</t>
  </si>
  <si>
    <t>Density of the reclaimed timber</t>
  </si>
  <si>
    <t>kg/m3</t>
  </si>
  <si>
    <t>Reclaimed European softwood (spruce/pine); C24 mean density ~420 kg/m3 (EN 338, general knowledge, not re-checked); old slow-grown timber is often denser. Opalis: reclaimed structural softwood mostly pine.</t>
  </si>
  <si>
    <t>DESIGN UNCERTAINTY: material selection. Lighter, weaker stock (420) vs denser, stronger old-growth stock (550). Note: in this simple model denser timber gives a heavier beam; the depth_ratio range carries the fact that stronger stock allows a smaller section.</t>
  </si>
  <si>
    <t>production</t>
  </si>
  <si>
    <t>Soft wood</t>
  </si>
  <si>
    <t>recycled</t>
  </si>
  <si>
    <t>share of input mass</t>
  </si>
  <si>
    <t>Share of the production input mass made of this material (recycled = reclaimed); the shares of one stage add up to 100 %</t>
  </si>
  <si>
    <t>%</t>
  </si>
  <si>
    <t>fixed</t>
  </si>
  <si>
    <t>Partners: reclaimed timber pieces; Opalis: reclaimed structural timber in Europe is mostly pine/spruce.</t>
  </si>
  <si>
    <t>Reclaimed softwood (was "Hard wood, recycled" 100%, placeholder). 99% = everything except the dowels. Fixed on purpose: uncertainty on this sheet is limited to the product-size parameters (design) and the planing yield (piece selection) (Tanya, 2026-09-30).</t>
  </si>
  <si>
    <t>virgin</t>
  </si>
  <si>
    <t>Share of the production input mass made of this material (virgin); the shares of one stage add up to 100 %</t>
  </si>
  <si>
    <t>Partners: ~6 dowels of ~1 inch (25 mm) per beam, material unknown -&gt; new softwood (Tanya).</t>
  </si>
  <si>
    <t>Dowels: 12 dowels per 6 m beam (2 per m, assuming the partners' 6 dowels were for a ~3 m beam), 25 mm diameter, running through the full depth: dowel volume / beam volume = 2 x 0.00049 m2 / 0.095 m = ~1%. No glue. Note: the model applies shares at the first step, so the dowels are also counted as scanned and planed (negligible). Fixed on purpose: uncertainty on this sheet is limited to the product-size parameters (design) and the planing yield (piece selection) (Tanya, 2026-09-30).</t>
  </si>
  <si>
    <t>manufacturing</t>
  </si>
  <si>
    <t>CT scanning</t>
  </si>
  <si>
    <t>machine weight</t>
  </si>
  <si>
    <t>Weight of the machine used in this step (used to account for machine wear)</t>
  </si>
  <si>
    <t>kg</t>
  </si>
  <si>
    <t>PROTOTYPE machinery: medical/lab X-ray CT scanner (partners) scanning 3-4 pieces at once at 1 min per 2 m. Medical CT gantry + table + generator/cabinets ~2-3.5 t (Claude estimate, no datasheet retrieved). SCALED-UP: industrial multi-sensor lumber scanner (MiCROTEC Goldeneye class: X-ray + 3D laser + colour, EN 14081 strength grading, 150-1,200 m/min, microtec.com); weight ~10 t and power ~50 kW are Claude estimates (not published); 150 m/min at 50% utilisation.</t>
  </si>
  <si>
    <t>Medical CT, not an industrial log scanner. Fixed on purpose: uncertainty on this sheet is limited to the product-size parameters (design) and the planing yield (piece selection) (Tanya, 2026-09-30).</t>
  </si>
  <si>
    <t>power</t>
  </si>
  <si>
    <t>Electric power the machine draws while running</t>
  </si>
  <si>
    <t>kW</t>
  </si>
  <si>
    <t>PROTOTYPE machinery: medical/lab X-ray CT scanner (partners) scanning 3-4 pieces at once at 1 min per 2 m. Average draw in use, mostly idle with short high peaks while scanning; hospital CTs use ~55 MWh/y, 78% while idle (Heye et al. 2020, via Eur. Radiol. Exp. 2024 review). 10 kW is Claude's estimate.</t>
  </si>
  <si>
    <t>Energy check: 10 kW / 940 kg/h = 0.011 kWh/kg. Fixed on purpose: uncertainty on this sheet is limited to the product-size parameters (design) and the planing yield (piece selection) (Tanya, 2026-09-30).</t>
  </si>
  <si>
    <t>output rate</t>
  </si>
  <si>
    <t>Mass of material the machine processes per hour</t>
  </si>
  <si>
    <t>kg/hr</t>
  </si>
  <si>
    <t>PROTOTYPE machinery: medical/lab X-ray CT scanner (partners) scanning 3-4 pieces at once at 1 min per 2 m. 2 m/min per piece x 3.5 pieces in parallel x 60 min/h x 2.2 kg/m = ~940 kg/h. Reference reclaimed piece used for all machine rates: ~100 x 45 mm raw (~95 x 40 mm planed, partners' "Virtual Planing" image), 2.7 m long (Opalis reclaimed-timber factsheet: structural softwood mostly 50 x 100 mm, 2.4-3 m), 480 kg/m3 -&gt; 2.2 kg per m of raw piece.</t>
  </si>
  <si>
    <t>Scaled-up: 150 m/min x 60 x 2.2 kg/m x 50% = ~10,000 kg/h. Fixed on purpose: uncertainty on this sheet is limited to the product-size parameters (design) and the planing yield (piece selection) (Tanya, 2026-09-30).</t>
  </si>
  <si>
    <t>machine lifetime</t>
  </si>
  <si>
    <t>Operating hours before the machine is worn out</t>
  </si>
  <si>
    <t>hrs</t>
  </si>
  <si>
    <t>Medical CTs are replaced after ~10 y; ~2,000 h/y of use = 20,000 h (Claude estimate). Sawmill scanner ~60,000 h (assumption).</t>
  </si>
  <si>
    <t>The CT may be second-hand; then machine source could be "recycled". Fixed on purpose: uncertainty on this sheet is limited to the product-size parameters (design) and the planing yield (piece selection) (Tanya, 2026-09-30).</t>
  </si>
  <si>
    <t>process yield</t>
  </si>
  <si>
    <t>Share of the material entering this step that leaves it as usable output (the rest is waste)</t>
  </si>
  <si>
    <t>Scanning is non-destructive.</t>
  </si>
  <si>
    <t>Pieces rejected after the scan are not modelled. Fixed on purpose: uncertainty on this sheet is limited to the product-size parameters (design) and the planing yield (piece selection) (Tanya, 2026-09-30).</t>
  </si>
  <si>
    <t>machine source</t>
  </si>
  <si>
    <t>Whether the machine is new (virgin) or reused/recycled (recycled)</t>
  </si>
  <si>
    <t>choice</t>
  </si>
  <si>
    <t>virgin;recycled</t>
  </si>
  <si>
    <t>Assumed new (virgin) machine.</t>
  </si>
  <si>
    <t>Same convention as the other RAW cases.</t>
  </si>
  <si>
    <t>3D scanning</t>
  </si>
  <si>
    <t>PROTOTYPE machinery: ABB IRB 6620 robot (robot mass 900 kg, ABB datasheet) with a Zivid 3D camera; adaptive scan of each piece for warp/twist (partners). IRB 6620 900 kg + controller ~150 kg + camera (Claude estimate). SCALED-UP: same robot and camera with automated feeding (0.25 min per piece). Note: an industrial Goldeneye-type scanner already includes 3D laser geometry, so in a real plant this step would merge with CT scanning.</t>
  </si>
  <si>
    <t>Same robot as the milling step.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</si>
  <si>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Average draw of a 150 kg-payload robot plus camera and PC (Claude estimate; ABB gives no power figure).</t>
  </si>
  <si>
    <t xml:space="preserve">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</si>
  <si>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Partners: a few seconds of scanning per piece; with ~1 min per piece incl. loading/positioning: 2.7 m x 2.2 kg/m x 60 = ~360 kg/h. Reference reclaimed piece used for all machine rates: ~100 x 45 mm raw (~95 x 40 mm planed, partners' "Virtual Planing" image), 2.7 m long (Opalis reclaimed-timber factsheet: structural softwood mostly 50 x 100 mm, 2.4-3 m), 480 kg/m3 -&gt; 2.2 kg per m of raw piece.</t>
  </si>
  <si>
    <t>Scaled-up: 0.25 min per piece = ~1,450 kg/h. Fixed on purpose: uncertainty on this sheet is limited to the product-size parameters (design) and the planing yield (piece selection) (Tanya, 2026-09-30).</t>
  </si>
  <si>
    <t>Robot lifetime 36,000 h (robot LCA, Robotics 2021), as on the other RAW sheets.</t>
  </si>
  <si>
    <t>Non-destructive.</t>
  </si>
  <si>
    <t>Planing</t>
  </si>
  <si>
    <t>PROTOTYPE machinery: surface planer in the partners' workshop (photo: Martin surface planer, T54 class: 1,200 kg, 5.5 kW main motor, 500 mm wide, max cut 8 mm; hoechsmann.com listing); assumed to do all the planing (Tanya). Martin T54 1,200 kg (hoechsmann.com listing). SCALED-UP: Weinig Powermat 1500 four-sided moulder (4,100 kg, 6 spindles, 73 kW installed, feed 5-40 m/min; werktuigen.com listing), all four faces in one pass at ~20 m/min, average draw ~30 kW (Claude estimate).</t>
  </si>
  <si>
    <t>PROTOTYPE machinery: surface planer in the partners' workshop (photo: Martin surface planer, T54 class: 1,200 kg, 5.5 kW main motor, 500 mm wide, max cut 8 mm; hoechsmann.com listing); assumed to do all the planing (Tanya). 5.5 kW main motor (Martin T54); ~4 kW average under part load (Claude estimate).</t>
  </si>
  <si>
    <t>Energy check: 4 kW / 170 kg/h = 0.024 kWh/kg. Fixed on purpose: uncertainty on this sheet is limited to the product-size parameters (design) and the planing yield (piece selection) (Tanya, 2026-09-30).</t>
  </si>
  <si>
    <t>PROTOTYPE machinery: surface planer in the partners' workshop (photo: Martin surface planer, T54 class: 1,200 kg, 5.5 kW main motor, 500 mm wide, max cut 8 mm; hoechsmann.com listing); assumed to do all the planing (Tanya). Partners: feed 2-8 m/min (5 used), up to 3 mm per pass; ~3 mm off each of 4 faces = 4 passes: 5 m/min / 4 passes x 60 x 2.2 kg/m = ~170 kg/h. Reference reclaimed piece used for all machine rates: ~100 x 45 mm raw (~95 x 40 mm planed, partners' "Virtual Planing" image), 2.7 m long (Opalis reclaimed-timber factsheet: structural softwood mostly 50 x 100 mm, 2.4-3 m), 480 kg/m3 -&gt; 2.2 kg per m of raw piece.</t>
  </si>
  <si>
    <t>Heavily warped pieces need more passes (slower); kept fixed here, the effect of warp is carried by the yield. Scaled-up: one pass at 20 m/min = ~2,680 kg/h. Fixed on purpose: uncertainty on this sheet is limited to the product-size parameters (design) and the planing yield (piece selection) (Tanya, 2026-09-30).</t>
  </si>
  <si>
    <t>Workshop machine ~1,500-2,000 h/y for ~15-20 y (Claude estimate); industrial moulder ~60,000 h (assumption).</t>
  </si>
  <si>
    <t>Partners: 10-40% material loss depending on warp; partners' "Virtual Planing and Section Recovery" image of 12 pieces: 62.4-92.0% of the section retained (loss 8.0-37.6%). Includes ~1.5% for squaring the piece ends at butt joints (2 x 2 cm per 2.7 m piece; Claude estimate).</t>
  </si>
  <si>
    <t>PROCESS-DESIGN UNCERTAINTY: better piece selection (using the CT and 3D scans) and optimised combination of pieces (optimisation algorithms) keep the least warped stock and waste less; poor selection loses up to ~40%. Typical 80%: ~82% section retained at ~3 mm per face x 98.5% end trimming. Range 60-92% = the partners' 10-40% loss and the image range.</t>
  </si>
  <si>
    <t>Dowel milling</t>
  </si>
  <si>
    <t>PROTOTYPE machinery: the same ABB IRB 6620 robot with a milling/drilling spindle drills the dowel holes through the stacked beam (Tanya: after stacking). IRB 6620 900 kg + controller ~150 kg + spindle ~50 kg (Claude estimate). SCALED-UP: Hundegger K2i-class beam processing centre (24,000 kg; werktuigen.com listing), ~15 kW average draw (Claude estimate), 0.2 min per hole.</t>
  </si>
  <si>
    <t>PROTOTYPE machinery: the same ABB IRB 6620 robot with a milling/drilling spindle drills the dowel holes through the stacked beam (Tanya: after stacking). Spindle ~5 kW while cutting + robot moving/idling ~1 kW = ~1.5 kW average (Claude estimate).</t>
  </si>
  <si>
    <t>PROTOTYPE machinery: the same ABB IRB 6620 robot with a milling/drilling spindle drills the dowel holes through the stacked beam (Tanya: after stacking). 2 dowels per m of span x ~1 min per hole = 2 min per m of span; beam at 6 m span = ~13.7 kg per m of span -&gt; ~410 kg/h. Time per hole: partners gave max 10 s cutting + 10 min idle; Claude: a 25 mm hole through 0.3 m of softwood takes ~6-18 s at wood drilling feeds of 1-3 m/min, plus ~30-60 s to retract and reposition, so ~1 min. Reference reclaimed piece used for all machine rates: ~100 x 45 mm raw (~95 x 40 mm planed, partners' "Virtual Planing" image), 2.7 m long (Opalis reclaimed-timber factsheet: structural softwood mostly 50 x 100 mm, 2.4-3 m), 480 kg/m3 -&gt; 2.2 kg per m of raw piece.</t>
  </si>
  <si>
    <t>The partners' 10 min per hole would give ~40 kg/h; not used (Tanya: change if unreasonable). Scaled-up: 0.2 min per hole = ~2,050 kg/h. Fixed on purpose: uncertainty on this sheet is limited to the product-size parameters (design) and the planing yield (piece selection) (Tanya, 2026-09-30).</t>
  </si>
  <si>
    <t>Robot lifetime 36,000 h (Robotics 2021); beam processing centre ~60,000 h (assumption).</t>
  </si>
  <si>
    <t>Timber drilled out for the dowel holes = ~1% (same volume as the dowels).</t>
  </si>
  <si>
    <t>Assembly (hammering in the dowels) is manual and has no machine step. Fixed on purpose: uncertainty on this sheet is limited to the product-size parameters (design) and the planing yield (piece selection) (Tanya, 2026-09-30).</t>
  </si>
  <si>
    <t>circularity</t>
  </si>
  <si>
    <t>use</t>
  </si>
  <si>
    <t>expected lifetime</t>
  </si>
  <si>
    <t>Years the product lasts before any repair</t>
  </si>
  <si>
    <t>yrs</t>
  </si>
  <si>
    <t>Same as the glulam baseline (75 y): a protected timber beam lasts as long as the building.</t>
  </si>
  <si>
    <t>Set equal to glulam so the comparison is not tilted by lifetime. Repair rows removed (Tanya): no repair modelled. Fixed on purpose: uncertainty on this sheet is limited to the product-size parameters (design) and the planing yield (piece selection) (Tanya, 2026-09-30).</t>
  </si>
  <si>
    <t>end-of-life</t>
  </si>
  <si>
    <t>waste</t>
  </si>
  <si>
    <t>composted</t>
  </si>
  <si>
    <t>share of waste</t>
  </si>
  <si>
    <t>Share of the product's end-of-life mass that goes to this route (the routes add up to 100 %): composted</t>
  </si>
  <si>
    <t>Glulam baseline sources (Danish glulam EPD: 53% energy recovery, 47% chipboard; landfill of wood banned or rare in NL/DK/DE) plus design for disassembly: doweled, glue-free beams can be taken apart and the pieces reused (Claude estimate for the reuse share).</t>
  </si>
  <si>
    <t>Timber is not composted. Fixed on purpose: uncertainty on this sheet is limited to the product-size parameters (design) and the planing yield (piece selection) (Tanya, 2026-09-30). methods.md says the scaled-up EoL may not be read by the model.</t>
  </si>
  <si>
    <t>recycled_open</t>
  </si>
  <si>
    <t>Share of the product's end-of-life mass that goes to this route (the routes add up to 100 %): recycled_open</t>
  </si>
  <si>
    <t>Chipboard (open loop), as for glulam. Fixed on purpose: uncertainty on this sheet is limited to the product-size parameters (design) and the planing yield (piece selection) (Tanya, 2026-09-30). methods.md says the scaled-up EoL may not be read by the model.</t>
  </si>
  <si>
    <t>recycled_closed</t>
  </si>
  <si>
    <t>Share of the product's end-of-life mass that goes to this route (the routes add up to 100 %): recycled_closed</t>
  </si>
  <si>
    <t>Reuse of the pieces in a new beam; possible because there is no glue. Scaled-up 40% assumes take-back. Fixed on purpose: uncertainty on this sheet is limited to the product-size parameters (design) and the planing yield (piece selection) (Tanya, 2026-09-30). methods.md says the scaled-up EoL may not be read by the model.</t>
  </si>
  <si>
    <t>incinerated</t>
  </si>
  <si>
    <t>Share of the product's end-of-life mass that goes to this route (the routes add up to 100 %): incinerated</t>
  </si>
  <si>
    <t>Energy recovery, the main route for post-consumer wood in NL. Fixed on purpose: uncertainty on this sheet is limited to the product-size parameters (design) and the planing yield (piece selection) (Tanya, 2026-09-30). methods.md says the scaled-up EoL may not be read by the model.</t>
  </si>
  <si>
    <t>landfilled</t>
  </si>
  <si>
    <t>Share of the product's end-of-life mass that goes to this route (the routes add up to 100 %): landfilled</t>
  </si>
  <si>
    <t>Small residual. Shares 0+30+20+45+5 = 100% (scaled-up 0+30+40+28+2). Fixed on purpose: uncertainty on this sheet is limited to the product-size parameters (design) and the planing yield (piece selection) (Tanya, 2026-09-30). methods.md says the scaled-up EoL may not be read by the model.</t>
  </si>
  <si>
    <t>location</t>
  </si>
  <si>
    <t>general</t>
  </si>
  <si>
    <t>Country whose electricity mix is used for every process step, and whose grid is displaced by energy recovered at end of life</t>
  </si>
  <si>
    <t>country code</t>
  </si>
  <si>
    <t>NL</t>
  </si>
  <si>
    <t>Model choice: Netherlands (RAW project location).</t>
  </si>
  <si>
    <t>Change on study_setup / choices if the partners fabricate elsewhere.</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</si>
  <si>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</si>
  <si>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</si>
  <si>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</si>
  <si>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</si>
  <si>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</si>
  <si>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</si>
  <si>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</si>
  <si>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 process_assumptions (one row per process of each RAW case: a short summary of the prototype and scaled-up machinery assumptions and their sources)</t>
  </si>
  <si>
    <t>2 Life cycle inventories (LCI) (teal = RAW cases, pink = baselines)</t>
  </si>
  <si>
    <t>lci_raw_biopol, lci_raw_timber, lci_raw_cfw, lci_raw_knit, lci_baseline_cfw_flax, lci_baseline_cfw_glass, lci_baseline_glulam_beam, lci_baseline_rc_beam, lci_baseline_adobe_wall, lci_baseline_clay_brick_wall, lci_baseline_polymer_membrane, lci_baseline_knit_hemp</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</si>
  <si>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</si>
  <si>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</si>
  <si>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</si>
  <si>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</si>
  <si>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</si>
  <si>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</si>
  <si>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</si>
  <si>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</si>
  <si>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</si>
  <si>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</si>
  <si>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</si>
  <si>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CFW baselines (lci_baseline_cfw_flax, lci_baseline_cfw_glass) and lci_baseline_knit_hemp instead use the same layout as the RAW case tabs (materials, machine steps, lifetime, end-of-life shares).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</si>
  <si>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</si>
  <si>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</si>
  <si>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</si>
  <si>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</si>
  <si>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</si>
  <si>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</si>
  <si>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</si>
  <si>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</si>
  <si>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</si>
  <si>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</si>
  <si>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</si>
  <si>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</si>
  <si>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</si>
  <si>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</si>
  <si>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</si>
  <si>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</si>
  <si>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</si>
  <si>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</si>
  <si>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</si>
  <si>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</si>
  <si>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</si>
  <si>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</si>
  <si>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</si>
  <si>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</si>
  <si>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</si>
  <si>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</si>
  <si>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</si>
  <si>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</si>
  <si>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</si>
  <si>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</si>
  <si>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</si>
  <si>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</si>
  <si>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</si>
  <si>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Structural beam (reclaimed timber CNC beam vs. baselines)</t>
  </si>
  <si>
    <t>Structural beam spanning between two supports</t>
  </si>
  <si>
    <t>beam span</t>
  </si>
  <si>
    <t>m</t>
  </si>
  <si>
    <t>glulam beam</t>
  </si>
  <si>
    <t>reinforced concrete beam</t>
  </si>
  <si>
    <t>raw_cfw</t>
  </si>
  <si>
    <t>Structural beam (coreless filament winding vs. baselines)</t>
  </si>
  <si>
    <t>flax fibre CFW beam (no in-line sensing)</t>
  </si>
  <si>
    <t>glass fibre CFW beam</t>
  </si>
  <si>
    <t>raw_biopol</t>
  </si>
  <si>
    <t>Interior wall (3D-printed biopolymer vs. baselines)</t>
  </si>
  <si>
    <t>Interior partition wall</t>
  </si>
  <si>
    <t>wall length</t>
  </si>
  <si>
    <t>adobe brick for interior wall</t>
  </si>
  <si>
    <t>clay brick for interior wall</t>
  </si>
  <si>
    <t>raw_knit</t>
  </si>
  <si>
    <t>Architectural membrane (knitted hemp vs. baseline)</t>
  </si>
  <si>
    <t>Architectural membrane covering a surface</t>
  </si>
  <si>
    <t>membrane coverage</t>
  </si>
  <si>
    <t>m2</t>
  </si>
  <si>
    <t>CNC knitted hemp membrane (no optimisation)</t>
  </si>
  <si>
    <t>synthetic polymer architectural membrane</t>
  </si>
  <si>
    <t>value</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</si>
  <si>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</si>
  <si>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</si>
  <si>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</si>
  <si>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</si>
  <si>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</si>
  <si>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</si>
  <si>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</si>
  <si>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</si>
  <si>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</si>
  <si>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</si>
  <si>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</si>
  <si>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</si>
  <si>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</si>
  <si>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</si>
  <si>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</si>
  <si>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</si>
  <si>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</si>
  <si>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</si>
  <si>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</si>
  <si>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</si>
  <si>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</si>
  <si>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</si>
  <si>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</si>
  <si>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</si>
  <si>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</si>
  <si>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</si>
  <si>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</si>
  <si>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</si>
  <si>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</si>
  <si>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</si>
  <si>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</si>
  <si>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</si>
  <si>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</si>
  <si>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</si>
  <si>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</si>
  <si>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</si>
  <si>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</si>
  <si>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</si>
  <si>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</si>
  <si>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</si>
  <si>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</si>
  <si>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</si>
  <si>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</si>
  <si>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</si>
  <si>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</si>
  <si>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</si>
  <si>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</si>
  <si>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</si>
  <si>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</si>
  <si>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</si>
  <si>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</si>
  <si>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</si>
  <si>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</si>
  <si>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</si>
  <si>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</si>
  <si>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</si>
  <si>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</si>
  <si>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</si>
  <si>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</si>
  <si>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</si>
  <si>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</si>
  <si>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</si>
  <si>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</si>
  <si>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</si>
  <si>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</si>
  <si>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</si>
  <si>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</si>
  <si>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</si>
  <si>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</si>
  <si>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</si>
  <si>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</si>
  <si>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</si>
  <si>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</si>
  <si>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</si>
  <si>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</si>
  <si>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</si>
  <si>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</si>
  <si>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</si>
  <si>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</si>
  <si>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</si>
  <si>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</si>
  <si>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</si>
  <si>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</si>
  <si>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</si>
  <si>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</si>
  <si>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</si>
  <si>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</si>
  <si>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</si>
  <si>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</si>
  <si>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</si>
  <si>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</si>
  <si>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</si>
  <si>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</si>
  <si>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</si>
  <si>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</si>
  <si>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</si>
  <si>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</si>
  <si>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</si>
  <si>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</si>
  <si>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</si>
  <si>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</si>
  <si>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</si>
  <si>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</si>
  <si>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</si>
  <si>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</si>
  <si>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process</t>
  </si>
  <si>
    <t>prototype_assumptions</t>
  </si>
  <si>
    <t>scaled_up_assumptions</t>
  </si>
  <si>
    <t>Milling</t>
  </si>
  <si>
    <t>Laboratory cutting mill of the Retsch SM 300 class (160 kg, 3 kW motor, ~2 kW average; Retsch datasheet) fine-milling sawdust and seagrass in the studio at ~3 kg/h (Claude estimate for batch milling); ~5,000 h lifetime (studio use).</t>
  </si>
  <si>
    <t>Medium industrial biomass hammer mill (~1.5 t, 30 kW, ~1 t/h, i.e. 30 kWh/t within the 25-60 kWh/t range of the Lansonmachines hammer mill guide); 30,000 h.</t>
  </si>
  <si>
    <t>Mixing</t>
  </si>
  <si>
    <t>~30 L spiral/planetary paste mixer of the bakery/studio type (120 kg, 1.5 kW, ~10 kg batches, ~10 kg/h); typical catalogue values, not retrieved online; 5,000 h.</t>
  </si>
  <si>
    <t>~500 L industrial paddle/twin-shaft batch mixer (~1 t, 11 kW, two 0.5 t batches per hour = 1 t/h); Claude assumption; 30,000 h.</t>
  </si>
  <si>
    <t>3D printing</t>
  </si>
  <si>
    <t>Studio ABB robot arm (IRB 4600 class, weight from memory as the datasheet was blocked) with controller and a WASP continuous paste feeder + LDM XL extruder (5 L/h; 3dwasp.com): ~650 kg, ~2 kW, ~5 kg/h of wet paste; 10,000 h.</t>
  </si>
  <si>
    <t>Same robot with a high-flow LDM XXL-type extruder (up to 180 L/h; WASP), limited by robot path speed: 12 x 6 mm bead at 100 mm/s = ~30 kg/h, ~700 kg, 2.5 kW; 36,000 h (robot LCA, Robotics 2021).</t>
  </si>
  <si>
    <t>Baking</t>
  </si>
  <si>
    <t>~1 m3 electric convection oven modelled on the Memmert UF1060 (252 kg, 7 kW connected, ~4 kW average; memmert.com); output ~5 kg/h from an energy balance (evaporating 0.5 kg water per kg wet paste at ~40% efficiency); 10,000 h.</t>
  </si>
  <si>
    <t>Industrial ~10 m3 electric convection batch oven with better insulation (~3 t, ~30 kW, ~60 kg/h at ~65% efficiency); Claude assumption; 40,000 h.</t>
  </si>
  <si>
    <t>Carding &amp; roving</t>
  </si>
  <si>
    <t>Small hemp/flax bast-fibre line at an existing textile mill (opening, carding, drawing and roving frames): ~3 t, 12 kW, ~15 kg/h (0.8 kWh/kg); engineering estimates anchored on textile specific-energy data, no datasheet; 50,000 h.</t>
  </si>
  <si>
    <t>Not scaled: the prototype already runs on an industrial line.</t>
  </si>
  <si>
    <t>Spinning</t>
  </si>
  <si>
    <t>Wet ring-spinning frame for bast fibre (~50-100 spindles) at an existing mill: ~1.5 t, 5 kW, ~6 kg/h of coarse hemp yarn (~0.83 kWh/kg, anchored on Textile School ring-spinning energy data); 50,000 h.</t>
  </si>
  <si>
    <t>CNC knitting</t>
  </si>
  <si>
    <t>Electronic flat-bed CNC knitting machine of the Stoll CMS class (127 cm width, 3 systems; Stoll CMS 530 page) in a fabrication lab: ~1.2 t, ~2 kW, ~1.5 kg/h (~4 m2/h at 0.4 kg/m2); 15,000 h (lab use).</t>
  </si>
  <si>
    <t>Wider (~244 cm) multi-system flat-bed knitting machine in a knitting mill (1,900 kg, Exapro listing; 3 kW, ~5 kg/h, 0.6 kWh/kg); 50,000 h.</t>
  </si>
  <si>
    <t>In-line sensing</t>
  </si>
  <si>
    <t>Partners' self-made sensing unit: a 10 x 15 cm box with a camera and a Raspberry-Pi-class computer that estimates roving strength by computer vision as the roving passes at ~0.2 m/s (~1 kg, ~5 W, ~4.1 kg/h of composite); Claude estimates from the partners' description; 10,000 h.</t>
  </si>
  <si>
    <t>Industrial machine-vision camera with an edge computer (~5 kg, ~30 W) at 0.5 m/s (~10 kg/h); Claude assumption; 25,000 h.</t>
  </si>
  <si>
    <t>Coreless filament winding</t>
  </si>
  <si>
    <t>KUKA KR210-class robot (1,111 kg, Exapro listing, + end-effector) winding one impregnated hemp roving at ~0.2 m/s (set by the sensor), with a hand-sized peristaltic resin pump (10 ml/m, partners); power 0.67 kW interpolated from Di Bari et al. 2026 (0.61 kW at 0.041 m/s, 0.85 kW at 1.0 m/s); ~4.1 kg/h; 36,000 h.</t>
  </si>
  <si>
    <t>Same robot at 0.5 m/s (0.74 kW, ~10 kg/h); Claude assumption.</t>
  </si>
  <si>
    <t>Curing</t>
  </si>
  <si>
    <t>Di Bari et al. 2026 custom curing oven (7.5 x 2 x 2.4 m, U = 0.135 W/m2K, ~3 t estimated), 8 h at 80 C: ~0.61 kW wall loss, ~1.4 kg/h calibrated to the paper's 0.91e-2 MJ per m of roving; 30,000 h.</t>
  </si>
  <si>
    <t>Same oven and profile; the paper's value already assumes a full oven, so prototype and scaled-up are identical.</t>
  </si>
  <si>
    <t>Medical/lab X-ray CT scanner (partners) scanning 3-4 pieces at once at 1 min per 2 m: ~2.5 t, ~10 kW average (mostly idle; Heye et al. 2020 hospital CT energy data), ~940 kg/h; ~20,000 h (medical CTs are replaced after ~10 y).</t>
  </si>
  <si>
    <t>Industrial multi-sensor lumber scanner of the MiCROTEC Goldeneye class (X-ray + 3D laser, EN 14081 strength grading, 150-1,200 m/min; microtec.com): ~10 t and ~50 kW (Claude estimates), ~10,000 kg/h; 60,000 h.</t>
  </si>
  <si>
    <t>ABB IRB 6620 robot (900 kg, ABB datasheet) with a Zivid 3D camera scanning each piece for warp/twist in a few seconds (partners); ~1 min per piece incl. handling = ~360 kg/h, ~1.5 kW; 36,000 h.</t>
  </si>
  <si>
    <t>Same robot and camera with automated feeding (0.25 min per piece, ~1,450 kg/h); in a real plant this would merge with the industrial scanner, which already measures 3D geometry.</t>
  </si>
  <si>
    <t>Martin T54-class surface planer in the partners' workshop (1,200 kg, 5.5 kW motor, ~4 kW average; hoechsmann.com listing) doing all the planing: 5 m/min feed (partners: 2-8 m/min), ~4 passes of 3 mm = ~170 kg/h; yield 80% (60-92%) from the partners' 10-40% loss and their planing image; 30,000 h.</t>
  </si>
  <si>
    <t>Weinig Powermat 1500 four-sided moulder (4,100 kg, 73 kW installed, 5-40 m/min; werktuigen.com listing) planing all faces in one pass at ~20 m/min, ~30 kW average, ~2,680 kg/h; 60,000 h.</t>
  </si>
  <si>
    <t>Same ABB IRB 6620 robot with a drilling spindle drilling ~25 mm dowel holes through the stacked beam (2 per m of span); ~1 min per hole (Claude estimate from wood drilling feeds; partners gave up to 10 min), ~1.5 kW, ~410 kg/h; 36,000 h. Assembly (hammering in dowels) is manual and has no machine.</t>
  </si>
  <si>
    <t>Hundegger K2i-class beam processing centre (24,000 kg, werktuigen.com listing; ~15 kW average, Claude estimate) at ~0.2 min per hole, ~2,050 kg/h; 60,000 h.</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</si>
  <si>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</si>
  <si>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</si>
  <si>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</si>
  <si>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</si>
  <si>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</si>
  <si>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</si>
  <si>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</si>
  <si>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</si>
  <si>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</si>
  <si>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</si>
  <si>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</si>
  <si>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</si>
  <si>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</si>
  <si>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</si>
  <si>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</si>
  <si>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</si>
  <si>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</si>
  <si>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</si>
  <si>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</si>
  <si>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</si>
  <si>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</si>
  <si>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flax fibre CFW beam (no in-line sensing) production</t>
  </si>
  <si>
    <t>span * fibre_length_per_span * fibre_mass_per_length</t>
  </si>
  <si>
    <t>kg = span * roving per m span (550) * composite mass per m roving (0.0057 kg/m, Di Bari FMR 42%); same form as raw_cfw</t>
  </si>
  <si>
    <t>glass fibre CFW beam production</t>
  </si>
  <si>
    <t>kg = span * roving per m span (275, stiffness-scaled) * composite mass per m roving (0.0035 kg/m, glass 2400 tex at FVR 50%)</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</si>
  <si>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</si>
  <si>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</si>
  <si>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</si>
  <si>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</si>
  <si>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</si>
  <si>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</si>
  <si>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</si>
  <si>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</si>
  <si>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</si>
  <si>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</si>
  <si>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CNC knitted hemp membrane (no optimisation) production</t>
  </si>
  <si>
    <t>coverage * areal_density</t>
  </si>
  <si>
    <t>kg = coverage (m2) * areal density (0.48 kg/m2 = raw_knit x 1.2)</t>
  </si>
  <si>
    <t>synthetic polymer architectural membrane production</t>
  </si>
  <si>
    <t>kg = coverage * areal density (0.3 kg/m2)</t>
  </si>
  <si>
    <t>raw</t>
  </si>
  <si>
    <t>RAW reclaimed timber (CNC beam)</t>
  </si>
  <si>
    <t>raw_timber production</t>
  </si>
  <si>
    <t>span * (span / depth_ratio) * ((span / depth_ratio) / width_ratio) * density</t>
  </si>
  <si>
    <t>kg = span * depth (span/20) * width (depth/3.2, = one planed reclaimed piece ~95 mm at 6 m span) * density (480 kg/m3)</t>
  </si>
  <si>
    <t>RAW coreless filament winding (beam)</t>
  </si>
  <si>
    <t>raw_cfw production</t>
  </si>
  <si>
    <t>check with Fabian and Otto numbers from Suttgart paper, seems ridiculously light: kg = span * fiber_length_perSpan (550m / span) * fiber_density (0.006 kg / m_fiber)</t>
  </si>
  <si>
    <t>RAW biopol (3D-printed wall)</t>
  </si>
  <si>
    <t>raw_biopol production</t>
  </si>
  <si>
    <t>check with Carl wall thickness and density: kg = wall length * height (3m) * thickness (height/10) * density (350 kg/m3)</t>
  </si>
  <si>
    <t>RAW knitted hemp (membrane)</t>
  </si>
  <si>
    <t>raw_knit production</t>
  </si>
  <si>
    <t>check with Yulia formula and density: kg = coverage (m2) * density (0.4 kg/m2)</t>
  </si>
  <si>
    <t>wall_height</t>
  </si>
  <si>
    <t>Height of the wall</t>
  </si>
  <si>
    <t>Functional unit: a 3 m high partition wall (fu_comparison); same for all compared walls</t>
  </si>
  <si>
    <t>fixed: standard storey height, must equal for the compared walls</t>
  </si>
  <si>
    <t>thickness_ratio</t>
  </si>
  <si>
    <t>Wall height divided by wall thickness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</si>
  <si>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</si>
  <si>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(lci_baseline_adobe_wall), so the comparison is on equal geometry logic.</t>
  </si>
  <si>
    <t>Density of the finished biopolymer wall</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</si>
  <si>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</si>
  <si>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</si>
  <si>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</si>
  <si>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</si>
  <si>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</si>
  <si>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</si>
  <si>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</si>
  <si>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</si>
  <si>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</si>
  <si>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</si>
  <si>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</si>
  <si>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</si>
  <si>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</si>
  <si>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</si>
  <si>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</si>
  <si>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</si>
  <si>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</si>
  <si>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repair</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</si>
  <si>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</si>
  <si>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</si>
  <si>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</si>
  <si>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</si>
  <si>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</si>
  <si>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</si>
  <si>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</si>
  <si>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</si>
  <si>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</si>
  <si>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</si>
  <si>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</si>
  <si>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</si>
  <si>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</si>
  <si>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</si>
  <si>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</si>
  <si>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Assumption: all machinery (studio and industrial) is bought new, i.e. virgin</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</si>
  <si>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</si>
  <si>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</si>
  <si>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</si>
  <si>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</si>
  <si>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</si>
  <si>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</si>
  <si>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</si>
  <si>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</si>
  <si>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</si>
  <si>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</si>
  <si>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</si>
  <si>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</si>
  <si>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</si>
  <si>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</si>
  <si>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</si>
  <si>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</si>
  <si>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</si>
  <si>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</si>
  <si>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</si>
  <si>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</si>
  <si>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</si>
  <si>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</si>
  <si>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</si>
  <si>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</si>
  <si>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</si>
  <si>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</si>
  <si>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</si>
  <si>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</si>
  <si>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</si>
  <si>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</si>
  <si>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</si>
  <si>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</si>
  <si>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</si>
  <si>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</si>
  <si>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</si>
  <si>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</si>
  <si>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</si>
  <si>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</si>
  <si>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</si>
  <si>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</si>
  <si>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</si>
  <si>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</si>
  <si>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</si>
  <si>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</si>
  <si>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</si>
  <si>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</si>
  <si>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</si>
  <si>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</si>
  <si>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lifetime extension per repair</t>
  </si>
  <si>
    <t>Years added to the product's life by one repair</t>
  </si>
  <si>
    <t>One patch repair restores the worn/damaged surface and buys about half of the original life. Number of repairs to reach the FU service life = ceil((service life - 20) / 10).</t>
  </si>
  <si>
    <t>repair material</t>
  </si>
  <si>
    <t>share of product mass per repair</t>
  </si>
  <si>
    <t>Mass of material added per repair, as a share of the product mass</t>
  </si>
  <si>
    <t>Patching ~10% of the wall mass per repair (damaged surface layer). Ties to the repair recipe and machines above.</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</si>
  <si>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</si>
  <si>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</si>
  <si>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Share of the product's end-of-life mass that goes to this route (the routes add up to 100 %): recycled (open loop)</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</si>
  <si>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</si>
  <si>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Share of the product's end-of-life mass that goes to this route (the routes add up to 100 %): recycled (closed loop)</t>
  </si>
  <si>
    <t>Typical: no closed-loop recycling of printed bio-composite exists today. Scaled-up: a manufacturer could grind and re-wet panel waste into new paste (10% assumed, purely a scenario).</t>
  </si>
  <si>
    <t>Share of the product's end-of-life mass that goes to this route (the routes add up to 100 %): incinerated with energy recovery</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</si>
  <si>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</si>
  <si>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</si>
  <si>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</si>
  <si>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</si>
  <si>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areal_density</t>
  </si>
  <si>
    <t>Mass of membrane per m2 of coverage</t>
  </si>
  <si>
    <t>kg/m2</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</si>
  <si>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</si>
  <si>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</si>
  <si>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Hemp fiber</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</si>
  <si>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</si>
  <si>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</si>
  <si>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</si>
  <si>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</si>
  <si>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</si>
  <si>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</si>
  <si>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</si>
  <si>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</si>
  <si>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</si>
  <si>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</si>
  <si>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</si>
  <si>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</si>
  <si>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</si>
  <si>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</si>
  <si>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</si>
  <si>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</si>
  <si>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</si>
  <si>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</si>
  <si>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</si>
  <si>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</si>
  <si>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</si>
  <si>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</si>
  <si>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</si>
  <si>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</si>
  <si>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</si>
  <si>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</si>
  <si>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</si>
  <si>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</si>
  <si>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</si>
  <si>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</si>
  <si>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</si>
  <si>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</si>
  <si>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</si>
  <si>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</si>
  <si>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</si>
  <si>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</si>
  <si>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</si>
  <si>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</si>
  <si>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</si>
  <si>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</si>
  <si>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</si>
  <si>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</si>
  <si>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</si>
  <si>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</si>
  <si>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</si>
  <si>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</si>
  <si>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</si>
  <si>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</si>
  <si>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</si>
  <si>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</si>
  <si>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</si>
  <si>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</si>
  <si>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</si>
  <si>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</si>
  <si>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</si>
  <si>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</si>
  <si>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</si>
  <si>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</si>
  <si>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</si>
  <si>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</si>
  <si>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</si>
  <si>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</si>
  <si>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</si>
  <si>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</si>
  <si>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</si>
  <si>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</si>
  <si>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</si>
  <si>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</si>
  <si>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fibre_length_per_span</t>
  </si>
  <si>
    <t>Metres of fibre wound per metre of beam span</t>
  </si>
  <si>
    <t>m/m</t>
  </si>
  <si>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</si>
  <si>
    <t>fibre_mass_per_length</t>
  </si>
  <si>
    <t>Mass of one metre of fibre (incl. resin)</t>
  </si>
  <si>
    <t>kg/m</t>
  </si>
  <si>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</si>
  <si>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</si>
  <si>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</si>
  <si>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</si>
  <si>
    <t>Fiber glue (epoxy resin)</t>
  </si>
  <si>
    <t>Di Bari et al. 2026, "Unveiling the Environmental Impacts of Coreless Filament Winding" (LCA of a flax/epoxy CFW roving), Sec. 4.1: FMR 42% means 58% resin by mass (3.3 g per 2.4 g of fibre). Partners: 10 ml/m of non-bio-based resin (= 11.8 g/m) would give ~83%, the upper bound.</t>
  </si>
  <si>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</si>
  <si>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</si>
  <si>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</si>
  <si>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</si>
  <si>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4.1 kg/h = 1.2 Wh/kg. Scaled-up 30 W is a guess.</t>
  </si>
  <si>
    <t>Partners (verbal): roving passes the sensor at ~20 cm/s. 0.2 m/s x 3600 s/h x 0.0057 kg composite per m of roving (Di Bari Sec. 3.1) = 4.1 kg/h; min/max = 0.15-0.25 m/s; scaled-up 0.5 m/s = 10.3 kg/h (assumption: faster camera/processing, still below Di Bari's 1.0 m/s robot speed).</t>
  </si>
  <si>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</si>
  <si>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</si>
  <si>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</si>
  <si>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</si>
  <si>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t>
  </si>
  <si>
    <t>Assumed new (virgin) machines.</t>
  </si>
  <si>
    <t>Kept as virgin: the sensing unit, robot and oven are assumed to be bought new (same convention as the other RAW cases).</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</si>
  <si>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</si>
  <si>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</si>
  <si>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</si>
  <si>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t>
  </si>
  <si>
    <t>0.2 m/s (partners: speed set by the in-line sensor) x 3600 x 0.0057 kg composite per m of roving (Di Bari Sec. 3.1) = 4.1 kg/h; min/max = 0.15-0.25 m/s; scaled-up 0.5 m/s = 10.3 kg/h (assumption).</t>
  </si>
  <si>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</si>
  <si>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</si>
  <si>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</si>
  <si>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</si>
  <si>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</si>
  <si>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</si>
  <si>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t>
  </si>
  <si>
    <t>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</si>
  <si>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paper's per-metre value).</t>
  </si>
  <si>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</si>
  <si>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</si>
  <si>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</si>
  <si>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</si>
  <si>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</si>
  <si>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</si>
  <si>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</si>
  <si>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</si>
  <si>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</si>
  <si>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</si>
  <si>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</si>
  <si>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0%: no fibre-to-fibre recycling of cured natural-fibre epoxy exists; chemical recycling (pyrolysis, solvolysis) is still at research stage (Di Bari Sec. 5.1). Pyrolysis even raises total GWP by 4.5% versus incineration (Di Bari Table 12).</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</si>
  <si>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</si>
  <si>
    <t>Residual landfill (Di Bari route with the lowest C3-C4 GWP, -99% vs incineration). Typical 10% is Claude's judgement (no EU composite-waste split found); scaled-up 5% (landfill diversion targets). Shares add up to 100% (typical 0+5+0+85+10; scaled-up 0+15+0+80+5).</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</si>
  <si>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</si>
  <si>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</si>
  <si>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Same value as lci_raw_cfw (earlier sheet, "Stuttgart paper", not traceable); plausibility: Duque Estrada et al. 2026, Sci. Rep. 16:8154 long-span flax plate ~3,830 m of roving over ~7.5 m = ~510 m/m.</t>
  </si>
  <si>
    <t>Same fibre and same beam as the RAW case, so the same roving length per metre of span. Counts every roving, so it does not depend on the number of rovings wound at once (Di Bari: 6).</t>
  </si>
  <si>
    <t>Di Bari et al. 2026, "Unveiling the Environmental Impacts of Coreless Filament Winding", Sec. 3.1/4.1: flax roving TEX 2400 (2.4 g/m) at fibre mass ratio 42% = 5.7 g composite per m of roving (2.4 g fibre + 3.3 g resin).</t>
  </si>
  <si>
    <t>Same as lci_raw_cfw (see its comment for why Eq. 3/FMR 42% is used rather than Table 5's 13.6 g resin: Di Bari's own resin impact matches ~3.3 g/m). 1 m of span = 550 x 0.0057 = 3.1 kg. Max 0.016 = Table 5 reading.</t>
  </si>
  <si>
    <t>Flax fiber</t>
  </si>
  <si>
    <t>Di Bari et al. 2026, "Unveiling the Environmental Impacts of Coreless Filament Winding", Sec. 4.1: flax roving (TEX 2400, 1.45 g/cm3), fibre mass ratio 42%.</t>
  </si>
  <si>
    <t>Flax is the fibre of Di Bari's case. NOTE: "Flax fiber" was added to unit_burdens_dataSources and EoL_constants in this version; its ecoinvent dataset still has to be chosen (proxy: hemp fibre). Min 15% = Table 5 reading.</t>
  </si>
  <si>
    <t>Di Bari et al. 2026, "Unveiling the Environmental Impacts of Coreless Filament Winding", Sec. 4.1: SR GreenPoxy 56 (Sicomin, 51% bio-based, 1.18 g/cm3), 58% of the composite mass (FMR 42%).</t>
  </si>
  <si>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</si>
  <si>
    <t>Offline impregnation</t>
  </si>
  <si>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</si>
  <si>
    <t>Negligible either way next to the robot and oven.</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</si>
  <si>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</si>
  <si>
    <t>Kept exactly as printed although 0.28 W is suspiciously low for a motor-driven machine (possibly a typo for 0.278 kW); max 0.05 kW allows for that. Energy share is negligible (paper: 0.03% of CCtot).</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</si>
  <si>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</si>
  <si>
    <t>Composite-mass basis, like every step on this sheet.</t>
  </si>
  <si>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</si>
  <si>
    <t>Same order as the other lab machines.</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</si>
  <si>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</si>
  <si>
    <t>Paper value; min 95% allows for resin left in the bath.</t>
  </si>
  <si>
    <t>Same convention as lci_raw_cfw.</t>
  </si>
  <si>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</si>
  <si>
    <t>Same robot as lci_raw_cfw.</t>
  </si>
  <si>
    <t>Machinery: Di Bari et al. 2026, "Unveiling the Environmental Impacts of Coreless Filament Winding" Sec. 3.3: KUKA KR210 6-axis robot, passive end-effector holding up to six pre-preg spools, robot speed 1.0 m/s, six rovings wound together. Di Bari Sec. 3.3: ~0.85 kW at 1.0 m/s (0.61 kW at 0.041 m/s).</t>
  </si>
  <si>
    <t>Paper value.</t>
  </si>
  <si>
    <t>Machinery: Di Bari et al. 2026, "Unveiling the Environmental Impacts of Coreless Filament Winding" Sec. 3.3: KUKA KR210 6-axis robot, passive end-effector holding up to six pre-preg spools, robot speed 1.0 m/s, six rovings wound together. Di Bari Eq. 14 charges 0.85e-3 MJ per m of roving = 1 s of robot time per m: 3600 m/h x 0.0057 kg/m = 20.5 kg/h. Max 123 kg/h = physical reading (6 rovings at 1.0 m/s = 6 m of roving per s); min 10.3 kg/h = robot at 0.5 m/s.</t>
  </si>
  <si>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</si>
  <si>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</si>
  <si>
    <t>Same as lci_raw_cfw.</t>
  </si>
  <si>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</si>
  <si>
    <t>Kept equal to lci_raw_cfw so the cases differ only in the process steps.</t>
  </si>
  <si>
    <t>Machinery: Di Bari et al. 2026, "Unveiling the Environmental Impacts of Coreless Filament Winding" Table 3: custom curing oven 7.5 x 2 x 2.4 m (36 m3; the paper prints 3600 L), U = 0.135 W/m2K, profile 8 h at 80 C. ~75 m2 of insulated walls + frame, heaters (Claude estimate).</t>
  </si>
  <si>
    <t>Same oven as lci_raw_cfw.</t>
  </si>
  <si>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</si>
  <si>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</si>
  <si>
    <t>Identical to lci_raw_cfw: curing does not change between the cases.</t>
  </si>
  <si>
    <t>Machinery: Di Bari et al. 2026, "Unveiling the Environmental Impacts of Coreless Filament Winding" Table 3: custom curing oven 7.5 x 2 x 2.4 m (36 m3; the paper prints 3600 L), U = 0.135 W/m2K, profile 8 h at 80 C. ~250 batches/y x 8 h x 15 y (Claude estimate).</t>
  </si>
  <si>
    <t>Machinery: Di Bari et al. 2026, "Unveiling the Environmental Impacts of Coreless Filament Winding" Table 3: custom curing oven 7.5 x 2 x 2.4 m (36 m3; the paper prints 3600 L), U = 0.135 W/m2K, profile 8 h at 80 C. Curing removes no material (Di Bari).</t>
  </si>
  <si>
    <t>Design working life 50 y (EN 1990 category 4); same as lci_raw_cfw.</t>
  </si>
  <si>
    <t>Same material as the RAW case (natural fibre/epoxy, indoor), so the same lifetime.</t>
  </si>
  <si>
    <t>Di Bari et al. 2026, "Unveiling the Environmental Impacts of Coreless Filament Winding", Sec. 5.1-5.2: incineration with energy recovery is the default EoL of the flax/epoxy CFW element; mechanical and chemical recycling are not yet practised.</t>
  </si>
  <si>
    <t>Thermoset epoxy is not compostable.</t>
  </si>
  <si>
    <t>Same as lci_raw_cfw (same material).</t>
  </si>
  <si>
    <t>No fibre-to-fibre route exists.</t>
  </si>
  <si>
    <t>Same as lci_raw_cfw: Di Bari default; NL bans landfill of combustibles (general knowledge, not re-checked).</t>
  </si>
  <si>
    <t>Same as lci_raw_cfw. Shares 0+5+0+85+10 = 100%.</t>
  </si>
  <si>
    <t>Model choice: Netherlands, same as lci_raw_cfw.</t>
  </si>
  <si>
    <t>Change if the baseline should reflect German (Stuttgart) production.</t>
  </si>
  <si>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</si>
  <si>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</si>
  <si>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</si>
  <si>
    <t>Per m of roving: 2.4 g glass + resin at FVR 50%: glass 2.4/2.55 = 0.94 cm3, so resin 0.94 cm3 x 1.15 = 1.08 g; total 3.5 g/m (glass mass share 69%). Glass and epoxy densities (2.55, 1.15 g/cm3) are general values, not re-checked. Range: FVR 55% (3.1 g/m) to 45% (4.0 g/m). 1 m of span = 275 x 0.0035 = 0.96 kg.</t>
  </si>
  <si>
    <t>glass fibre</t>
  </si>
  <si>
    <t>Gil Pérez et al. 2021, Materials 14:5509 (Univ. Stuttgart, glass-fibre coreless-wound components; elib.uni-stuttgart.de/bitstream/11682/12343): fibre volume ratio 50% -&gt; mass share 69% (glass 2.55, epoxy 1.15 g/cm3).</t>
  </si>
  <si>
    <t>Range = FVR 45-55%. Uses the existing "glass fibre" activity (market for glass fibre, GLO).</t>
  </si>
  <si>
    <t>Gil Pérez et al. 2021, Materials 14:5509 (Univ. Stuttgart, glass-fibre coreless-wound components; elib.uni-stuttgart.de/bitstream/11682/12343): Hexion Epikote MGS LR 135 epoxy with Epikure hardeners (fossil), plus 2.9 wt% UV absorber.</t>
  </si>
  <si>
    <t>Complement of the glass share; hardener and UV absorber folded into the epoxy (as in the other CFW sheets).</t>
  </si>
  <si>
    <t>Resin bath impregnation</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</si>
  <si>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</si>
  <si>
    <t>Negligible.</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</si>
  <si>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</si>
  <si>
    <t>Its energy is inside the robot power.</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</si>
  <si>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</si>
  <si>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</si>
  <si>
    <t>Negligible effect.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</si>
  <si>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</si>
  <si>
    <t>Open baths lose some resin; Di Bari assumed 0 for lack of data.</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</si>
  <si>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</si>
  <si>
    <t>Same robot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</si>
  <si>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</si>
  <si>
    <t>Same robot class and power as the flax baseline.</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</si>
  <si>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</si>
  <si>
    <t>This is a measured production rate, unlike the modelled flax value (20.5 kg/h). Range 3-10 kg/h (Claude estimate). Energy: 0.85/5.6 = 0.15 kWh/kg.</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</si>
  <si>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</si>
  <si>
    <t>Same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</si>
  <si>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</si>
  <si>
    <t>Kept equal to the other CFW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</si>
  <si>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</si>
  <si>
    <t>Same oven.</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</si>
  <si>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</si>
  <si>
    <t>Higher than flax (0.61 kW at 80 C) because of the higher curing temperature.</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</si>
  <si>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</si>
  <si>
    <t>Claude calculation, no measured curing energy for glass CFW found. Range 1-4 kg/h.</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</si>
  <si>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</si>
  <si>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</si>
  <si>
    <t>Design working life 50 y (EN 1990 category 4). Glass/epoxy does not rot and is more moisture-resistant than natural-fibre composites (general knowledge).</t>
  </si>
  <si>
    <t>Min raised to 40 y and max to 75 y versus the flax sheets because glass fibre composites age less in humid conditions.</t>
  </si>
  <si>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</si>
  <si>
    <t>Not compostable.</t>
  </si>
  <si>
    <t>Cement-kiln co-processing and mechanical grinding into filler (open loop); ~20% typical (Claude estimate).</t>
  </si>
  <si>
    <t>No closed-loop recycling of cured glass/epoxy at scale.</t>
  </si>
  <si>
    <t>Municipal incineration: only the ~31% epoxy burns, the glass stays as slag, so energy recovery per kg is low. Claude estimate.</t>
  </si>
  <si>
    <t>Landfill remains the most common route for GFRP in Europe because ~70% of the mass is non-combustible glass (Claude estimate; general knowledge). Shares 0+20+0+30+50 = 100%.</t>
  </si>
  <si>
    <t>Beam span divided by beam depth</t>
  </si>
  <si>
    <t>Rule of thumb span/depth ~20 for glulam beams (civilsir.com/glulam-span-rule-of-thumb)</t>
  </si>
  <si>
    <t>Single, US-origin rule of thumb; kept range 16-24. Worth checking against EN 1995 / Dutch practice (span/depth 15-20).</t>
  </si>
  <si>
    <t>Beam depth divided by beam width</t>
  </si>
  <si>
    <t>Beam width = 1/3 to 1/4 of depth (civilsir.com/glulam-span-rule-of-thumb); APA limits depth/width to &lt;=12 (anthonyforest.com APA TT-085)</t>
  </si>
  <si>
    <t>Typical moved from 3 to 3.5 (midpoint of the 3-4 rule of thumb). Lowers beam mass ~14% vs before.</t>
  </si>
  <si>
    <t>Density of glulam timber</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</si>
  <si>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</si>
  <si>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</si>
  <si>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</si>
  <si>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</si>
  <si>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</si>
  <si>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</si>
  <si>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</si>
  <si>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</si>
  <si>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</si>
  <si>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</si>
  <si>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</si>
  <si>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</si>
  <si>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</si>
  <si>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</si>
  <si>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</si>
  <si>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</si>
  <si>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</si>
  <si>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</si>
  <si>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</si>
  <si>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</si>
  <si>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</si>
  <si>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</si>
  <si>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</si>
  <si>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</si>
  <si>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</si>
  <si>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</si>
  <si>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</si>
  <si>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</si>
  <si>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</si>
  <si>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</si>
  <si>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</si>
  <si>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</si>
  <si>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</si>
  <si>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</si>
  <si>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</si>
  <si>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</si>
  <si>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</si>
  <si>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</si>
  <si>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</si>
  <si>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</si>
  <si>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</si>
  <si>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</si>
  <si>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</si>
  <si>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</si>
  <si>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</si>
  <si>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</si>
  <si>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</si>
  <si>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</si>
  <si>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</si>
  <si>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</si>
  <si>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</si>
  <si>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</si>
  <si>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</si>
  <si>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</si>
  <si>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</si>
  <si>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</si>
  <si>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</si>
  <si>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</si>
  <si>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</si>
  <si>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</si>
  <si>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</si>
  <si>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</si>
  <si>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</si>
  <si>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</si>
  <si>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</si>
  <si>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</si>
  <si>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</si>
  <si>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</si>
  <si>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</si>
  <si>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</si>
  <si>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waste inert landfilling</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</si>
  <si>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</si>
  <si>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</si>
  <si>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</si>
  <si>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</si>
  <si>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</si>
  <si>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</si>
  <si>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</si>
  <si>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</si>
  <si>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</si>
  <si>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</si>
  <si>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</si>
  <si>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</si>
  <si>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</si>
  <si>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</si>
  <si>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</si>
  <si>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</si>
  <si>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</si>
  <si>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</si>
  <si>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</si>
  <si>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</si>
  <si>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</si>
  <si>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</si>
  <si>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</si>
  <si>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</si>
  <si>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</si>
  <si>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</si>
  <si>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</si>
  <si>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</si>
  <si>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</si>
  <si>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</si>
  <si>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</si>
  <si>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Mass of polyester fibre per m2 of coverage</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</si>
  <si>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</si>
  <si>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</si>
  <si>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</si>
  <si>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</si>
  <si>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</si>
  <si>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</si>
  <si>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</si>
  <si>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</si>
  <si>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</si>
  <si>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</si>
  <si>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</si>
  <si>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</si>
  <si>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</si>
  <si>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</si>
  <si>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waste plastic landfilling</t>
  </si>
  <si>
    <t>kg of polyester fiber that goes to waste plastic landfilling at end of life, per kg of product</t>
  </si>
  <si>
    <t>Complement of the incineration row.</t>
  </si>
  <si>
    <t>lci_raw_knit areal density (0.4 kg/m2, 0.32-0.48) x 1.2</t>
  </si>
  <si>
    <t>Placeholder baseline: identical to lci_raw_knit except 20% heavier (0.48 kg/m2), representing the same CNC-knitted hemp membrane without RAW's material optimisation (Tanya, 2026-09-30). Replace with real data for a non-optimised knit when available.</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</si>
  <si>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</si>
  <si>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</si>
  <si>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</si>
  <si>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</si>
  <si>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</si>
  <si>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</si>
  <si>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</si>
  <si>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</si>
  <si>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</si>
  <si>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</si>
  <si>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</si>
  <si>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</si>
  <si>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</si>
  <si>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</si>
  <si>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</si>
  <si>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</si>
  <si>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</si>
  <si>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PROXY: hemp fibre dataset copied; choose the ecoinvent flax fibre dataset (added for lci_baseline_cfw_flax, Di Bari case).</t>
  </si>
  <si>
    <t>Hard wood</t>
  </si>
  <si>
    <t>market for sawnwood, hardwood, raw</t>
  </si>
  <si>
    <t>GLO</t>
  </si>
  <si>
    <t>sawnwood, hardwood, raw</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</si>
  <si>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</si>
  <si>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</si>
  <si>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</si>
  <si>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</si>
  <si>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</si>
  <si>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</si>
  <si>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</si>
  <si>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</si>
  <si>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</si>
  <si>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</si>
  <si>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</si>
  <si>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</si>
  <si>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</si>
  <si>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</si>
  <si>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</si>
  <si>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</si>
  <si>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</si>
  <si>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</si>
  <si>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</si>
  <si>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</si>
  <si>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</si>
  <si>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</si>
  <si>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</si>
  <si>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</si>
  <si>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</si>
  <si>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</si>
  <si>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</si>
  <si>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</si>
  <si>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</si>
  <si>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</si>
  <si>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</si>
  <si>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</si>
  <si>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</si>
  <si>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</si>
  <si>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</si>
  <si>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</si>
  <si>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used by lci_baseline_cfw_glass (glass fibre CFW beam baseline).</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</si>
  <si>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</si>
  <si>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</si>
  <si>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</si>
  <si>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</si>
  <si>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</si>
  <si>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</si>
  <si>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</si>
  <si>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</si>
  <si>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</si>
  <si>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</si>
  <si>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</si>
  <si>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</si>
  <si>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</si>
  <si>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</si>
  <si>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</si>
  <si>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</si>
  <si>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</si>
  <si>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</si>
  <si>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</si>
  <si>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</si>
  <si>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</si>
  <si>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</si>
  <si>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</si>
  <si>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</si>
  <si>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</si>
  <si>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</si>
  <si>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</si>
  <si>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</si>
  <si>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</si>
  <si>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</si>
  <si>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</si>
  <si>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</si>
  <si>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</si>
  <si>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</si>
  <si>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</si>
  <si>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</si>
  <si>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</si>
  <si>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</si>
  <si>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</si>
  <si>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</si>
  <si>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</si>
  <si>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</si>
  <si>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</si>
  <si>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</si>
  <si>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</si>
  <si>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</si>
  <si>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</si>
  <si>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</si>
  <si>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</si>
  <si>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</si>
  <si>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</si>
  <si>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</si>
  <si>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</si>
  <si>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</si>
  <si>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</si>
  <si>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</si>
  <si>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</si>
  <si>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</si>
  <si>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</si>
  <si>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</si>
  <si>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</si>
  <si>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</si>
  <si>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</si>
  <si>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</si>
  <si>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</si>
  <si>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</si>
  <si>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</si>
  <si>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</si>
  <si>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</si>
  <si>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</si>
  <si>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</si>
  <si>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</si>
  <si>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</si>
  <si>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</si>
  <si>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</si>
  <si>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</si>
  <si>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</si>
  <si>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</si>
  <si>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</si>
  <si>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</si>
  <si>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</si>
  <si>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</si>
  <si>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</si>
  <si>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</si>
  <si>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</si>
  <si>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</si>
  <si>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</si>
  <si>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</si>
  <si>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</si>
  <si>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</si>
  <si>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</si>
  <si>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</si>
  <si>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</si>
  <si>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</si>
  <si>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</si>
  <si>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</si>
  <si>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</si>
  <si>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</si>
  <si>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</si>
  <si>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</si>
  <si>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</si>
  <si>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</si>
  <si>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</si>
  <si>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</si>
  <si>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</si>
  <si>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</si>
  <si>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</si>
  <si>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</si>
  <si>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</si>
  <si>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</si>
  <si>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</si>
  <si>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</si>
  <si>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</si>
  <si>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</si>
  <si>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</si>
  <si>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</si>
  <si>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</si>
  <si>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</si>
  <si>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assumed equal to hemp (similar bast fibre); not checked against Phyllis2</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</si>
  <si>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</si>
  <si>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</si>
  <si>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</si>
  <si>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</si>
  <si>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</si>
  <si>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</si>
  <si>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</si>
  <si>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</si>
  <si>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</si>
  <si>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</si>
  <si>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</si>
  <si>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</si>
  <si>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</si>
  <si>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</si>
  <si>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</si>
  <si>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</si>
  <si>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</si>
  <si>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</si>
  <si>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</si>
  <si>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</si>
  <si>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</si>
  <si>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</si>
  <si>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</si>
  <si>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</si>
  <si>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</si>
  <si>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</si>
  <si>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</si>
  <si>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</si>
  <si>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</si>
  <si>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</si>
  <si>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</si>
  <si>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</si>
  <si>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</si>
  <si>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</si>
  <si>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</si>
  <si>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</si>
  <si>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</si>
  <si>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</si>
  <si>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</si>
  <si>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</si>
  <si>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</si>
  <si>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</si>
  <si>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</si>
  <si>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</si>
  <si>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</si>
  <si>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</si>
  <si>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</si>
  <si>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</si>
  <si>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</si>
  <si>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</si>
  <si>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</si>
  <si>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</si>
  <si>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</si>
  <si>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</si>
  <si>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</si>
  <si>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</si>
  <si>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</si>
  <si>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</si>
  <si>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</si>
  <si>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</si>
  <si>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</si>
  <si>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</si>
  <si>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</si>
  <si>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Range is between 400-550 because, according to Stuttgart team, optimizing fiber placement can decrease material use by up 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</si>
</sst>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18">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
      <patternFill patternType="solid">
        <fgColor rgb="FFD5A6BD"/>
      </patternFill>
    </fill>
    <fill>
      <patternFill patternType="solid">
        <fgColor rgb="FFF4E1EA"/>
      </patternFill>
    </fill>
    <fill>
      <patternFill patternType="solid">
        <fgColor theme="9"/>
        <bgColor indexed="64"/>
      </patternFill>
    </fill>
    <fill>
      <patternFill patternType="solid">
        <fgColor rgb="FFE3EFF1"/>
        <bgColor indexed="64"/>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1" fillId="3" borderId="0" xfId="0" applyFont="1" applyFill="1" applyAlignment="1">
      <alignment vertical="top"/>
    </xf>
    <xf numFmtId="0" fontId="1" fillId="4" borderId="0" xfId="0" applyFont="1" applyFill="1"/>
    <xf numFmtId="0" fontId="0" fillId="5" borderId="0" xfId="0" applyFill="1"/>
    <xf numFmtId="0" fontId="1" fillId="6" borderId="0" xfId="0" applyFont="1" applyFill="1"/>
    <xf numFmtId="0" fontId="0" fillId="7" borderId="0" xfId="0" applyFill="1"/>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14" borderId="0" xfId="0" applyFont="1" applyFill="1"/>
    <xf numFmtId="0" fontId="0" fillId="15" borderId="0" xfId="0" applyFill="1"/>
    <xf numFmtId="0" fontId="0" fillId="3" borderId="0" xfId="0" applyFill="1" applyAlignment="1">
      <alignment vertical="top"/>
    </xf>
    <xf numFmtId="0" fontId="0" fillId="7" borderId="0" xfId="0" applyFill="1" applyAlignment="1">
      <alignment vertical="top"/>
    </xf>
    <xf numFmtId="0" fontId="0" fillId="15" borderId="0" xfId="0" applyFill="1" applyAlignment="1">
      <alignment vertical="top"/>
    </xf>
    <xf numFmtId="0" fontId="2" fillId="16" borderId="0" xfId="0" applyFont="1" applyFill="1"/>
    <xf numFmtId="0" fontId="0" fillId="16" borderId="0" xfId="0" applyFill="1"/>
    <xf numFmtId="0" fontId="0" fillId="17" borderId="0" xfId="0" applyFill="1"/>
    <xf numFmtId="0" fontId="2" fillId="17" borderId="0" xfId="0" applyFont="1" applyFill="1"/>
  </cellXfs>
  <cellStyles count="1">
    <cellStyle name="Normal" xfId="0" builtinId="0"/>
  </cellStyles>
  <dxfs count="48">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s>
  <tableStyles count="0" defaultTableStyle="TableStyleMedium9" defaultPivotStyle="PivotStyleLight16"/>
  <colors>
    <mruColors>
      <color rgb="FFE3E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142</v>
      </c>
      <c r="B1" s="1" t="s">
        <v>143</v>
      </c>
    </row>
    <row r="2" spans="1:2" x14ac:dyDescent="0.2">
      <c r="A2" s="2" t="s">
        <v>144</v>
      </c>
      <c r="B2" s="15" t="s">
        <v>145</v>
      </c>
    </row>
    <row r="3" spans="1:2" x14ac:dyDescent="0.2">
      <c r="A3" s="2" t="s">
        <v>146</v>
      </c>
      <c r="B3" s="15" t="s">
        <v>147</v>
      </c>
    </row>
    <row r="4" spans="1:2" x14ac:dyDescent="0.2">
      <c r="A4" s="2" t="s">
        <v>148</v>
      </c>
      <c r="B4" s="15" t="s">
        <v>149</v>
      </c>
    </row>
    <row r="5" spans="1:2" x14ac:dyDescent="0.2">
      <c r="A5" s="2" t="s">
        <v>150</v>
      </c>
      <c r="B5" s="15" t="s">
        <v>151</v>
      </c>
    </row>
    <row r="6" spans="1:2" x14ac:dyDescent="0.2">
      <c r="A6" s="2" t="s">
        <v>152</v>
      </c>
      <c r="B6" s="15" t="s">
        <v>153</v>
      </c>
    </row>
    <row r="7" spans="1:2" x14ac:dyDescent="0.2">
      <c r="A7" s="2" t="s">
        <v>154</v>
      </c>
      <c r="B7" s="15" t="s">
        <v>155</v>
      </c>
    </row>
    <row r="8" spans="1:2" x14ac:dyDescent="0.2">
      <c r="A8" s="2" t="s">
        <v>156</v>
      </c>
      <c r="B8" s="15" t="s">
        <v>157</v>
      </c>
    </row>
    <row r="9" spans="1:2" x14ac:dyDescent="0.2">
      <c r="A9" s="2" t="s">
        <v>158</v>
      </c>
      <c r="B9" s="15" t="s">
        <v>159</v>
      </c>
    </row>
    <row r="10" spans="1:2" x14ac:dyDescent="0.2">
      <c r="A10" s="2" t="s">
        <v>160</v>
      </c>
      <c r="B10" s="15" t="s">
        <v>161</v>
      </c>
    </row>
    <row r="11" spans="1:2" x14ac:dyDescent="0.2">
      <c r="A11" s="2" t="s">
        <v>162</v>
      </c>
      <c r="B11" s="15" t="s">
        <v>163</v>
      </c>
    </row>
    <row r="12" spans="1:2" x14ac:dyDescent="0.2">
      <c r="A12" s="2" t="s">
        <v>164</v>
      </c>
      <c r="B12" s="15" t="s">
        <v>165</v>
      </c>
    </row>
    <row r="13" spans="1:2" x14ac:dyDescent="0.2">
      <c r="A13" s="2" t="s">
        <v>1</v>
      </c>
      <c r="B13" s="15" t="s">
        <v>166</v>
      </c>
    </row>
    <row r="14" spans="1:2" x14ac:dyDescent="0.2">
      <c r="A14" s="2" t="s">
        <v>167</v>
      </c>
      <c r="B14" s="15" t="s">
        <v>168</v>
      </c>
    </row>
    <row r="15" spans="1:2" x14ac:dyDescent="0.2">
      <c r="A15" s="2" t="s">
        <v>12</v>
      </c>
      <c r="B15" s="15" t="s">
        <v>169</v>
      </c>
    </row>
    <row r="16" spans="1:2" x14ac:dyDescent="0.2">
      <c r="A16" s="2" t="s">
        <v>170</v>
      </c>
      <c r="B16" s="15" t="s">
        <v>171</v>
      </c>
    </row>
    <row r="17" spans="1:2" x14ac:dyDescent="0.2">
      <c r="A17" s="2" t="s">
        <v>172</v>
      </c>
      <c r="B17" s="15" t="s">
        <v>173</v>
      </c>
    </row>
    <row r="18" spans="1:2" x14ac:dyDescent="0.2">
      <c r="A18" s="2" t="s">
        <v>174</v>
      </c>
      <c r="B18" s="15" t="s">
        <v>175</v>
      </c>
    </row>
    <row r="19" spans="1:2" x14ac:dyDescent="0.2">
      <c r="A19" s="2" t="s">
        <v>176</v>
      </c>
      <c r="B19" s="15" t="s">
        <v>177</v>
      </c>
    </row>
    <row r="20" spans="1:2" x14ac:dyDescent="0.2">
      <c r="A20" s="2" t="s">
        <v>178</v>
      </c>
      <c r="B20" s="15" t="s">
        <v>179</v>
      </c>
    </row>
    <row r="21" spans="1:2" x14ac:dyDescent="0.2">
      <c r="A21" s="2" t="s">
        <v>180</v>
      </c>
      <c r="B21" s="15" t="s">
        <v>181</v>
      </c>
    </row>
    <row r="22" spans="1:2" x14ac:dyDescent="0.2">
      <c r="A22" s="2" t="s">
        <v>182</v>
      </c>
      <c r="B22" s="15" t="s">
        <v>183</v>
      </c>
    </row>
    <row r="23" spans="1:2" x14ac:dyDescent="0.2">
      <c r="A23" s="2" t="s">
        <v>184</v>
      </c>
      <c r="B23" s="15" t="s">
        <v>185</v>
      </c>
    </row>
    <row r="24" spans="1:2" x14ac:dyDescent="0.2">
      <c r="A24" s="2" t="s">
        <v>186</v>
      </c>
      <c r="B24" s="15" t="s">
        <v>187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3" t="s">
        <v>188</v>
      </c>
      <c r="B1" s="3" t="s">
        <v>189</v>
      </c>
      <c r="C1" s="3" t="s">
        <v>190</v>
      </c>
      <c r="D1" s="3" t="s">
        <v>191</v>
      </c>
      <c r="E1" s="3" t="s">
        <v>192</v>
      </c>
      <c r="F1" s="3" t="s">
        <v>193</v>
      </c>
      <c r="G1" s="3" t="s">
        <v>194</v>
      </c>
      <c r="H1" s="3" t="s">
        <v>195</v>
      </c>
      <c r="I1" s="3" t="s">
        <v>196</v>
      </c>
    </row>
    <row r="2" spans="1:9" x14ac:dyDescent="0.2">
      <c r="A2" s="4" t="s">
        <v>17</v>
      </c>
      <c r="B2" s="4" t="s">
        <v>197</v>
      </c>
      <c r="C2" s="4" t="s">
        <v>198</v>
      </c>
      <c r="D2" s="4">
        <v>50</v>
      </c>
      <c r="E2" s="4" t="s">
        <v>113</v>
      </c>
      <c r="F2" s="4" t="s">
        <v>199</v>
      </c>
      <c r="G2" s="4" t="s">
        <v>200</v>
      </c>
      <c r="H2" s="4" t="s">
        <v>201</v>
      </c>
      <c r="I2" s="4" t="s">
        <v>202</v>
      </c>
    </row>
    <row r="3" spans="1:9" x14ac:dyDescent="0.2">
      <c r="A3" s="4" t="s">
        <v>203</v>
      </c>
      <c r="B3" s="4" t="s">
        <v>204</v>
      </c>
      <c r="C3" s="4" t="s">
        <v>198</v>
      </c>
      <c r="D3" s="4">
        <v>50</v>
      </c>
      <c r="E3" s="4" t="s">
        <v>113</v>
      </c>
      <c r="F3" s="4" t="s">
        <v>199</v>
      </c>
      <c r="G3" s="4" t="s">
        <v>200</v>
      </c>
      <c r="H3" s="4" t="s">
        <v>205</v>
      </c>
      <c r="I3" s="4" t="s">
        <v>206</v>
      </c>
    </row>
    <row r="4" spans="1:9" x14ac:dyDescent="0.2">
      <c r="A4" s="4" t="s">
        <v>207</v>
      </c>
      <c r="B4" s="4" t="s">
        <v>208</v>
      </c>
      <c r="C4" s="4" t="s">
        <v>209</v>
      </c>
      <c r="D4" s="4">
        <v>50</v>
      </c>
      <c r="E4" s="4" t="s">
        <v>113</v>
      </c>
      <c r="F4" s="4" t="s">
        <v>210</v>
      </c>
      <c r="G4" s="4" t="s">
        <v>200</v>
      </c>
      <c r="H4" s="4" t="s">
        <v>211</v>
      </c>
      <c r="I4" s="4" t="s">
        <v>212</v>
      </c>
    </row>
    <row r="5" spans="1:9" x14ac:dyDescent="0.2">
      <c r="A5" s="4" t="s">
        <v>213</v>
      </c>
      <c r="B5" s="4" t="s">
        <v>214</v>
      </c>
      <c r="C5" s="4" t="s">
        <v>215</v>
      </c>
      <c r="D5" s="4">
        <v>50</v>
      </c>
      <c r="E5" s="4" t="s">
        <v>113</v>
      </c>
      <c r="F5" s="4" t="s">
        <v>216</v>
      </c>
      <c r="G5" s="4" t="s">
        <v>217</v>
      </c>
      <c r="H5" s="4" t="s">
        <v>218</v>
      </c>
      <c r="I5" s="4" t="s">
        <v>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3" t="s">
        <v>5</v>
      </c>
      <c r="B1" s="3" t="s">
        <v>220</v>
      </c>
      <c r="C1" s="3" t="s">
        <v>7</v>
      </c>
      <c r="D1" s="3" t="s">
        <v>6</v>
      </c>
    </row>
    <row r="2" spans="1:4" x14ac:dyDescent="0.2">
      <c r="A2" s="4" t="s">
        <v>221</v>
      </c>
      <c r="B2" s="4">
        <v>6</v>
      </c>
      <c r="C2" s="4" t="s">
        <v>200</v>
      </c>
      <c r="D2" s="4" t="s">
        <v>222</v>
      </c>
    </row>
    <row r="3" spans="1:4" x14ac:dyDescent="0.2">
      <c r="A3" s="4" t="s">
        <v>223</v>
      </c>
      <c r="B3" s="4">
        <v>4</v>
      </c>
      <c r="C3" s="4" t="s">
        <v>200</v>
      </c>
      <c r="D3" s="4" t="s">
        <v>224</v>
      </c>
    </row>
    <row r="4" spans="1:4" x14ac:dyDescent="0.2">
      <c r="A4" s="4" t="s">
        <v>225</v>
      </c>
      <c r="B4" s="4">
        <v>100</v>
      </c>
      <c r="C4" s="4" t="s">
        <v>217</v>
      </c>
      <c r="D4" s="4" t="s">
        <v>226</v>
      </c>
    </row>
    <row r="5" spans="1:4" x14ac:dyDescent="0.2">
      <c r="A5" s="4" t="s">
        <v>227</v>
      </c>
      <c r="B5" s="4" t="s">
        <v>228</v>
      </c>
      <c r="C5" s="4" t="s">
        <v>229</v>
      </c>
      <c r="D5" s="4" t="s">
        <v>230</v>
      </c>
    </row>
    <row r="6" spans="1:4" x14ac:dyDescent="0.2">
      <c r="A6" s="4" t="s">
        <v>231</v>
      </c>
      <c r="B6" s="4" t="s">
        <v>232</v>
      </c>
      <c r="C6" s="4" t="s">
        <v>229</v>
      </c>
      <c r="D6" s="4" t="s">
        <v>233</v>
      </c>
    </row>
    <row r="7" spans="1:4" x14ac:dyDescent="0.2">
      <c r="A7" s="4" t="s">
        <v>234</v>
      </c>
      <c r="B7" s="4" t="s">
        <v>235</v>
      </c>
      <c r="C7" s="4" t="s">
        <v>236</v>
      </c>
      <c r="D7" s="4" t="s">
        <v>237</v>
      </c>
    </row>
    <row r="8" spans="1:4" x14ac:dyDescent="0.2">
      <c r="A8" s="4" t="s">
        <v>238</v>
      </c>
      <c r="B8" s="4" t="s">
        <v>239</v>
      </c>
      <c r="C8" s="4" t="s">
        <v>240</v>
      </c>
      <c r="D8" s="4" t="s">
        <v>241</v>
      </c>
    </row>
    <row r="9" spans="1:4" x14ac:dyDescent="0.2">
      <c r="A9" s="4" t="s">
        <v>242</v>
      </c>
      <c r="B9" s="4">
        <v>2000</v>
      </c>
      <c r="C9" s="4" t="s">
        <v>243</v>
      </c>
      <c r="D9" s="4" t="s">
        <v>244</v>
      </c>
    </row>
    <row r="10" spans="1:4" x14ac:dyDescent="0.2">
      <c r="A10" s="4" t="s">
        <v>245</v>
      </c>
      <c r="B10" s="4" t="s">
        <v>246</v>
      </c>
      <c r="C10" s="4" t="s">
        <v>247</v>
      </c>
      <c r="D10" s="4" t="s">
        <v>248</v>
      </c>
    </row>
    <row r="11" spans="1:4" x14ac:dyDescent="0.2">
      <c r="A11" s="4" t="s">
        <v>249</v>
      </c>
      <c r="B11" s="4">
        <v>3.12</v>
      </c>
      <c r="C11" s="4" t="s">
        <v>23</v>
      </c>
      <c r="D11" s="4" t="s">
        <v>250</v>
      </c>
    </row>
    <row r="12" spans="1:4" x14ac:dyDescent="0.2">
      <c r="A12" s="4" t="s">
        <v>251</v>
      </c>
      <c r="B12" s="4" t="s">
        <v>252</v>
      </c>
      <c r="C12" s="4" t="s">
        <v>23</v>
      </c>
      <c r="D12" s="4" t="s">
        <v>253</v>
      </c>
    </row>
    <row r="13" spans="1:4" x14ac:dyDescent="0.2">
      <c r="A13" s="4" t="s">
        <v>254</v>
      </c>
      <c r="B13" s="4" t="s">
        <v>255</v>
      </c>
      <c r="C13" s="4" t="s">
        <v>23</v>
      </c>
      <c r="D13" s="4" t="s">
        <v>256</v>
      </c>
    </row>
    <row r="14" spans="1:4" x14ac:dyDescent="0.2">
      <c r="A14" s="4" t="s">
        <v>257</v>
      </c>
      <c r="B14" s="4">
        <v>42</v>
      </c>
      <c r="C14" s="4" t="s">
        <v>23</v>
      </c>
      <c r="D14" s="4" t="s">
        <v>258</v>
      </c>
    </row>
    <row r="15" spans="1:4" x14ac:dyDescent="0.2">
      <c r="A15" s="4" t="s">
        <v>259</v>
      </c>
      <c r="B15" s="4">
        <v>500</v>
      </c>
      <c r="C15" s="4" t="s">
        <v>243</v>
      </c>
      <c r="D15" s="4" t="s">
        <v>260</v>
      </c>
    </row>
    <row r="16" spans="1:4" x14ac:dyDescent="0.2">
      <c r="A16" s="4" t="s">
        <v>261</v>
      </c>
      <c r="B16" s="4">
        <v>512</v>
      </c>
      <c r="C16" s="4" t="s">
        <v>243</v>
      </c>
      <c r="D16" s="4" t="s">
        <v>262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3" t="s">
        <v>263</v>
      </c>
      <c r="B1" s="3" t="s">
        <v>7</v>
      </c>
      <c r="C1" s="3" t="s">
        <v>264</v>
      </c>
      <c r="D1" s="3" t="s">
        <v>265</v>
      </c>
    </row>
    <row r="2" spans="1:4" x14ac:dyDescent="0.2">
      <c r="A2" s="4" t="s">
        <v>266</v>
      </c>
      <c r="B2" s="4" t="s">
        <v>267</v>
      </c>
      <c r="C2" s="4" t="s">
        <v>266</v>
      </c>
      <c r="D2" s="4" t="s">
        <v>268</v>
      </c>
    </row>
    <row r="3" spans="1:4" x14ac:dyDescent="0.2">
      <c r="A3" s="4" t="s">
        <v>269</v>
      </c>
      <c r="B3" s="4" t="s">
        <v>270</v>
      </c>
      <c r="C3" s="4" t="s">
        <v>269</v>
      </c>
      <c r="D3" s="4" t="s">
        <v>268</v>
      </c>
    </row>
    <row r="4" spans="1:4" x14ac:dyDescent="0.2">
      <c r="A4" s="4" t="s">
        <v>271</v>
      </c>
      <c r="B4" s="4" t="s">
        <v>272</v>
      </c>
      <c r="C4" s="4" t="s">
        <v>271</v>
      </c>
      <c r="D4" s="4" t="s">
        <v>268</v>
      </c>
    </row>
    <row r="5" spans="1:4" x14ac:dyDescent="0.2">
      <c r="A5" s="4" t="s">
        <v>273</v>
      </c>
      <c r="B5" s="4" t="s">
        <v>274</v>
      </c>
      <c r="C5" s="4" t="s">
        <v>273</v>
      </c>
      <c r="D5" s="4" t="s">
        <v>268</v>
      </c>
    </row>
    <row r="6" spans="1:4" x14ac:dyDescent="0.2">
      <c r="A6" s="4" t="s">
        <v>275</v>
      </c>
      <c r="B6" s="4" t="s">
        <v>276</v>
      </c>
      <c r="C6" s="4" t="s">
        <v>277</v>
      </c>
      <c r="D6" s="4" t="s">
        <v>268</v>
      </c>
    </row>
    <row r="7" spans="1:4" x14ac:dyDescent="0.2">
      <c r="A7" s="4" t="s">
        <v>278</v>
      </c>
      <c r="B7" s="4" t="s">
        <v>279</v>
      </c>
      <c r="C7" s="4" t="s">
        <v>278</v>
      </c>
      <c r="D7" s="4" t="s">
        <v>268</v>
      </c>
    </row>
    <row r="8" spans="1:4" x14ac:dyDescent="0.2">
      <c r="A8" s="4" t="s">
        <v>280</v>
      </c>
      <c r="B8" s="4" t="s">
        <v>281</v>
      </c>
      <c r="C8" s="4" t="s">
        <v>280</v>
      </c>
      <c r="D8" s="4" t="s">
        <v>268</v>
      </c>
    </row>
    <row r="9" spans="1:4" x14ac:dyDescent="0.2">
      <c r="A9" s="4" t="s">
        <v>282</v>
      </c>
      <c r="B9" s="4" t="s">
        <v>283</v>
      </c>
      <c r="C9" s="4" t="s">
        <v>284</v>
      </c>
      <c r="D9" s="4" t="s">
        <v>268</v>
      </c>
    </row>
    <row r="10" spans="1:4" x14ac:dyDescent="0.2">
      <c r="A10" s="4" t="s">
        <v>285</v>
      </c>
      <c r="B10" s="4" t="s">
        <v>267</v>
      </c>
      <c r="C10" s="4" t="s">
        <v>285</v>
      </c>
      <c r="D10" s="4" t="s">
        <v>286</v>
      </c>
    </row>
    <row r="11" spans="1:4" x14ac:dyDescent="0.2">
      <c r="A11" s="4" t="s">
        <v>287</v>
      </c>
      <c r="B11" s="4" t="s">
        <v>267</v>
      </c>
      <c r="C11" s="4" t="s">
        <v>287</v>
      </c>
      <c r="D11" s="4" t="s">
        <v>286</v>
      </c>
    </row>
    <row r="12" spans="1:4" x14ac:dyDescent="0.2">
      <c r="A12" s="4" t="s">
        <v>288</v>
      </c>
      <c r="B12" s="4" t="s">
        <v>267</v>
      </c>
      <c r="C12" s="4" t="s">
        <v>288</v>
      </c>
      <c r="D12" s="4" t="s">
        <v>286</v>
      </c>
    </row>
    <row r="13" spans="1:4" x14ac:dyDescent="0.2">
      <c r="A13" s="4" t="s">
        <v>289</v>
      </c>
      <c r="B13" s="4" t="s">
        <v>290</v>
      </c>
      <c r="C13" s="4" t="s">
        <v>289</v>
      </c>
      <c r="D13" s="4" t="s">
        <v>286</v>
      </c>
    </row>
    <row r="14" spans="1:4" x14ac:dyDescent="0.2">
      <c r="A14" s="4" t="s">
        <v>291</v>
      </c>
      <c r="B14" s="4" t="s">
        <v>290</v>
      </c>
      <c r="C14" s="4" t="s">
        <v>291</v>
      </c>
      <c r="D14" s="4" t="s">
        <v>286</v>
      </c>
    </row>
    <row r="15" spans="1:4" x14ac:dyDescent="0.2">
      <c r="A15" s="4" t="s">
        <v>292</v>
      </c>
      <c r="B15" s="4" t="s">
        <v>290</v>
      </c>
      <c r="C15" s="4" t="s">
        <v>292</v>
      </c>
      <c r="D15" s="4" t="s">
        <v>286</v>
      </c>
    </row>
    <row r="16" spans="1:4" x14ac:dyDescent="0.2">
      <c r="A16" s="4" t="s">
        <v>293</v>
      </c>
      <c r="B16" s="4" t="s">
        <v>294</v>
      </c>
      <c r="C16" s="4" t="s">
        <v>293</v>
      </c>
      <c r="D16" s="4" t="s">
        <v>286</v>
      </c>
    </row>
    <row r="17" spans="1:4" x14ac:dyDescent="0.2">
      <c r="A17" s="4" t="s">
        <v>295</v>
      </c>
      <c r="B17" s="4" t="s">
        <v>296</v>
      </c>
      <c r="C17" s="4" t="s">
        <v>295</v>
      </c>
      <c r="D17" s="4" t="s">
        <v>286</v>
      </c>
    </row>
    <row r="18" spans="1:4" x14ac:dyDescent="0.2">
      <c r="A18" s="4" t="s">
        <v>297</v>
      </c>
      <c r="B18" s="4" t="s">
        <v>298</v>
      </c>
      <c r="C18" s="4" t="s">
        <v>297</v>
      </c>
      <c r="D18" s="4" t="s">
        <v>286</v>
      </c>
    </row>
    <row r="19" spans="1:4" x14ac:dyDescent="0.2">
      <c r="A19" s="4" t="s">
        <v>299</v>
      </c>
      <c r="B19" s="4" t="s">
        <v>300</v>
      </c>
      <c r="C19" s="4" t="s">
        <v>299</v>
      </c>
      <c r="D19" s="4" t="s">
        <v>286</v>
      </c>
    </row>
    <row r="20" spans="1:4" x14ac:dyDescent="0.2">
      <c r="A20" s="4" t="s">
        <v>301</v>
      </c>
      <c r="B20" s="4" t="s">
        <v>300</v>
      </c>
      <c r="C20" s="4" t="s">
        <v>301</v>
      </c>
      <c r="D20" s="4" t="s">
        <v>286</v>
      </c>
    </row>
    <row r="21" spans="1:4" x14ac:dyDescent="0.2">
      <c r="A21" s="4" t="s">
        <v>302</v>
      </c>
      <c r="B21" s="4" t="s">
        <v>300</v>
      </c>
      <c r="C21" s="4" t="s">
        <v>302</v>
      </c>
      <c r="D21" s="4" t="s">
        <v>286</v>
      </c>
    </row>
    <row r="22" spans="1:4" x14ac:dyDescent="0.2">
      <c r="A22" s="4" t="s">
        <v>303</v>
      </c>
      <c r="B22" s="4" t="s">
        <v>300</v>
      </c>
      <c r="C22" s="4" t="s">
        <v>303</v>
      </c>
      <c r="D22" s="4" t="s">
        <v>286</v>
      </c>
    </row>
    <row r="23" spans="1:4" x14ac:dyDescent="0.2">
      <c r="A23" s="4" t="s">
        <v>304</v>
      </c>
      <c r="B23" s="4" t="s">
        <v>300</v>
      </c>
      <c r="C23" s="4" t="s">
        <v>304</v>
      </c>
      <c r="D23" s="4" t="s">
        <v>286</v>
      </c>
    </row>
    <row r="24" spans="1:4" x14ac:dyDescent="0.2">
      <c r="A24" s="4" t="s">
        <v>305</v>
      </c>
      <c r="B24" s="4" t="s">
        <v>300</v>
      </c>
      <c r="C24" s="4" t="s">
        <v>305</v>
      </c>
      <c r="D24" s="4" t="s">
        <v>286</v>
      </c>
    </row>
    <row r="25" spans="1:4" x14ac:dyDescent="0.2">
      <c r="A25" s="4" t="s">
        <v>306</v>
      </c>
      <c r="B25" s="4" t="s">
        <v>307</v>
      </c>
      <c r="C25" s="4" t="s">
        <v>306</v>
      </c>
      <c r="D25" s="4" t="s">
        <v>286</v>
      </c>
    </row>
    <row r="26" spans="1:4" x14ac:dyDescent="0.2">
      <c r="A26" s="4" t="s">
        <v>308</v>
      </c>
      <c r="B26" s="4" t="s">
        <v>309</v>
      </c>
      <c r="C26" s="4" t="s">
        <v>308</v>
      </c>
      <c r="D26" s="4" t="s">
        <v>286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3" t="s">
        <v>310</v>
      </c>
      <c r="B1" s="3" t="s">
        <v>264</v>
      </c>
      <c r="C1" s="3" t="s">
        <v>311</v>
      </c>
      <c r="D1" s="3" t="s">
        <v>312</v>
      </c>
      <c r="E1" s="3" t="s">
        <v>313</v>
      </c>
      <c r="F1" s="3" t="s">
        <v>16</v>
      </c>
      <c r="G1" s="3" t="s">
        <v>314</v>
      </c>
    </row>
    <row r="2" spans="1:7" x14ac:dyDescent="0.2">
      <c r="A2" s="4" t="s">
        <v>315</v>
      </c>
      <c r="B2" s="4" t="s">
        <v>316</v>
      </c>
      <c r="C2" s="4"/>
      <c r="D2" s="4"/>
      <c r="E2" s="4"/>
      <c r="F2" s="4" t="s">
        <v>317</v>
      </c>
      <c r="G2" s="4" t="s">
        <v>268</v>
      </c>
    </row>
    <row r="3" spans="1:7" x14ac:dyDescent="0.2">
      <c r="A3" s="4" t="s">
        <v>318</v>
      </c>
      <c r="B3" s="4" t="s">
        <v>319</v>
      </c>
      <c r="C3" s="4" t="s">
        <v>320</v>
      </c>
      <c r="D3" s="4" t="s">
        <v>321</v>
      </c>
      <c r="E3" s="4">
        <v>2050</v>
      </c>
      <c r="F3" s="4" t="s">
        <v>322</v>
      </c>
      <c r="G3" s="4" t="s">
        <v>286</v>
      </c>
    </row>
    <row r="4" spans="1:7" x14ac:dyDescent="0.2">
      <c r="A4" s="4" t="s">
        <v>323</v>
      </c>
      <c r="B4" s="4">
        <v>2050</v>
      </c>
      <c r="C4" s="4" t="s">
        <v>320</v>
      </c>
      <c r="D4" s="4" t="s">
        <v>324</v>
      </c>
      <c r="E4" s="4">
        <v>2050</v>
      </c>
      <c r="F4" s="4" t="s">
        <v>325</v>
      </c>
      <c r="G4" s="4" t="s">
        <v>268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4A7D6"/>
  </sheetPr>
  <dimension ref="A1:D15"/>
  <sheetViews>
    <sheetView workbookViewId="0">
      <pane xSplit="2" ySplit="1" topLeftCell="C2" activePane="bottomRight" state="frozen"/>
      <selection pane="topRight"/>
      <selection pane="bottomLeft"/>
      <selection pane="bottomRight" activeCell="A2" sqref="A2"/>
    </sheetView>
  </sheetViews>
  <sheetFormatPr baseColWidth="10" defaultColWidth="8.83203125" defaultRowHeight="15" x14ac:dyDescent="0.2"/>
  <cols>
    <col min="1" max="1" width="12" customWidth="1"/>
    <col min="2" max="2" width="26" customWidth="1"/>
    <col min="3" max="3" width="120" customWidth="1"/>
    <col min="4" max="4" width="100" customWidth="1"/>
  </cols>
  <sheetData>
    <row r="1" spans="1:4" x14ac:dyDescent="0.2">
      <c r="A1" s="3" t="s">
        <v>188</v>
      </c>
      <c r="B1" s="3" t="s">
        <v>326</v>
      </c>
      <c r="C1" s="3" t="s">
        <v>327</v>
      </c>
      <c r="D1" s="3" t="s">
        <v>328</v>
      </c>
    </row>
    <row r="2" spans="1:4" x14ac:dyDescent="0.2">
      <c r="A2" s="4" t="s">
        <v>207</v>
      </c>
      <c r="B2" s="4" t="s">
        <v>329</v>
      </c>
      <c r="C2" s="4" t="s">
        <v>330</v>
      </c>
      <c r="D2" s="4" t="s">
        <v>331</v>
      </c>
    </row>
    <row r="3" spans="1:4" x14ac:dyDescent="0.2">
      <c r="A3" s="4" t="s">
        <v>207</v>
      </c>
      <c r="B3" s="4" t="s">
        <v>332</v>
      </c>
      <c r="C3" s="4" t="s">
        <v>333</v>
      </c>
      <c r="D3" s="4" t="s">
        <v>334</v>
      </c>
    </row>
    <row r="4" spans="1:4" x14ac:dyDescent="0.2">
      <c r="A4" s="4" t="s">
        <v>207</v>
      </c>
      <c r="B4" s="4" t="s">
        <v>335</v>
      </c>
      <c r="C4" s="4" t="s">
        <v>336</v>
      </c>
      <c r="D4" s="4" t="s">
        <v>337</v>
      </c>
    </row>
    <row r="5" spans="1:4" x14ac:dyDescent="0.2">
      <c r="A5" s="4" t="s">
        <v>207</v>
      </c>
      <c r="B5" s="4" t="s">
        <v>338</v>
      </c>
      <c r="C5" s="4" t="s">
        <v>339</v>
      </c>
      <c r="D5" s="4" t="s">
        <v>340</v>
      </c>
    </row>
    <row r="6" spans="1:4" x14ac:dyDescent="0.2">
      <c r="A6" s="4" t="s">
        <v>213</v>
      </c>
      <c r="B6" s="4" t="s">
        <v>341</v>
      </c>
      <c r="C6" s="4" t="s">
        <v>342</v>
      </c>
      <c r="D6" s="4" t="s">
        <v>343</v>
      </c>
    </row>
    <row r="7" spans="1:4" x14ac:dyDescent="0.2">
      <c r="A7" s="4" t="s">
        <v>213</v>
      </c>
      <c r="B7" s="4" t="s">
        <v>344</v>
      </c>
      <c r="C7" s="4" t="s">
        <v>345</v>
      </c>
      <c r="D7" s="4" t="s">
        <v>343</v>
      </c>
    </row>
    <row r="8" spans="1:4" x14ac:dyDescent="0.2">
      <c r="A8" s="4" t="s">
        <v>213</v>
      </c>
      <c r="B8" s="4" t="s">
        <v>346</v>
      </c>
      <c r="C8" s="4" t="s">
        <v>347</v>
      </c>
      <c r="D8" s="4" t="s">
        <v>348</v>
      </c>
    </row>
    <row r="9" spans="1:4" x14ac:dyDescent="0.2">
      <c r="A9" s="4" t="s">
        <v>203</v>
      </c>
      <c r="B9" s="4" t="s">
        <v>349</v>
      </c>
      <c r="C9" s="4" t="s">
        <v>350</v>
      </c>
      <c r="D9" s="4" t="s">
        <v>351</v>
      </c>
    </row>
    <row r="10" spans="1:4" x14ac:dyDescent="0.2">
      <c r="A10" s="4" t="s">
        <v>203</v>
      </c>
      <c r="B10" s="4" t="s">
        <v>352</v>
      </c>
      <c r="C10" s="4" t="s">
        <v>353</v>
      </c>
      <c r="D10" s="4" t="s">
        <v>354</v>
      </c>
    </row>
    <row r="11" spans="1:4" x14ac:dyDescent="0.2">
      <c r="A11" s="4" t="s">
        <v>203</v>
      </c>
      <c r="B11" s="4" t="s">
        <v>355</v>
      </c>
      <c r="C11" s="4" t="s">
        <v>356</v>
      </c>
      <c r="D11" s="4" t="s">
        <v>357</v>
      </c>
    </row>
    <row r="12" spans="1:4" x14ac:dyDescent="0.2">
      <c r="A12" s="4" t="s">
        <v>17</v>
      </c>
      <c r="B12" s="4" t="s">
        <v>52</v>
      </c>
      <c r="C12" s="4" t="s">
        <v>358</v>
      </c>
      <c r="D12" s="4" t="s">
        <v>359</v>
      </c>
    </row>
    <row r="13" spans="1:4" x14ac:dyDescent="0.2">
      <c r="A13" s="4" t="s">
        <v>17</v>
      </c>
      <c r="B13" s="4" t="s">
        <v>83</v>
      </c>
      <c r="C13" s="4" t="s">
        <v>360</v>
      </c>
      <c r="D13" s="4" t="s">
        <v>361</v>
      </c>
    </row>
    <row r="14" spans="1:4" x14ac:dyDescent="0.2">
      <c r="A14" s="4" t="s">
        <v>17</v>
      </c>
      <c r="B14" s="4" t="s">
        <v>92</v>
      </c>
      <c r="C14" s="4" t="s">
        <v>362</v>
      </c>
      <c r="D14" s="4" t="s">
        <v>363</v>
      </c>
    </row>
    <row r="15" spans="1:4" x14ac:dyDescent="0.2">
      <c r="A15" s="4" t="s">
        <v>17</v>
      </c>
      <c r="B15" s="4" t="s">
        <v>101</v>
      </c>
      <c r="C15" s="4" t="s">
        <v>364</v>
      </c>
      <c r="D15" s="4" t="s">
        <v>365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C47D"/>
  </sheetPr>
  <dimension ref="A1:L13"/>
  <sheetViews>
    <sheetView topLeftCell="D1" workbookViewId="0">
      <pane ySplit="1" topLeftCell="A2" activePane="bottomLeft" state="frozen"/>
      <selection pane="bottomLeft" activeCell="H23" sqref="H23"/>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7" width="16.1640625" customWidth="1"/>
    <col min="8" max="8" width="45" customWidth="1"/>
    <col min="9" max="9" width="1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7" t="s">
        <v>366</v>
      </c>
      <c r="B1" s="7" t="s">
        <v>367</v>
      </c>
      <c r="C1" s="7" t="s">
        <v>368</v>
      </c>
      <c r="D1" s="7" t="s">
        <v>369</v>
      </c>
      <c r="E1" s="7" t="s">
        <v>370</v>
      </c>
      <c r="F1" s="7" t="s">
        <v>371</v>
      </c>
      <c r="G1" s="7" t="s">
        <v>372</v>
      </c>
      <c r="H1" s="7" t="s">
        <v>373</v>
      </c>
      <c r="I1" s="7" t="s">
        <v>374</v>
      </c>
      <c r="J1" s="7" t="s">
        <v>375</v>
      </c>
      <c r="K1" s="7" t="s">
        <v>376</v>
      </c>
      <c r="L1" s="7" t="s">
        <v>16</v>
      </c>
    </row>
    <row r="2" spans="1:12" x14ac:dyDescent="0.2">
      <c r="A2" s="8" t="s">
        <v>377</v>
      </c>
      <c r="B2" s="8" t="s">
        <v>378</v>
      </c>
      <c r="C2" s="8" t="s">
        <v>201</v>
      </c>
      <c r="D2" s="8" t="s">
        <v>201</v>
      </c>
      <c r="E2" s="8" t="s">
        <v>379</v>
      </c>
      <c r="F2" s="8" t="s">
        <v>199</v>
      </c>
      <c r="G2" s="8" t="s">
        <v>200</v>
      </c>
      <c r="H2" s="8" t="s">
        <v>380</v>
      </c>
      <c r="I2" s="8" t="s">
        <v>55</v>
      </c>
      <c r="J2" s="8" t="s">
        <v>381</v>
      </c>
      <c r="K2" s="8">
        <v>0.36583300000000002</v>
      </c>
      <c r="L2" s="8" t="s">
        <v>382</v>
      </c>
    </row>
    <row r="3" spans="1:12" x14ac:dyDescent="0.2">
      <c r="A3" s="8" t="s">
        <v>377</v>
      </c>
      <c r="B3" s="8" t="s">
        <v>383</v>
      </c>
      <c r="C3" s="8" t="s">
        <v>202</v>
      </c>
      <c r="D3" s="8" t="s">
        <v>202</v>
      </c>
      <c r="E3" s="8" t="s">
        <v>379</v>
      </c>
      <c r="F3" s="8" t="s">
        <v>199</v>
      </c>
      <c r="G3" s="8" t="s">
        <v>200</v>
      </c>
      <c r="H3" s="8" t="s">
        <v>384</v>
      </c>
      <c r="I3" s="8" t="s">
        <v>55</v>
      </c>
      <c r="J3" s="8" t="s">
        <v>385</v>
      </c>
      <c r="K3" s="8">
        <v>8.3333300000000001</v>
      </c>
      <c r="L3" s="8" t="s">
        <v>386</v>
      </c>
    </row>
    <row r="4" spans="1:12" x14ac:dyDescent="0.2">
      <c r="A4" s="8" t="s">
        <v>377</v>
      </c>
      <c r="B4" s="8" t="s">
        <v>378</v>
      </c>
      <c r="C4" s="8" t="s">
        <v>205</v>
      </c>
      <c r="D4" s="8" t="s">
        <v>205</v>
      </c>
      <c r="E4" s="8" t="s">
        <v>379</v>
      </c>
      <c r="F4" s="8" t="s">
        <v>199</v>
      </c>
      <c r="G4" s="8" t="s">
        <v>200</v>
      </c>
      <c r="H4" s="8" t="s">
        <v>387</v>
      </c>
      <c r="I4" s="8" t="s">
        <v>55</v>
      </c>
      <c r="J4" s="8" t="s">
        <v>388</v>
      </c>
      <c r="K4" s="8">
        <v>3.1</v>
      </c>
      <c r="L4" s="8" t="s">
        <v>389</v>
      </c>
    </row>
    <row r="5" spans="1:12" x14ac:dyDescent="0.2">
      <c r="A5" s="8" t="s">
        <v>377</v>
      </c>
      <c r="B5" s="8" t="s">
        <v>383</v>
      </c>
      <c r="C5" s="8" t="s">
        <v>206</v>
      </c>
      <c r="D5" s="8" t="s">
        <v>206</v>
      </c>
      <c r="E5" s="8" t="s">
        <v>379</v>
      </c>
      <c r="F5" s="8" t="s">
        <v>199</v>
      </c>
      <c r="G5" s="8" t="s">
        <v>200</v>
      </c>
      <c r="H5" s="8" t="s">
        <v>390</v>
      </c>
      <c r="I5" s="8" t="s">
        <v>55</v>
      </c>
      <c r="J5" s="8" t="s">
        <v>388</v>
      </c>
      <c r="K5" s="8">
        <v>0.96</v>
      </c>
      <c r="L5" s="8" t="s">
        <v>391</v>
      </c>
    </row>
    <row r="6" spans="1:12" x14ac:dyDescent="0.2">
      <c r="A6" s="8" t="s">
        <v>392</v>
      </c>
      <c r="B6" s="8" t="s">
        <v>378</v>
      </c>
      <c r="C6" s="8" t="s">
        <v>211</v>
      </c>
      <c r="D6" s="8" t="s">
        <v>211</v>
      </c>
      <c r="E6" s="8" t="s">
        <v>393</v>
      </c>
      <c r="F6" s="8" t="s">
        <v>210</v>
      </c>
      <c r="G6" s="8" t="s">
        <v>200</v>
      </c>
      <c r="H6" s="8" t="s">
        <v>394</v>
      </c>
      <c r="I6" s="8" t="s">
        <v>55</v>
      </c>
      <c r="J6" s="8" t="s">
        <v>395</v>
      </c>
      <c r="K6" s="8">
        <v>1530</v>
      </c>
      <c r="L6" s="8" t="s">
        <v>396</v>
      </c>
    </row>
    <row r="7" spans="1:12" x14ac:dyDescent="0.2">
      <c r="A7" s="8" t="s">
        <v>392</v>
      </c>
      <c r="B7" s="8" t="s">
        <v>383</v>
      </c>
      <c r="C7" s="8" t="s">
        <v>212</v>
      </c>
      <c r="D7" s="8" t="s">
        <v>212</v>
      </c>
      <c r="E7" s="8" t="s">
        <v>393</v>
      </c>
      <c r="F7" s="8" t="s">
        <v>210</v>
      </c>
      <c r="G7" s="8" t="s">
        <v>200</v>
      </c>
      <c r="H7" s="8" t="s">
        <v>397</v>
      </c>
      <c r="I7" s="8" t="s">
        <v>55</v>
      </c>
      <c r="J7" s="8" t="s">
        <v>398</v>
      </c>
      <c r="K7" s="8">
        <v>655.5</v>
      </c>
      <c r="L7" s="8" t="s">
        <v>399</v>
      </c>
    </row>
    <row r="8" spans="1:12" x14ac:dyDescent="0.2">
      <c r="A8" s="8" t="s">
        <v>400</v>
      </c>
      <c r="B8" s="8" t="s">
        <v>378</v>
      </c>
      <c r="C8" s="8" t="s">
        <v>218</v>
      </c>
      <c r="D8" s="8" t="s">
        <v>218</v>
      </c>
      <c r="E8" s="8" t="s">
        <v>401</v>
      </c>
      <c r="F8" s="8" t="s">
        <v>216</v>
      </c>
      <c r="G8" s="8" t="s">
        <v>217</v>
      </c>
      <c r="H8" s="8" t="s">
        <v>402</v>
      </c>
      <c r="I8" s="8" t="s">
        <v>55</v>
      </c>
      <c r="J8" s="8" t="s">
        <v>403</v>
      </c>
      <c r="K8" s="8">
        <v>0.48</v>
      </c>
      <c r="L8" s="8" t="s">
        <v>404</v>
      </c>
    </row>
    <row r="9" spans="1:12" x14ac:dyDescent="0.2">
      <c r="A9" s="8" t="s">
        <v>400</v>
      </c>
      <c r="B9" s="8" t="s">
        <v>383</v>
      </c>
      <c r="C9" s="8" t="s">
        <v>219</v>
      </c>
      <c r="D9" s="8" t="s">
        <v>219</v>
      </c>
      <c r="E9" s="8" t="s">
        <v>401</v>
      </c>
      <c r="F9" s="8" t="s">
        <v>216</v>
      </c>
      <c r="G9" s="8" t="s">
        <v>217</v>
      </c>
      <c r="H9" s="8" t="s">
        <v>405</v>
      </c>
      <c r="I9" s="8" t="s">
        <v>55</v>
      </c>
      <c r="J9" s="8" t="s">
        <v>403</v>
      </c>
      <c r="K9" s="8">
        <v>0.3</v>
      </c>
      <c r="L9" s="8" t="s">
        <v>406</v>
      </c>
    </row>
    <row r="10" spans="1:12" x14ac:dyDescent="0.2">
      <c r="A10" s="8" t="s">
        <v>377</v>
      </c>
      <c r="B10" s="8" t="s">
        <v>407</v>
      </c>
      <c r="C10" s="8" t="s">
        <v>17</v>
      </c>
      <c r="D10" s="8" t="s">
        <v>408</v>
      </c>
      <c r="E10" s="8" t="s">
        <v>379</v>
      </c>
      <c r="F10" s="8" t="s">
        <v>199</v>
      </c>
      <c r="G10" s="8" t="s">
        <v>200</v>
      </c>
      <c r="H10" s="8" t="s">
        <v>409</v>
      </c>
      <c r="I10" s="8" t="s">
        <v>55</v>
      </c>
      <c r="J10" s="8" t="s">
        <v>410</v>
      </c>
      <c r="K10" s="8">
        <v>0.375</v>
      </c>
      <c r="L10" s="8" t="s">
        <v>411</v>
      </c>
    </row>
    <row r="11" spans="1:12" x14ac:dyDescent="0.2">
      <c r="A11" s="8" t="s">
        <v>377</v>
      </c>
      <c r="B11" s="8" t="s">
        <v>407</v>
      </c>
      <c r="C11" s="8" t="s">
        <v>203</v>
      </c>
      <c r="D11" s="8" t="s">
        <v>412</v>
      </c>
      <c r="E11" s="8" t="s">
        <v>379</v>
      </c>
      <c r="F11" s="8" t="s">
        <v>199</v>
      </c>
      <c r="G11" s="8" t="s">
        <v>200</v>
      </c>
      <c r="H11" s="8" t="s">
        <v>413</v>
      </c>
      <c r="I11" s="8" t="s">
        <v>55</v>
      </c>
      <c r="J11" s="8" t="s">
        <v>388</v>
      </c>
      <c r="K11" s="8">
        <v>3.1</v>
      </c>
      <c r="L11" s="8" t="s">
        <v>414</v>
      </c>
    </row>
    <row r="12" spans="1:12" x14ac:dyDescent="0.2">
      <c r="A12" s="8" t="s">
        <v>392</v>
      </c>
      <c r="B12" s="8" t="s">
        <v>407</v>
      </c>
      <c r="C12" s="8" t="s">
        <v>207</v>
      </c>
      <c r="D12" s="8" t="s">
        <v>415</v>
      </c>
      <c r="E12" s="8" t="s">
        <v>393</v>
      </c>
      <c r="F12" s="8" t="s">
        <v>210</v>
      </c>
      <c r="G12" s="8" t="s">
        <v>200</v>
      </c>
      <c r="H12" s="8" t="s">
        <v>416</v>
      </c>
      <c r="I12" s="8" t="s">
        <v>55</v>
      </c>
      <c r="J12" s="8" t="s">
        <v>395</v>
      </c>
      <c r="K12" s="8">
        <v>315</v>
      </c>
      <c r="L12" s="8" t="s">
        <v>417</v>
      </c>
    </row>
    <row r="13" spans="1:12" x14ac:dyDescent="0.2">
      <c r="A13" s="8" t="s">
        <v>400</v>
      </c>
      <c r="B13" s="8" t="s">
        <v>407</v>
      </c>
      <c r="C13" s="8" t="s">
        <v>213</v>
      </c>
      <c r="D13" s="8" t="s">
        <v>418</v>
      </c>
      <c r="E13" s="8" t="s">
        <v>401</v>
      </c>
      <c r="F13" s="8" t="s">
        <v>216</v>
      </c>
      <c r="G13" s="8" t="s">
        <v>217</v>
      </c>
      <c r="H13" s="8" t="s">
        <v>419</v>
      </c>
      <c r="I13" s="8" t="s">
        <v>55</v>
      </c>
      <c r="J13" s="8" t="s">
        <v>403</v>
      </c>
      <c r="K13" s="8">
        <v>0.4</v>
      </c>
      <c r="L13" s="8" t="s">
        <v>420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6A5AF"/>
  </sheetPr>
  <dimension ref="A1:Q30"/>
  <sheetViews>
    <sheetView workbookViewId="0">
      <pane xSplit="6" ySplit="1" topLeftCell="H2" activePane="bottomRight" state="frozen"/>
      <selection pane="topRight"/>
      <selection pane="bottomLeft"/>
      <selection pane="bottomRight" activeCell="J2" sqref="J2"/>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19.6640625" customWidth="1"/>
    <col min="7" max="7" width="60" customWidth="1"/>
    <col min="8" max="8" width="14" customWidth="1"/>
    <col min="9" max="10" width="9" customWidth="1"/>
    <col min="11" max="12" width="13" customWidth="1"/>
    <col min="13" max="13" width="17" customWidth="1"/>
    <col min="14" max="14" width="10.33203125" customWidth="1"/>
    <col min="15" max="15" width="13" customWidth="1"/>
    <col min="16" max="16" width="14.1640625" customWidth="1"/>
  </cols>
  <sheetData>
    <row r="1" spans="1:1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2">
      <c r="A2" s="6" t="s">
        <v>203</v>
      </c>
      <c r="B2" s="6" t="s">
        <v>18</v>
      </c>
      <c r="C2" s="6" t="s">
        <v>19</v>
      </c>
      <c r="D2" s="6" t="s">
        <v>20</v>
      </c>
      <c r="E2" s="6"/>
      <c r="F2" s="6" t="s">
        <v>604</v>
      </c>
      <c r="G2" s="6" t="s">
        <v>605</v>
      </c>
      <c r="H2" s="6" t="s">
        <v>606</v>
      </c>
      <c r="I2" s="19">
        <v>550</v>
      </c>
      <c r="J2" s="19">
        <f>K2*0.75</f>
        <v>412.5</v>
      </c>
      <c r="K2" s="19">
        <v>550</v>
      </c>
      <c r="L2" s="19"/>
      <c r="M2" s="6" t="s">
        <v>24</v>
      </c>
      <c r="N2" s="6"/>
      <c r="O2" s="6" t="s">
        <v>607</v>
      </c>
      <c r="P2" s="6" t="s">
        <v>31</v>
      </c>
      <c r="Q2" s="6" t="s">
        <v>1123</v>
      </c>
    </row>
    <row r="3" spans="1:17" x14ac:dyDescent="0.2">
      <c r="A3" s="6" t="s">
        <v>203</v>
      </c>
      <c r="B3" s="6" t="s">
        <v>18</v>
      </c>
      <c r="C3" s="6" t="s">
        <v>19</v>
      </c>
      <c r="D3" s="6" t="s">
        <v>20</v>
      </c>
      <c r="E3" s="6"/>
      <c r="F3" s="6" t="s">
        <v>608</v>
      </c>
      <c r="G3" s="6" t="s">
        <v>609</v>
      </c>
      <c r="H3" s="6" t="s">
        <v>610</v>
      </c>
      <c r="I3" s="19">
        <v>5.7000000000000002E-3</v>
      </c>
      <c r="J3" s="19">
        <v>4.7999999999999996E-3</v>
      </c>
      <c r="K3" s="19">
        <v>1.6E-2</v>
      </c>
      <c r="L3" s="19"/>
      <c r="M3" s="6" t="s">
        <v>24</v>
      </c>
      <c r="N3" s="6"/>
      <c r="O3" s="6" t="s">
        <v>611</v>
      </c>
      <c r="P3" s="6" t="s">
        <v>26</v>
      </c>
      <c r="Q3" s="6" t="s">
        <v>612</v>
      </c>
    </row>
    <row r="4" spans="1:17" x14ac:dyDescent="0.2">
      <c r="A4" s="6" t="s">
        <v>203</v>
      </c>
      <c r="B4" s="6" t="s">
        <v>18</v>
      </c>
      <c r="C4" s="6" t="s">
        <v>38</v>
      </c>
      <c r="D4" s="19" t="s">
        <v>535</v>
      </c>
      <c r="E4" s="19" t="s">
        <v>47</v>
      </c>
      <c r="F4" s="6" t="s">
        <v>41</v>
      </c>
      <c r="G4" s="16" t="s">
        <v>48</v>
      </c>
      <c r="H4" s="6" t="s">
        <v>43</v>
      </c>
      <c r="I4" s="19">
        <v>42</v>
      </c>
      <c r="J4" s="19">
        <v>15</v>
      </c>
      <c r="K4" s="19">
        <v>50</v>
      </c>
      <c r="L4" s="19"/>
      <c r="M4" s="6" t="s">
        <v>24</v>
      </c>
      <c r="N4" s="6"/>
      <c r="O4" s="6" t="s">
        <v>613</v>
      </c>
      <c r="P4" s="6" t="s">
        <v>26</v>
      </c>
      <c r="Q4" s="6" t="s">
        <v>614</v>
      </c>
    </row>
    <row r="5" spans="1:17" x14ac:dyDescent="0.2">
      <c r="A5" s="6" t="s">
        <v>203</v>
      </c>
      <c r="B5" s="6" t="s">
        <v>18</v>
      </c>
      <c r="C5" s="6" t="s">
        <v>38</v>
      </c>
      <c r="D5" s="19" t="s">
        <v>615</v>
      </c>
      <c r="E5" s="19" t="s">
        <v>47</v>
      </c>
      <c r="F5" s="6" t="s">
        <v>41</v>
      </c>
      <c r="G5" s="16" t="s">
        <v>48</v>
      </c>
      <c r="H5" s="6" t="s">
        <v>43</v>
      </c>
      <c r="I5" s="19">
        <v>58</v>
      </c>
      <c r="J5" s="19">
        <v>50</v>
      </c>
      <c r="K5" s="19">
        <v>85</v>
      </c>
      <c r="L5" s="19"/>
      <c r="M5" s="6" t="s">
        <v>24</v>
      </c>
      <c r="N5" s="6"/>
      <c r="O5" s="6" t="s">
        <v>616</v>
      </c>
      <c r="P5" s="6" t="s">
        <v>26</v>
      </c>
      <c r="Q5" s="6" t="s">
        <v>617</v>
      </c>
    </row>
    <row r="6" spans="1:17" x14ac:dyDescent="0.2">
      <c r="A6" s="6" t="s">
        <v>203</v>
      </c>
      <c r="B6" s="6" t="s">
        <v>51</v>
      </c>
      <c r="C6" s="6" t="s">
        <v>38</v>
      </c>
      <c r="D6" s="6" t="s">
        <v>349</v>
      </c>
      <c r="E6" s="6"/>
      <c r="F6" s="6" t="s">
        <v>53</v>
      </c>
      <c r="G6" s="16" t="s">
        <v>54</v>
      </c>
      <c r="H6" s="6" t="s">
        <v>55</v>
      </c>
      <c r="I6" s="6">
        <v>1</v>
      </c>
      <c r="J6" s="6">
        <f>I6*0.8</f>
        <v>0.8</v>
      </c>
      <c r="K6" s="6">
        <f>I6*1.2</f>
        <v>1.2</v>
      </c>
      <c r="L6" s="6">
        <v>5</v>
      </c>
      <c r="M6" s="6" t="s">
        <v>24</v>
      </c>
      <c r="N6" s="6"/>
      <c r="O6" s="6" t="s">
        <v>618</v>
      </c>
      <c r="P6" s="6" t="s">
        <v>31</v>
      </c>
      <c r="Q6" s="6" t="s">
        <v>619</v>
      </c>
    </row>
    <row r="7" spans="1:17" x14ac:dyDescent="0.2">
      <c r="A7" s="6" t="s">
        <v>203</v>
      </c>
      <c r="B7" s="6" t="s">
        <v>51</v>
      </c>
      <c r="C7" s="6" t="s">
        <v>38</v>
      </c>
      <c r="D7" s="6" t="s">
        <v>349</v>
      </c>
      <c r="E7" s="6"/>
      <c r="F7" s="6" t="s">
        <v>58</v>
      </c>
      <c r="G7" s="16" t="s">
        <v>59</v>
      </c>
      <c r="H7" s="6" t="s">
        <v>60</v>
      </c>
      <c r="I7" s="6">
        <v>5.0000000000000001E-3</v>
      </c>
      <c r="J7" s="6">
        <f t="shared" ref="J7:J30" si="0">I7*0.8</f>
        <v>4.0000000000000001E-3</v>
      </c>
      <c r="K7" s="6">
        <f t="shared" ref="K7:K30" si="1">I7*1.2</f>
        <v>6.0000000000000001E-3</v>
      </c>
      <c r="L7" s="6">
        <v>0.03</v>
      </c>
      <c r="M7" s="6" t="s">
        <v>24</v>
      </c>
      <c r="N7" s="6"/>
      <c r="O7" s="6" t="s">
        <v>620</v>
      </c>
      <c r="P7" s="6" t="s">
        <v>31</v>
      </c>
      <c r="Q7" s="6" t="s">
        <v>621</v>
      </c>
    </row>
    <row r="8" spans="1:17" x14ac:dyDescent="0.2">
      <c r="A8" s="6" t="s">
        <v>203</v>
      </c>
      <c r="B8" s="6" t="s">
        <v>51</v>
      </c>
      <c r="C8" s="6" t="s">
        <v>38</v>
      </c>
      <c r="D8" s="6" t="s">
        <v>349</v>
      </c>
      <c r="E8" s="6"/>
      <c r="F8" s="6" t="s">
        <v>63</v>
      </c>
      <c r="G8" s="16" t="s">
        <v>64</v>
      </c>
      <c r="H8" s="6" t="s">
        <v>65</v>
      </c>
      <c r="I8" s="6">
        <v>4.0999999999999996</v>
      </c>
      <c r="J8" s="6">
        <f t="shared" si="0"/>
        <v>3.28</v>
      </c>
      <c r="K8" s="6">
        <f t="shared" si="1"/>
        <v>4.919999999999999</v>
      </c>
      <c r="L8" s="6">
        <v>10.3</v>
      </c>
      <c r="M8" s="6" t="s">
        <v>24</v>
      </c>
      <c r="N8" s="6"/>
      <c r="O8" s="6" t="s">
        <v>622</v>
      </c>
      <c r="P8" s="6" t="s">
        <v>31</v>
      </c>
      <c r="Q8" s="6" t="s">
        <v>623</v>
      </c>
    </row>
    <row r="9" spans="1:17" x14ac:dyDescent="0.2">
      <c r="A9" s="6" t="s">
        <v>203</v>
      </c>
      <c r="B9" s="6" t="s">
        <v>51</v>
      </c>
      <c r="C9" s="6" t="s">
        <v>38</v>
      </c>
      <c r="D9" s="6" t="s">
        <v>349</v>
      </c>
      <c r="E9" s="6"/>
      <c r="F9" s="6" t="s">
        <v>68</v>
      </c>
      <c r="G9" s="16" t="s">
        <v>69</v>
      </c>
      <c r="H9" s="6" t="s">
        <v>70</v>
      </c>
      <c r="I9" s="6">
        <v>10000</v>
      </c>
      <c r="J9" s="6">
        <f t="shared" si="0"/>
        <v>8000</v>
      </c>
      <c r="K9" s="6">
        <f t="shared" si="1"/>
        <v>12000</v>
      </c>
      <c r="L9" s="6">
        <v>25000</v>
      </c>
      <c r="M9" s="6" t="s">
        <v>24</v>
      </c>
      <c r="N9" s="6"/>
      <c r="O9" s="6" t="s">
        <v>624</v>
      </c>
      <c r="P9" s="6" t="s">
        <v>31</v>
      </c>
      <c r="Q9" s="6" t="s">
        <v>625</v>
      </c>
    </row>
    <row r="10" spans="1:17" x14ac:dyDescent="0.2">
      <c r="A10" s="6" t="s">
        <v>203</v>
      </c>
      <c r="B10" s="6" t="s">
        <v>51</v>
      </c>
      <c r="C10" s="6" t="s">
        <v>38</v>
      </c>
      <c r="D10" s="6" t="s">
        <v>349</v>
      </c>
      <c r="E10" s="6"/>
      <c r="F10" s="6" t="s">
        <v>73</v>
      </c>
      <c r="G10" s="16" t="s">
        <v>74</v>
      </c>
      <c r="H10" s="6" t="s">
        <v>43</v>
      </c>
      <c r="I10" s="6">
        <v>100</v>
      </c>
      <c r="J10" s="6">
        <f t="shared" si="0"/>
        <v>80</v>
      </c>
      <c r="K10" s="6">
        <f t="shared" si="1"/>
        <v>120</v>
      </c>
      <c r="L10" s="6"/>
      <c r="M10" s="6" t="s">
        <v>24</v>
      </c>
      <c r="N10" s="6"/>
      <c r="O10" s="6" t="s">
        <v>626</v>
      </c>
      <c r="P10" s="6" t="s">
        <v>31</v>
      </c>
      <c r="Q10" s="6" t="s">
        <v>627</v>
      </c>
    </row>
    <row r="11" spans="1:17" x14ac:dyDescent="0.2">
      <c r="A11" s="6" t="s">
        <v>203</v>
      </c>
      <c r="B11" s="6" t="s">
        <v>51</v>
      </c>
      <c r="C11" s="6" t="s">
        <v>38</v>
      </c>
      <c r="D11" s="6" t="s">
        <v>349</v>
      </c>
      <c r="E11" s="6"/>
      <c r="F11" s="6" t="s">
        <v>77</v>
      </c>
      <c r="G11" s="16" t="s">
        <v>78</v>
      </c>
      <c r="H11" s="6" t="s">
        <v>23</v>
      </c>
      <c r="I11" s="6" t="s">
        <v>47</v>
      </c>
      <c r="J11" s="6"/>
      <c r="K11" s="6"/>
      <c r="L11" s="6"/>
      <c r="M11" s="6" t="s">
        <v>79</v>
      </c>
      <c r="N11" s="6" t="s">
        <v>80</v>
      </c>
      <c r="O11" s="6" t="s">
        <v>628</v>
      </c>
      <c r="P11" s="6" t="s">
        <v>31</v>
      </c>
      <c r="Q11" s="6" t="s">
        <v>629</v>
      </c>
    </row>
    <row r="12" spans="1:17" x14ac:dyDescent="0.2">
      <c r="A12" s="6" t="s">
        <v>203</v>
      </c>
      <c r="B12" s="6" t="s">
        <v>51</v>
      </c>
      <c r="C12" s="6" t="s">
        <v>38</v>
      </c>
      <c r="D12" s="6" t="s">
        <v>352</v>
      </c>
      <c r="E12" s="6"/>
      <c r="F12" s="6" t="s">
        <v>53</v>
      </c>
      <c r="G12" s="16" t="s">
        <v>54</v>
      </c>
      <c r="H12" s="6" t="s">
        <v>55</v>
      </c>
      <c r="I12" s="6">
        <v>1150</v>
      </c>
      <c r="J12" s="6">
        <f t="shared" si="0"/>
        <v>920</v>
      </c>
      <c r="K12" s="6">
        <f t="shared" si="1"/>
        <v>1380</v>
      </c>
      <c r="L12" s="6">
        <v>1150</v>
      </c>
      <c r="M12" s="6" t="s">
        <v>24</v>
      </c>
      <c r="N12" s="6"/>
      <c r="O12" s="6" t="s">
        <v>630</v>
      </c>
      <c r="P12" s="6" t="s">
        <v>31</v>
      </c>
      <c r="Q12" s="6" t="s">
        <v>631</v>
      </c>
    </row>
    <row r="13" spans="1:17" x14ac:dyDescent="0.2">
      <c r="A13" s="6" t="s">
        <v>203</v>
      </c>
      <c r="B13" s="6" t="s">
        <v>51</v>
      </c>
      <c r="C13" s="6" t="s">
        <v>38</v>
      </c>
      <c r="D13" s="6" t="s">
        <v>352</v>
      </c>
      <c r="E13" s="6"/>
      <c r="F13" s="6" t="s">
        <v>58</v>
      </c>
      <c r="G13" s="16" t="s">
        <v>59</v>
      </c>
      <c r="H13" s="6" t="s">
        <v>60</v>
      </c>
      <c r="I13" s="6">
        <v>0.67</v>
      </c>
      <c r="J13" s="6">
        <f t="shared" si="0"/>
        <v>0.53600000000000003</v>
      </c>
      <c r="K13" s="6">
        <f t="shared" si="1"/>
        <v>0.80400000000000005</v>
      </c>
      <c r="L13" s="6">
        <v>0.74</v>
      </c>
      <c r="M13" s="6" t="s">
        <v>24</v>
      </c>
      <c r="N13" s="6"/>
      <c r="O13" s="6" t="s">
        <v>632</v>
      </c>
      <c r="P13" s="6" t="s">
        <v>31</v>
      </c>
      <c r="Q13" s="6" t="s">
        <v>633</v>
      </c>
    </row>
    <row r="14" spans="1:17" x14ac:dyDescent="0.2">
      <c r="A14" s="6" t="s">
        <v>203</v>
      </c>
      <c r="B14" s="6" t="s">
        <v>51</v>
      </c>
      <c r="C14" s="6" t="s">
        <v>38</v>
      </c>
      <c r="D14" s="6" t="s">
        <v>352</v>
      </c>
      <c r="E14" s="6"/>
      <c r="F14" s="6" t="s">
        <v>63</v>
      </c>
      <c r="G14" s="16" t="s">
        <v>64</v>
      </c>
      <c r="H14" s="6" t="s">
        <v>65</v>
      </c>
      <c r="I14" s="6">
        <v>4.0999999999999996</v>
      </c>
      <c r="J14" s="6">
        <f t="shared" si="0"/>
        <v>3.28</v>
      </c>
      <c r="K14" s="6">
        <f t="shared" si="1"/>
        <v>4.919999999999999</v>
      </c>
      <c r="L14" s="6">
        <v>10.3</v>
      </c>
      <c r="M14" s="6" t="s">
        <v>24</v>
      </c>
      <c r="N14" s="6"/>
      <c r="O14" s="6" t="s">
        <v>634</v>
      </c>
      <c r="P14" s="6" t="s">
        <v>31</v>
      </c>
      <c r="Q14" s="6" t="s">
        <v>635</v>
      </c>
    </row>
    <row r="15" spans="1:17" x14ac:dyDescent="0.2">
      <c r="A15" s="6" t="s">
        <v>203</v>
      </c>
      <c r="B15" s="6" t="s">
        <v>51</v>
      </c>
      <c r="C15" s="6" t="s">
        <v>38</v>
      </c>
      <c r="D15" s="6" t="s">
        <v>352</v>
      </c>
      <c r="E15" s="6"/>
      <c r="F15" s="6" t="s">
        <v>68</v>
      </c>
      <c r="G15" s="16" t="s">
        <v>69</v>
      </c>
      <c r="H15" s="6" t="s">
        <v>70</v>
      </c>
      <c r="I15" s="6">
        <v>36000</v>
      </c>
      <c r="J15" s="6">
        <f t="shared" si="0"/>
        <v>28800</v>
      </c>
      <c r="K15" s="6">
        <f t="shared" si="1"/>
        <v>43200</v>
      </c>
      <c r="L15" s="6">
        <v>36000</v>
      </c>
      <c r="M15" s="6" t="s">
        <v>24</v>
      </c>
      <c r="N15" s="6"/>
      <c r="O15" s="6" t="s">
        <v>636</v>
      </c>
      <c r="P15" s="6" t="s">
        <v>31</v>
      </c>
      <c r="Q15" s="6" t="s">
        <v>637</v>
      </c>
    </row>
    <row r="16" spans="1:17" x14ac:dyDescent="0.2">
      <c r="A16" s="6" t="s">
        <v>203</v>
      </c>
      <c r="B16" s="6" t="s">
        <v>51</v>
      </c>
      <c r="C16" s="6" t="s">
        <v>38</v>
      </c>
      <c r="D16" s="6" t="s">
        <v>352</v>
      </c>
      <c r="E16" s="6"/>
      <c r="F16" s="6" t="s">
        <v>73</v>
      </c>
      <c r="G16" s="16" t="s">
        <v>74</v>
      </c>
      <c r="H16" s="6" t="s">
        <v>43</v>
      </c>
      <c r="I16" s="6">
        <v>95</v>
      </c>
      <c r="J16" s="6">
        <f t="shared" si="0"/>
        <v>76</v>
      </c>
      <c r="K16" s="6">
        <f t="shared" si="1"/>
        <v>114</v>
      </c>
      <c r="L16" s="6"/>
      <c r="M16" s="6" t="s">
        <v>24</v>
      </c>
      <c r="N16" s="6"/>
      <c r="O16" s="6" t="s">
        <v>638</v>
      </c>
      <c r="P16" s="6" t="s">
        <v>31</v>
      </c>
      <c r="Q16" s="6" t="s">
        <v>639</v>
      </c>
    </row>
    <row r="17" spans="1:17" x14ac:dyDescent="0.2">
      <c r="A17" s="6" t="s">
        <v>203</v>
      </c>
      <c r="B17" s="6" t="s">
        <v>51</v>
      </c>
      <c r="C17" s="6" t="s">
        <v>38</v>
      </c>
      <c r="D17" s="6" t="s">
        <v>352</v>
      </c>
      <c r="E17" s="6"/>
      <c r="F17" s="6" t="s">
        <v>77</v>
      </c>
      <c r="G17" s="16" t="s">
        <v>78</v>
      </c>
      <c r="H17" s="6" t="s">
        <v>23</v>
      </c>
      <c r="I17" s="6" t="s">
        <v>47</v>
      </c>
      <c r="J17" s="6"/>
      <c r="K17" s="6"/>
      <c r="L17" s="6"/>
      <c r="M17" s="6" t="s">
        <v>79</v>
      </c>
      <c r="N17" s="6" t="s">
        <v>80</v>
      </c>
      <c r="O17" s="6" t="s">
        <v>628</v>
      </c>
      <c r="P17" s="6" t="s">
        <v>31</v>
      </c>
      <c r="Q17" s="6" t="s">
        <v>629</v>
      </c>
    </row>
    <row r="18" spans="1:17" x14ac:dyDescent="0.2">
      <c r="A18" s="6" t="s">
        <v>203</v>
      </c>
      <c r="B18" s="6" t="s">
        <v>51</v>
      </c>
      <c r="C18" s="6" t="s">
        <v>38</v>
      </c>
      <c r="D18" s="6" t="s">
        <v>355</v>
      </c>
      <c r="E18" s="6"/>
      <c r="F18" s="6" t="s">
        <v>53</v>
      </c>
      <c r="G18" s="16" t="s">
        <v>54</v>
      </c>
      <c r="H18" s="6" t="s">
        <v>55</v>
      </c>
      <c r="I18" s="6">
        <v>3000</v>
      </c>
      <c r="J18" s="6">
        <f t="shared" si="0"/>
        <v>2400</v>
      </c>
      <c r="K18" s="6">
        <f t="shared" si="1"/>
        <v>3600</v>
      </c>
      <c r="L18" s="6">
        <v>3000</v>
      </c>
      <c r="M18" s="6" t="s">
        <v>24</v>
      </c>
      <c r="N18" s="6"/>
      <c r="O18" s="6" t="s">
        <v>640</v>
      </c>
      <c r="P18" s="6" t="s">
        <v>31</v>
      </c>
      <c r="Q18" s="6" t="s">
        <v>641</v>
      </c>
    </row>
    <row r="19" spans="1:17" x14ac:dyDescent="0.2">
      <c r="A19" s="6" t="s">
        <v>203</v>
      </c>
      <c r="B19" s="6" t="s">
        <v>51</v>
      </c>
      <c r="C19" s="6" t="s">
        <v>38</v>
      </c>
      <c r="D19" s="6" t="s">
        <v>355</v>
      </c>
      <c r="E19" s="6"/>
      <c r="F19" s="6" t="s">
        <v>58</v>
      </c>
      <c r="G19" s="16" t="s">
        <v>59</v>
      </c>
      <c r="H19" s="6" t="s">
        <v>60</v>
      </c>
      <c r="I19" s="6">
        <v>0.61</v>
      </c>
      <c r="J19" s="6">
        <f t="shared" si="0"/>
        <v>0.48799999999999999</v>
      </c>
      <c r="K19" s="6">
        <f t="shared" si="1"/>
        <v>0.73199999999999998</v>
      </c>
      <c r="L19" s="6">
        <v>0.61</v>
      </c>
      <c r="M19" s="6" t="s">
        <v>24</v>
      </c>
      <c r="N19" s="6"/>
      <c r="O19" s="6" t="s">
        <v>642</v>
      </c>
      <c r="P19" s="6" t="s">
        <v>31</v>
      </c>
      <c r="Q19" s="6" t="s">
        <v>643</v>
      </c>
    </row>
    <row r="20" spans="1:17" x14ac:dyDescent="0.2">
      <c r="A20" s="6" t="s">
        <v>203</v>
      </c>
      <c r="B20" s="6" t="s">
        <v>51</v>
      </c>
      <c r="C20" s="6" t="s">
        <v>38</v>
      </c>
      <c r="D20" s="6" t="s">
        <v>355</v>
      </c>
      <c r="E20" s="6"/>
      <c r="F20" s="6" t="s">
        <v>63</v>
      </c>
      <c r="G20" s="16" t="s">
        <v>64</v>
      </c>
      <c r="H20" s="6" t="s">
        <v>65</v>
      </c>
      <c r="I20" s="6">
        <v>1.4</v>
      </c>
      <c r="J20" s="6">
        <f t="shared" si="0"/>
        <v>1.1199999999999999</v>
      </c>
      <c r="K20" s="6">
        <f t="shared" si="1"/>
        <v>1.68</v>
      </c>
      <c r="L20" s="6">
        <v>1.4</v>
      </c>
      <c r="M20" s="6" t="s">
        <v>24</v>
      </c>
      <c r="N20" s="6"/>
      <c r="O20" s="6" t="s">
        <v>644</v>
      </c>
      <c r="P20" s="6" t="s">
        <v>31</v>
      </c>
      <c r="Q20" s="6" t="s">
        <v>645</v>
      </c>
    </row>
    <row r="21" spans="1:17" x14ac:dyDescent="0.2">
      <c r="A21" s="6" t="s">
        <v>203</v>
      </c>
      <c r="B21" s="6" t="s">
        <v>51</v>
      </c>
      <c r="C21" s="6" t="s">
        <v>38</v>
      </c>
      <c r="D21" s="6" t="s">
        <v>355</v>
      </c>
      <c r="E21" s="6"/>
      <c r="F21" s="6" t="s">
        <v>68</v>
      </c>
      <c r="G21" s="16" t="s">
        <v>69</v>
      </c>
      <c r="H21" s="6" t="s">
        <v>70</v>
      </c>
      <c r="I21" s="6">
        <v>30000</v>
      </c>
      <c r="J21" s="6">
        <f t="shared" si="0"/>
        <v>24000</v>
      </c>
      <c r="K21" s="6">
        <f t="shared" si="1"/>
        <v>36000</v>
      </c>
      <c r="L21" s="6">
        <v>30000</v>
      </c>
      <c r="M21" s="6" t="s">
        <v>24</v>
      </c>
      <c r="N21" s="6"/>
      <c r="O21" s="6" t="s">
        <v>646</v>
      </c>
      <c r="P21" s="6" t="s">
        <v>31</v>
      </c>
      <c r="Q21" s="6" t="s">
        <v>647</v>
      </c>
    </row>
    <row r="22" spans="1:17" x14ac:dyDescent="0.2">
      <c r="A22" s="6" t="s">
        <v>203</v>
      </c>
      <c r="B22" s="6" t="s">
        <v>51</v>
      </c>
      <c r="C22" s="6" t="s">
        <v>38</v>
      </c>
      <c r="D22" s="6" t="s">
        <v>355</v>
      </c>
      <c r="E22" s="6"/>
      <c r="F22" s="6" t="s">
        <v>73</v>
      </c>
      <c r="G22" s="16" t="s">
        <v>74</v>
      </c>
      <c r="H22" s="6" t="s">
        <v>43</v>
      </c>
      <c r="I22" s="6">
        <v>100</v>
      </c>
      <c r="J22" s="6">
        <f t="shared" si="0"/>
        <v>80</v>
      </c>
      <c r="K22" s="6">
        <f t="shared" si="1"/>
        <v>120</v>
      </c>
      <c r="L22" s="6"/>
      <c r="M22" s="6" t="s">
        <v>24</v>
      </c>
      <c r="N22" s="6"/>
      <c r="O22" s="6" t="s">
        <v>648</v>
      </c>
      <c r="P22" s="6" t="s">
        <v>31</v>
      </c>
      <c r="Q22" s="6" t="s">
        <v>649</v>
      </c>
    </row>
    <row r="23" spans="1:17" x14ac:dyDescent="0.2">
      <c r="A23" s="6" t="s">
        <v>203</v>
      </c>
      <c r="B23" s="6" t="s">
        <v>51</v>
      </c>
      <c r="C23" s="6" t="s">
        <v>38</v>
      </c>
      <c r="D23" s="6" t="s">
        <v>355</v>
      </c>
      <c r="E23" s="6"/>
      <c r="F23" s="6" t="s">
        <v>77</v>
      </c>
      <c r="G23" s="16" t="s">
        <v>78</v>
      </c>
      <c r="H23" s="6" t="s">
        <v>23</v>
      </c>
      <c r="I23" s="6" t="s">
        <v>47</v>
      </c>
      <c r="J23" s="6"/>
      <c r="K23" s="6"/>
      <c r="L23" s="6"/>
      <c r="M23" s="6" t="s">
        <v>79</v>
      </c>
      <c r="N23" s="6" t="s">
        <v>80</v>
      </c>
      <c r="O23" s="6" t="s">
        <v>628</v>
      </c>
      <c r="P23" s="6" t="s">
        <v>31</v>
      </c>
      <c r="Q23" s="6" t="s">
        <v>629</v>
      </c>
    </row>
    <row r="24" spans="1:17" x14ac:dyDescent="0.2">
      <c r="A24" s="6" t="s">
        <v>203</v>
      </c>
      <c r="B24" s="6" t="s">
        <v>109</v>
      </c>
      <c r="C24" s="6" t="s">
        <v>110</v>
      </c>
      <c r="D24" s="6" t="s">
        <v>20</v>
      </c>
      <c r="E24" s="6"/>
      <c r="F24" s="6" t="s">
        <v>111</v>
      </c>
      <c r="G24" s="16" t="s">
        <v>112</v>
      </c>
      <c r="H24" s="6" t="s">
        <v>113</v>
      </c>
      <c r="I24" s="6">
        <v>50</v>
      </c>
      <c r="J24" s="6">
        <f t="shared" si="0"/>
        <v>40</v>
      </c>
      <c r="K24" s="6">
        <f t="shared" si="1"/>
        <v>60</v>
      </c>
      <c r="L24" s="6"/>
      <c r="M24" s="6" t="s">
        <v>24</v>
      </c>
      <c r="N24" s="6"/>
      <c r="O24" s="6" t="s">
        <v>650</v>
      </c>
      <c r="P24" s="6" t="s">
        <v>31</v>
      </c>
      <c r="Q24" s="6" t="s">
        <v>651</v>
      </c>
    </row>
    <row r="25" spans="1:17" x14ac:dyDescent="0.2">
      <c r="A25" s="6" t="s">
        <v>203</v>
      </c>
      <c r="B25" s="6" t="s">
        <v>109</v>
      </c>
      <c r="C25" s="6" t="s">
        <v>116</v>
      </c>
      <c r="D25" s="6" t="s">
        <v>117</v>
      </c>
      <c r="E25" s="6" t="s">
        <v>118</v>
      </c>
      <c r="F25" s="6" t="s">
        <v>119</v>
      </c>
      <c r="G25" s="16" t="s">
        <v>120</v>
      </c>
      <c r="H25" s="6" t="s">
        <v>43</v>
      </c>
      <c r="I25" s="6">
        <v>0</v>
      </c>
      <c r="J25" s="6">
        <f t="shared" si="0"/>
        <v>0</v>
      </c>
      <c r="K25" s="6">
        <f t="shared" si="1"/>
        <v>0</v>
      </c>
      <c r="L25" s="6">
        <v>0</v>
      </c>
      <c r="M25" s="6" t="s">
        <v>44</v>
      </c>
      <c r="N25" s="6"/>
      <c r="O25" s="6" t="s">
        <v>652</v>
      </c>
      <c r="P25" s="6" t="s">
        <v>31</v>
      </c>
      <c r="Q25" s="6" t="s">
        <v>653</v>
      </c>
    </row>
    <row r="26" spans="1:17" x14ac:dyDescent="0.2">
      <c r="A26" s="6" t="s">
        <v>203</v>
      </c>
      <c r="B26" s="6" t="s">
        <v>109</v>
      </c>
      <c r="C26" s="6" t="s">
        <v>116</v>
      </c>
      <c r="D26" s="6" t="s">
        <v>117</v>
      </c>
      <c r="E26" s="6" t="s">
        <v>123</v>
      </c>
      <c r="F26" s="6" t="s">
        <v>119</v>
      </c>
      <c r="G26" s="16" t="s">
        <v>521</v>
      </c>
      <c r="H26" s="6" t="s">
        <v>43</v>
      </c>
      <c r="I26" s="6">
        <v>5</v>
      </c>
      <c r="J26" s="6">
        <f t="shared" si="0"/>
        <v>4</v>
      </c>
      <c r="K26" s="6">
        <f t="shared" si="1"/>
        <v>6</v>
      </c>
      <c r="L26" s="6">
        <v>15</v>
      </c>
      <c r="M26" s="6" t="s">
        <v>24</v>
      </c>
      <c r="N26" s="6"/>
      <c r="O26" s="6" t="s">
        <v>652</v>
      </c>
      <c r="P26" s="6" t="s">
        <v>31</v>
      </c>
      <c r="Q26" s="6" t="s">
        <v>654</v>
      </c>
    </row>
    <row r="27" spans="1:17" x14ac:dyDescent="0.2">
      <c r="A27" s="6" t="s">
        <v>203</v>
      </c>
      <c r="B27" s="6" t="s">
        <v>109</v>
      </c>
      <c r="C27" s="6" t="s">
        <v>116</v>
      </c>
      <c r="D27" s="6" t="s">
        <v>117</v>
      </c>
      <c r="E27" s="6" t="s">
        <v>126</v>
      </c>
      <c r="F27" s="6" t="s">
        <v>119</v>
      </c>
      <c r="G27" s="16" t="s">
        <v>523</v>
      </c>
      <c r="H27" s="6" t="s">
        <v>43</v>
      </c>
      <c r="I27" s="6">
        <v>0</v>
      </c>
      <c r="J27" s="6">
        <f t="shared" si="0"/>
        <v>0</v>
      </c>
      <c r="K27" s="6">
        <f t="shared" si="1"/>
        <v>0</v>
      </c>
      <c r="L27" s="6">
        <v>0</v>
      </c>
      <c r="M27" s="6" t="s">
        <v>44</v>
      </c>
      <c r="N27" s="6"/>
      <c r="O27" s="6" t="s">
        <v>652</v>
      </c>
      <c r="P27" s="6" t="s">
        <v>31</v>
      </c>
      <c r="Q27" s="6" t="s">
        <v>655</v>
      </c>
    </row>
    <row r="28" spans="1:17" x14ac:dyDescent="0.2">
      <c r="A28" s="6" t="s">
        <v>203</v>
      </c>
      <c r="B28" s="6" t="s">
        <v>109</v>
      </c>
      <c r="C28" s="6" t="s">
        <v>116</v>
      </c>
      <c r="D28" s="6" t="s">
        <v>117</v>
      </c>
      <c r="E28" s="6" t="s">
        <v>129</v>
      </c>
      <c r="F28" s="6" t="s">
        <v>119</v>
      </c>
      <c r="G28" s="16" t="s">
        <v>525</v>
      </c>
      <c r="H28" s="6" t="s">
        <v>43</v>
      </c>
      <c r="I28" s="6">
        <v>85</v>
      </c>
      <c r="J28" s="6">
        <f t="shared" si="0"/>
        <v>68</v>
      </c>
      <c r="K28" s="6">
        <f t="shared" si="1"/>
        <v>102</v>
      </c>
      <c r="L28" s="6">
        <v>80</v>
      </c>
      <c r="M28" s="6" t="s">
        <v>24</v>
      </c>
      <c r="N28" s="6"/>
      <c r="O28" s="6" t="s">
        <v>652</v>
      </c>
      <c r="P28" s="6" t="s">
        <v>31</v>
      </c>
      <c r="Q28" s="6" t="s">
        <v>656</v>
      </c>
    </row>
    <row r="29" spans="1:17" x14ac:dyDescent="0.2">
      <c r="A29" s="6" t="s">
        <v>203</v>
      </c>
      <c r="B29" s="6" t="s">
        <v>109</v>
      </c>
      <c r="C29" s="6" t="s">
        <v>116</v>
      </c>
      <c r="D29" s="6" t="s">
        <v>117</v>
      </c>
      <c r="E29" s="6" t="s">
        <v>132</v>
      </c>
      <c r="F29" s="6" t="s">
        <v>119</v>
      </c>
      <c r="G29" s="16" t="s">
        <v>133</v>
      </c>
      <c r="H29" s="6" t="s">
        <v>43</v>
      </c>
      <c r="I29" s="6">
        <v>10</v>
      </c>
      <c r="J29" s="6">
        <f t="shared" si="0"/>
        <v>8</v>
      </c>
      <c r="K29" s="6">
        <f t="shared" si="1"/>
        <v>12</v>
      </c>
      <c r="L29" s="6">
        <v>5</v>
      </c>
      <c r="M29" s="6" t="s">
        <v>24</v>
      </c>
      <c r="N29" s="6"/>
      <c r="O29" s="6" t="s">
        <v>652</v>
      </c>
      <c r="P29" s="6" t="s">
        <v>31</v>
      </c>
      <c r="Q29" s="6" t="s">
        <v>657</v>
      </c>
    </row>
    <row r="30" spans="1:17" x14ac:dyDescent="0.2">
      <c r="A30" s="6" t="s">
        <v>203</v>
      </c>
      <c r="B30" s="6" t="s">
        <v>135</v>
      </c>
      <c r="C30" s="6" t="s">
        <v>136</v>
      </c>
      <c r="D30" s="6" t="s">
        <v>20</v>
      </c>
      <c r="E30" s="6"/>
      <c r="F30" s="6" t="s">
        <v>135</v>
      </c>
      <c r="G30" s="16" t="s">
        <v>137</v>
      </c>
      <c r="H30" s="6" t="s">
        <v>138</v>
      </c>
      <c r="I30" s="6" t="s">
        <v>139</v>
      </c>
      <c r="J30" s="6"/>
      <c r="K30" s="6"/>
      <c r="L30" s="6"/>
      <c r="M30" s="6" t="s">
        <v>79</v>
      </c>
      <c r="N30" s="6"/>
      <c r="O30" s="6" t="s">
        <v>658</v>
      </c>
      <c r="P30" s="6" t="s">
        <v>31</v>
      </c>
      <c r="Q30" s="6" t="s">
        <v>659</v>
      </c>
    </row>
  </sheetData>
  <conditionalFormatting sqref="I2:I245">
    <cfRule type="expression" dxfId="43" priority="3">
      <formula>AND($F2&lt;&gt;"",$I2="")</formula>
    </cfRule>
  </conditionalFormatting>
  <conditionalFormatting sqref="I2:P245">
    <cfRule type="expression" dxfId="1" priority="1">
      <formula>$P2="placeholder"</formula>
    </cfRule>
  </conditionalFormatting>
  <conditionalFormatting sqref="J2:K245">
    <cfRule type="expression" dxfId="0" priority="2">
      <formula>AND(OR($M2="triangular",$M2="uniform"),OR($J2="",$K2=""))</formula>
    </cfRule>
  </conditionalFormatting>
  <dataValidations count="4">
    <dataValidation type="list" allowBlank="1" showErrorMessage="1" sqref="B2:B245" xr:uid="{00000000-0002-0000-0900-000000000000}">
      <formula1>"design,manufacturing,circularity,location"</formula1>
    </dataValidation>
    <dataValidation type="list" allowBlank="1" showErrorMessage="1" sqref="C2:C245" xr:uid="{00000000-0002-0000-0900-000001000000}">
      <formula1>"product size,production,repair,use,end-of-life,general"</formula1>
    </dataValidation>
    <dataValidation type="list" allowBlank="1" showErrorMessage="1" sqref="M2:M245" xr:uid="{00000000-0002-0000-0900-000002000000}">
      <formula1>"fixed,triangular,uniform,choice,combination"</formula1>
    </dataValidation>
    <dataValidation type="list" allowBlank="1" showErrorMessage="1" sqref="P2:P245" xr:uid="{00000000-0002-0000-09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55"/>
  <sheetViews>
    <sheetView zoomScale="70" zoomScaleNormal="70" workbookViewId="0">
      <pane xSplit="6" ySplit="1" topLeftCell="G2" activePane="bottomRight" state="frozen"/>
      <selection pane="topRight"/>
      <selection pane="bottomLeft"/>
      <selection pane="bottomRight" activeCell="J30" sqref="J30"/>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2">
      <c r="A2" s="6" t="s">
        <v>207</v>
      </c>
      <c r="B2" s="6" t="s">
        <v>18</v>
      </c>
      <c r="C2" s="6" t="s">
        <v>19</v>
      </c>
      <c r="D2" s="6" t="s">
        <v>20</v>
      </c>
      <c r="E2" s="6"/>
      <c r="F2" s="6" t="s">
        <v>421</v>
      </c>
      <c r="G2" s="6" t="s">
        <v>422</v>
      </c>
      <c r="H2" s="6" t="s">
        <v>200</v>
      </c>
      <c r="I2" s="6">
        <v>3</v>
      </c>
      <c r="J2" s="20">
        <v>3</v>
      </c>
      <c r="K2" s="20">
        <v>3</v>
      </c>
      <c r="L2" s="6"/>
      <c r="M2" s="6" t="s">
        <v>44</v>
      </c>
      <c r="N2" s="6"/>
      <c r="O2" s="6" t="s">
        <v>423</v>
      </c>
      <c r="P2" s="6" t="s">
        <v>31</v>
      </c>
      <c r="Q2" s="6" t="s">
        <v>424</v>
      </c>
    </row>
    <row r="3" spans="1:17" x14ac:dyDescent="0.2">
      <c r="A3" s="6" t="s">
        <v>207</v>
      </c>
      <c r="B3" s="6" t="s">
        <v>18</v>
      </c>
      <c r="C3" s="6" t="s">
        <v>19</v>
      </c>
      <c r="D3" s="6" t="s">
        <v>20</v>
      </c>
      <c r="E3" s="6"/>
      <c r="F3" s="6" t="s">
        <v>425</v>
      </c>
      <c r="G3" s="6" t="s">
        <v>426</v>
      </c>
      <c r="H3" s="6" t="s">
        <v>23</v>
      </c>
      <c r="I3" s="18">
        <v>10</v>
      </c>
      <c r="J3" s="21">
        <f>I3*0.8</f>
        <v>8</v>
      </c>
      <c r="K3" s="21">
        <f>I3*1.2</f>
        <v>12</v>
      </c>
      <c r="L3" s="6"/>
      <c r="M3" s="6" t="s">
        <v>24</v>
      </c>
      <c r="N3" s="6"/>
      <c r="O3" s="6" t="s">
        <v>427</v>
      </c>
      <c r="P3" s="6" t="s">
        <v>31</v>
      </c>
      <c r="Q3" s="6" t="s">
        <v>428</v>
      </c>
    </row>
    <row r="4" spans="1:17" x14ac:dyDescent="0.2">
      <c r="A4" s="6" t="s">
        <v>207</v>
      </c>
      <c r="B4" s="6" t="s">
        <v>18</v>
      </c>
      <c r="C4" s="6" t="s">
        <v>19</v>
      </c>
      <c r="D4" s="6" t="s">
        <v>20</v>
      </c>
      <c r="E4" s="6"/>
      <c r="F4" s="6" t="s">
        <v>33</v>
      </c>
      <c r="G4" s="6" t="s">
        <v>429</v>
      </c>
      <c r="H4" s="6" t="s">
        <v>35</v>
      </c>
      <c r="I4" s="18">
        <v>350</v>
      </c>
      <c r="J4" s="21">
        <f>I4*0.8</f>
        <v>280</v>
      </c>
      <c r="K4" s="21">
        <f>I4*1.2</f>
        <v>420</v>
      </c>
      <c r="L4" s="6"/>
      <c r="M4" s="6" t="s">
        <v>24</v>
      </c>
      <c r="N4" s="6"/>
      <c r="O4" s="6" t="s">
        <v>430</v>
      </c>
      <c r="P4" s="6" t="s">
        <v>31</v>
      </c>
      <c r="Q4" s="6" t="s">
        <v>431</v>
      </c>
    </row>
    <row r="5" spans="1:17" x14ac:dyDescent="0.2">
      <c r="A5" s="6" t="s">
        <v>207</v>
      </c>
      <c r="B5" s="6" t="s">
        <v>18</v>
      </c>
      <c r="C5" s="6" t="s">
        <v>38</v>
      </c>
      <c r="D5" s="6" t="s">
        <v>432</v>
      </c>
      <c r="E5" s="6" t="s">
        <v>47</v>
      </c>
      <c r="F5" s="6" t="s">
        <v>41</v>
      </c>
      <c r="G5" s="16" t="s">
        <v>433</v>
      </c>
      <c r="H5" s="6" t="s">
        <v>43</v>
      </c>
      <c r="I5" s="6">
        <v>70</v>
      </c>
      <c r="J5" s="20">
        <v>70</v>
      </c>
      <c r="K5" s="20">
        <v>90</v>
      </c>
      <c r="L5" s="6"/>
      <c r="M5" s="6" t="s">
        <v>24</v>
      </c>
      <c r="N5" s="6"/>
      <c r="O5" s="6" t="s">
        <v>434</v>
      </c>
      <c r="P5" s="6" t="s">
        <v>31</v>
      </c>
      <c r="Q5" s="6" t="s">
        <v>435</v>
      </c>
    </row>
    <row r="6" spans="1:17" x14ac:dyDescent="0.2">
      <c r="A6" s="6" t="s">
        <v>207</v>
      </c>
      <c r="B6" s="6" t="s">
        <v>18</v>
      </c>
      <c r="C6" s="6" t="s">
        <v>38</v>
      </c>
      <c r="D6" s="6" t="s">
        <v>436</v>
      </c>
      <c r="E6" s="6"/>
      <c r="F6" s="6" t="s">
        <v>437</v>
      </c>
      <c r="G6" s="16" t="s">
        <v>438</v>
      </c>
      <c r="H6" s="6" t="s">
        <v>436</v>
      </c>
      <c r="I6" s="6" t="s">
        <v>439</v>
      </c>
      <c r="J6" s="6">
        <v>1</v>
      </c>
      <c r="K6" s="6">
        <v>2</v>
      </c>
      <c r="L6" s="6"/>
      <c r="M6" s="6" t="s">
        <v>440</v>
      </c>
      <c r="N6" s="6" t="s">
        <v>441</v>
      </c>
      <c r="O6" s="6" t="s">
        <v>434</v>
      </c>
      <c r="P6" s="6" t="s">
        <v>31</v>
      </c>
      <c r="Q6" s="6" t="s">
        <v>442</v>
      </c>
    </row>
    <row r="7" spans="1:17" x14ac:dyDescent="0.2">
      <c r="A7" s="6" t="s">
        <v>207</v>
      </c>
      <c r="B7" s="6" t="s">
        <v>18</v>
      </c>
      <c r="C7" s="6" t="s">
        <v>38</v>
      </c>
      <c r="D7" s="6" t="s">
        <v>436</v>
      </c>
      <c r="E7" s="6"/>
      <c r="F7" s="6" t="s">
        <v>443</v>
      </c>
      <c r="G7" s="16" t="s">
        <v>444</v>
      </c>
      <c r="H7" s="6" t="s">
        <v>445</v>
      </c>
      <c r="I7" s="6">
        <v>66.666666666666671</v>
      </c>
      <c r="J7" s="6">
        <v>50</v>
      </c>
      <c r="K7" s="6">
        <v>100</v>
      </c>
      <c r="L7" s="6"/>
      <c r="M7" s="6" t="s">
        <v>24</v>
      </c>
      <c r="N7" s="6"/>
      <c r="O7" s="6" t="s">
        <v>434</v>
      </c>
      <c r="P7" s="6" t="s">
        <v>31</v>
      </c>
      <c r="Q7" s="6" t="s">
        <v>446</v>
      </c>
    </row>
    <row r="8" spans="1:17" x14ac:dyDescent="0.2">
      <c r="A8" s="6" t="s">
        <v>207</v>
      </c>
      <c r="B8" s="6" t="s">
        <v>18</v>
      </c>
      <c r="C8" s="6" t="s">
        <v>447</v>
      </c>
      <c r="D8" s="6" t="s">
        <v>432</v>
      </c>
      <c r="E8" s="6" t="s">
        <v>47</v>
      </c>
      <c r="F8" s="6" t="s">
        <v>41</v>
      </c>
      <c r="G8" s="16" t="s">
        <v>448</v>
      </c>
      <c r="H8" s="6" t="s">
        <v>43</v>
      </c>
      <c r="I8" s="6">
        <v>80</v>
      </c>
      <c r="J8" s="6">
        <v>70</v>
      </c>
      <c r="K8" s="6">
        <v>90</v>
      </c>
      <c r="L8" s="6"/>
      <c r="M8" s="6" t="s">
        <v>24</v>
      </c>
      <c r="N8" s="6"/>
      <c r="O8" s="6" t="s">
        <v>449</v>
      </c>
      <c r="P8" s="6" t="s">
        <v>31</v>
      </c>
      <c r="Q8" s="6" t="s">
        <v>450</v>
      </c>
    </row>
    <row r="9" spans="1:17" x14ac:dyDescent="0.2">
      <c r="A9" s="6" t="s">
        <v>207</v>
      </c>
      <c r="B9" s="6" t="s">
        <v>18</v>
      </c>
      <c r="C9" s="6" t="s">
        <v>447</v>
      </c>
      <c r="D9" s="6" t="s">
        <v>436</v>
      </c>
      <c r="E9" s="6"/>
      <c r="F9" s="6" t="s">
        <v>437</v>
      </c>
      <c r="G9" s="16" t="s">
        <v>451</v>
      </c>
      <c r="H9" s="6" t="s">
        <v>436</v>
      </c>
      <c r="I9" s="6" t="s">
        <v>439</v>
      </c>
      <c r="J9" s="6">
        <v>1</v>
      </c>
      <c r="K9" s="6">
        <v>2</v>
      </c>
      <c r="L9" s="6"/>
      <c r="M9" s="6" t="s">
        <v>440</v>
      </c>
      <c r="N9" s="6" t="s">
        <v>441</v>
      </c>
      <c r="O9" s="6" t="s">
        <v>449</v>
      </c>
      <c r="P9" s="6" t="s">
        <v>31</v>
      </c>
      <c r="Q9" s="6" t="s">
        <v>442</v>
      </c>
    </row>
    <row r="10" spans="1:17" x14ac:dyDescent="0.2">
      <c r="A10" s="6" t="s">
        <v>207</v>
      </c>
      <c r="B10" s="6" t="s">
        <v>18</v>
      </c>
      <c r="C10" s="6" t="s">
        <v>447</v>
      </c>
      <c r="D10" s="6" t="s">
        <v>436</v>
      </c>
      <c r="E10" s="6"/>
      <c r="F10" s="6" t="s">
        <v>443</v>
      </c>
      <c r="G10" s="16" t="s">
        <v>444</v>
      </c>
      <c r="H10" s="6" t="s">
        <v>445</v>
      </c>
      <c r="I10" s="6">
        <v>50</v>
      </c>
      <c r="J10" s="6">
        <v>50</v>
      </c>
      <c r="K10" s="6">
        <v>100</v>
      </c>
      <c r="L10" s="6"/>
      <c r="M10" s="6" t="s">
        <v>24</v>
      </c>
      <c r="N10" s="6"/>
      <c r="O10" s="6" t="s">
        <v>449</v>
      </c>
      <c r="P10" s="6" t="s">
        <v>31</v>
      </c>
      <c r="Q10" s="6" t="s">
        <v>452</v>
      </c>
    </row>
    <row r="11" spans="1:17" x14ac:dyDescent="0.2">
      <c r="A11" s="6" t="s">
        <v>207</v>
      </c>
      <c r="B11" s="6" t="s">
        <v>51</v>
      </c>
      <c r="C11" s="6" t="s">
        <v>38</v>
      </c>
      <c r="D11" s="6" t="s">
        <v>329</v>
      </c>
      <c r="E11" s="6"/>
      <c r="F11" s="6" t="s">
        <v>53</v>
      </c>
      <c r="G11" s="16" t="s">
        <v>54</v>
      </c>
      <c r="H11" s="6" t="s">
        <v>55</v>
      </c>
      <c r="I11" s="19">
        <v>160</v>
      </c>
      <c r="J11" s="21">
        <f>I11*0.8</f>
        <v>128</v>
      </c>
      <c r="K11" s="21">
        <f>I11*1.2</f>
        <v>192</v>
      </c>
      <c r="L11" s="19">
        <v>1500</v>
      </c>
      <c r="M11" s="6" t="s">
        <v>24</v>
      </c>
      <c r="N11" s="6"/>
      <c r="O11" s="6" t="s">
        <v>453</v>
      </c>
      <c r="P11" s="6" t="s">
        <v>26</v>
      </c>
      <c r="Q11" s="6" t="s">
        <v>454</v>
      </c>
    </row>
    <row r="12" spans="1:17" x14ac:dyDescent="0.2">
      <c r="A12" s="6" t="s">
        <v>207</v>
      </c>
      <c r="B12" s="6" t="s">
        <v>51</v>
      </c>
      <c r="C12" s="6" t="s">
        <v>38</v>
      </c>
      <c r="D12" s="6" t="s">
        <v>329</v>
      </c>
      <c r="E12" s="6"/>
      <c r="F12" s="6" t="s">
        <v>58</v>
      </c>
      <c r="G12" s="16" t="s">
        <v>59</v>
      </c>
      <c r="H12" s="6" t="s">
        <v>60</v>
      </c>
      <c r="I12" s="19">
        <v>2</v>
      </c>
      <c r="J12" s="21">
        <f t="shared" ref="J12:J15" si="0">I12*0.8</f>
        <v>1.6</v>
      </c>
      <c r="K12" s="21">
        <f t="shared" ref="K12:K15" si="1">I12*1.2</f>
        <v>2.4</v>
      </c>
      <c r="L12" s="19">
        <v>30</v>
      </c>
      <c r="M12" s="6" t="s">
        <v>24</v>
      </c>
      <c r="N12" s="6"/>
      <c r="O12" s="6" t="s">
        <v>455</v>
      </c>
      <c r="P12" s="6" t="s">
        <v>31</v>
      </c>
      <c r="Q12" s="6" t="s">
        <v>456</v>
      </c>
    </row>
    <row r="13" spans="1:17" x14ac:dyDescent="0.2">
      <c r="A13" s="6" t="s">
        <v>207</v>
      </c>
      <c r="B13" s="6" t="s">
        <v>51</v>
      </c>
      <c r="C13" s="6" t="s">
        <v>38</v>
      </c>
      <c r="D13" s="6" t="s">
        <v>329</v>
      </c>
      <c r="E13" s="6"/>
      <c r="F13" s="6" t="s">
        <v>63</v>
      </c>
      <c r="G13" s="16" t="s">
        <v>64</v>
      </c>
      <c r="H13" s="6" t="s">
        <v>65</v>
      </c>
      <c r="I13" s="19">
        <v>3</v>
      </c>
      <c r="J13" s="21">
        <f t="shared" si="0"/>
        <v>2.4000000000000004</v>
      </c>
      <c r="K13" s="21">
        <f t="shared" si="1"/>
        <v>3.5999999999999996</v>
      </c>
      <c r="L13" s="19">
        <v>1000</v>
      </c>
      <c r="M13" s="6" t="s">
        <v>24</v>
      </c>
      <c r="N13" s="20"/>
      <c r="O13" s="6" t="s">
        <v>457</v>
      </c>
      <c r="P13" s="6" t="s">
        <v>31</v>
      </c>
      <c r="Q13" s="6" t="s">
        <v>458</v>
      </c>
    </row>
    <row r="14" spans="1:17" x14ac:dyDescent="0.2">
      <c r="A14" s="6" t="s">
        <v>207</v>
      </c>
      <c r="B14" s="6" t="s">
        <v>51</v>
      </c>
      <c r="C14" s="6" t="s">
        <v>38</v>
      </c>
      <c r="D14" s="6" t="s">
        <v>329</v>
      </c>
      <c r="E14" s="6"/>
      <c r="F14" s="6" t="s">
        <v>68</v>
      </c>
      <c r="G14" s="16" t="s">
        <v>69</v>
      </c>
      <c r="H14" s="6" t="s">
        <v>70</v>
      </c>
      <c r="I14" s="19">
        <v>5000</v>
      </c>
      <c r="J14" s="21">
        <f t="shared" si="0"/>
        <v>4000</v>
      </c>
      <c r="K14" s="21">
        <f t="shared" si="1"/>
        <v>6000</v>
      </c>
      <c r="L14" s="19">
        <v>30000</v>
      </c>
      <c r="M14" s="6" t="s">
        <v>24</v>
      </c>
      <c r="N14" s="6"/>
      <c r="O14" s="6" t="s">
        <v>459</v>
      </c>
      <c r="P14" s="6" t="s">
        <v>31</v>
      </c>
      <c r="Q14" s="6" t="s">
        <v>460</v>
      </c>
    </row>
    <row r="15" spans="1:17" x14ac:dyDescent="0.2">
      <c r="A15" s="6" t="s">
        <v>207</v>
      </c>
      <c r="B15" s="6" t="s">
        <v>51</v>
      </c>
      <c r="C15" s="6" t="s">
        <v>38</v>
      </c>
      <c r="D15" s="6" t="s">
        <v>329</v>
      </c>
      <c r="E15" s="6"/>
      <c r="F15" s="6" t="s">
        <v>73</v>
      </c>
      <c r="G15" s="16" t="s">
        <v>74</v>
      </c>
      <c r="H15" s="6" t="s">
        <v>43</v>
      </c>
      <c r="I15" s="19">
        <v>95</v>
      </c>
      <c r="J15" s="21">
        <f t="shared" si="0"/>
        <v>76</v>
      </c>
      <c r="K15" s="21">
        <f t="shared" si="1"/>
        <v>114</v>
      </c>
      <c r="L15" s="19"/>
      <c r="M15" s="6" t="s">
        <v>24</v>
      </c>
      <c r="N15" s="6"/>
      <c r="O15" s="6" t="s">
        <v>461</v>
      </c>
      <c r="P15" s="6" t="s">
        <v>31</v>
      </c>
      <c r="Q15" s="6" t="s">
        <v>462</v>
      </c>
    </row>
    <row r="16" spans="1:17" x14ac:dyDescent="0.2">
      <c r="A16" s="6" t="s">
        <v>207</v>
      </c>
      <c r="B16" s="6" t="s">
        <v>51</v>
      </c>
      <c r="C16" s="6" t="s">
        <v>38</v>
      </c>
      <c r="D16" s="6" t="s">
        <v>329</v>
      </c>
      <c r="E16" s="6"/>
      <c r="F16" s="6" t="s">
        <v>77</v>
      </c>
      <c r="G16" s="16" t="s">
        <v>78</v>
      </c>
      <c r="H16" s="6" t="s">
        <v>23</v>
      </c>
      <c r="I16" s="6" t="s">
        <v>47</v>
      </c>
      <c r="J16" s="20"/>
      <c r="K16" s="20"/>
      <c r="L16" s="6"/>
      <c r="M16" s="6" t="s">
        <v>79</v>
      </c>
      <c r="N16" s="6" t="s">
        <v>80</v>
      </c>
      <c r="O16" s="6" t="s">
        <v>463</v>
      </c>
      <c r="P16" s="6" t="s">
        <v>31</v>
      </c>
      <c r="Q16" s="6"/>
    </row>
    <row r="17" spans="1:17" x14ac:dyDescent="0.2">
      <c r="A17" s="6" t="s">
        <v>207</v>
      </c>
      <c r="B17" s="6" t="s">
        <v>51</v>
      </c>
      <c r="C17" s="6" t="s">
        <v>38</v>
      </c>
      <c r="D17" s="6" t="s">
        <v>332</v>
      </c>
      <c r="E17" s="6"/>
      <c r="F17" s="6" t="s">
        <v>53</v>
      </c>
      <c r="G17" s="16" t="s">
        <v>54</v>
      </c>
      <c r="H17" s="6" t="s">
        <v>55</v>
      </c>
      <c r="I17" s="19">
        <v>120</v>
      </c>
      <c r="J17" s="21">
        <f>I17*0.8</f>
        <v>96</v>
      </c>
      <c r="K17" s="21">
        <f>I17*1.2</f>
        <v>144</v>
      </c>
      <c r="L17" s="19">
        <v>1000</v>
      </c>
      <c r="M17" s="6" t="s">
        <v>24</v>
      </c>
      <c r="N17" s="6"/>
      <c r="O17" s="6" t="s">
        <v>464</v>
      </c>
      <c r="P17" s="6" t="s">
        <v>31</v>
      </c>
      <c r="Q17" s="6" t="s">
        <v>465</v>
      </c>
    </row>
    <row r="18" spans="1:17" x14ac:dyDescent="0.2">
      <c r="A18" s="6" t="s">
        <v>207</v>
      </c>
      <c r="B18" s="6" t="s">
        <v>51</v>
      </c>
      <c r="C18" s="6" t="s">
        <v>38</v>
      </c>
      <c r="D18" s="6" t="s">
        <v>332</v>
      </c>
      <c r="E18" s="6"/>
      <c r="F18" s="6" t="s">
        <v>58</v>
      </c>
      <c r="G18" s="16" t="s">
        <v>59</v>
      </c>
      <c r="H18" s="6" t="s">
        <v>60</v>
      </c>
      <c r="I18" s="19">
        <v>1.5</v>
      </c>
      <c r="J18" s="21">
        <f t="shared" ref="J18:J21" si="2">I18*0.8</f>
        <v>1.2000000000000002</v>
      </c>
      <c r="K18" s="21">
        <f t="shared" ref="K18:K21" si="3">I18*1.2</f>
        <v>1.7999999999999998</v>
      </c>
      <c r="L18" s="19">
        <v>11</v>
      </c>
      <c r="M18" s="6" t="s">
        <v>24</v>
      </c>
      <c r="N18" s="6"/>
      <c r="O18" s="6" t="s">
        <v>466</v>
      </c>
      <c r="P18" s="6" t="s">
        <v>31</v>
      </c>
      <c r="Q18" s="6" t="s">
        <v>467</v>
      </c>
    </row>
    <row r="19" spans="1:17" x14ac:dyDescent="0.2">
      <c r="A19" s="6" t="s">
        <v>207</v>
      </c>
      <c r="B19" s="6" t="s">
        <v>51</v>
      </c>
      <c r="C19" s="6" t="s">
        <v>38</v>
      </c>
      <c r="D19" s="6" t="s">
        <v>332</v>
      </c>
      <c r="E19" s="6"/>
      <c r="F19" s="6" t="s">
        <v>63</v>
      </c>
      <c r="G19" s="16" t="s">
        <v>64</v>
      </c>
      <c r="H19" s="6" t="s">
        <v>65</v>
      </c>
      <c r="I19" s="19">
        <v>10</v>
      </c>
      <c r="J19" s="21">
        <f t="shared" si="2"/>
        <v>8</v>
      </c>
      <c r="K19" s="21">
        <f t="shared" si="3"/>
        <v>12</v>
      </c>
      <c r="L19" s="19">
        <v>1000</v>
      </c>
      <c r="M19" s="6" t="s">
        <v>24</v>
      </c>
      <c r="N19" s="6"/>
      <c r="O19" s="6" t="s">
        <v>468</v>
      </c>
      <c r="P19" s="6" t="s">
        <v>31</v>
      </c>
      <c r="Q19" s="6" t="s">
        <v>469</v>
      </c>
    </row>
    <row r="20" spans="1:17" x14ac:dyDescent="0.2">
      <c r="A20" s="6" t="s">
        <v>207</v>
      </c>
      <c r="B20" s="6" t="s">
        <v>51</v>
      </c>
      <c r="C20" s="6" t="s">
        <v>38</v>
      </c>
      <c r="D20" s="6" t="s">
        <v>332</v>
      </c>
      <c r="E20" s="6"/>
      <c r="F20" s="6" t="s">
        <v>68</v>
      </c>
      <c r="G20" s="16" t="s">
        <v>69</v>
      </c>
      <c r="H20" s="6" t="s">
        <v>70</v>
      </c>
      <c r="I20" s="19">
        <v>5000</v>
      </c>
      <c r="J20" s="21">
        <f t="shared" si="2"/>
        <v>4000</v>
      </c>
      <c r="K20" s="21">
        <f t="shared" si="3"/>
        <v>6000</v>
      </c>
      <c r="L20" s="19">
        <v>30000</v>
      </c>
      <c r="M20" s="6" t="s">
        <v>24</v>
      </c>
      <c r="N20" s="6"/>
      <c r="O20" s="6" t="s">
        <v>470</v>
      </c>
      <c r="P20" s="6" t="s">
        <v>31</v>
      </c>
      <c r="Q20" s="6" t="s">
        <v>460</v>
      </c>
    </row>
    <row r="21" spans="1:17" x14ac:dyDescent="0.2">
      <c r="A21" s="6" t="s">
        <v>207</v>
      </c>
      <c r="B21" s="6" t="s">
        <v>51</v>
      </c>
      <c r="C21" s="6" t="s">
        <v>38</v>
      </c>
      <c r="D21" s="6" t="s">
        <v>332</v>
      </c>
      <c r="E21" s="6"/>
      <c r="F21" s="6" t="s">
        <v>73</v>
      </c>
      <c r="G21" s="16" t="s">
        <v>74</v>
      </c>
      <c r="H21" s="6" t="s">
        <v>43</v>
      </c>
      <c r="I21" s="19">
        <v>95</v>
      </c>
      <c r="J21" s="21">
        <f t="shared" si="2"/>
        <v>76</v>
      </c>
      <c r="K21" s="21">
        <f t="shared" si="3"/>
        <v>114</v>
      </c>
      <c r="L21" s="19"/>
      <c r="M21" s="6" t="s">
        <v>24</v>
      </c>
      <c r="N21" s="6"/>
      <c r="O21" s="6" t="s">
        <v>471</v>
      </c>
      <c r="P21" s="6" t="s">
        <v>31</v>
      </c>
      <c r="Q21" s="6" t="s">
        <v>472</v>
      </c>
    </row>
    <row r="22" spans="1:17" x14ac:dyDescent="0.2">
      <c r="A22" s="6" t="s">
        <v>207</v>
      </c>
      <c r="B22" s="6" t="s">
        <v>51</v>
      </c>
      <c r="C22" s="6" t="s">
        <v>38</v>
      </c>
      <c r="D22" s="6" t="s">
        <v>332</v>
      </c>
      <c r="E22" s="6"/>
      <c r="F22" s="6" t="s">
        <v>77</v>
      </c>
      <c r="G22" s="16" t="s">
        <v>78</v>
      </c>
      <c r="H22" s="6" t="s">
        <v>23</v>
      </c>
      <c r="I22" s="6" t="s">
        <v>47</v>
      </c>
      <c r="J22" s="20"/>
      <c r="K22" s="20"/>
      <c r="L22" s="6"/>
      <c r="M22" s="6" t="s">
        <v>79</v>
      </c>
      <c r="N22" s="6" t="s">
        <v>80</v>
      </c>
      <c r="O22" s="6" t="s">
        <v>463</v>
      </c>
      <c r="P22" s="6" t="s">
        <v>31</v>
      </c>
      <c r="Q22" s="6"/>
    </row>
    <row r="23" spans="1:17" x14ac:dyDescent="0.2">
      <c r="A23" s="6" t="s">
        <v>207</v>
      </c>
      <c r="B23" s="6" t="s">
        <v>51</v>
      </c>
      <c r="C23" s="6" t="s">
        <v>38</v>
      </c>
      <c r="D23" s="6" t="s">
        <v>335</v>
      </c>
      <c r="E23" s="6"/>
      <c r="F23" s="6" t="s">
        <v>53</v>
      </c>
      <c r="G23" s="16" t="s">
        <v>54</v>
      </c>
      <c r="H23" s="6" t="s">
        <v>55</v>
      </c>
      <c r="I23" s="19">
        <v>650</v>
      </c>
      <c r="J23" s="21">
        <f>I23*0.8</f>
        <v>520</v>
      </c>
      <c r="K23" s="21">
        <f>I23*1.2</f>
        <v>780</v>
      </c>
      <c r="L23" s="19">
        <v>700</v>
      </c>
      <c r="M23" s="6" t="s">
        <v>24</v>
      </c>
      <c r="N23" s="6"/>
      <c r="O23" s="6" t="s">
        <v>473</v>
      </c>
      <c r="P23" s="6" t="s">
        <v>31</v>
      </c>
      <c r="Q23" s="6" t="s">
        <v>474</v>
      </c>
    </row>
    <row r="24" spans="1:17" x14ac:dyDescent="0.2">
      <c r="A24" s="6" t="s">
        <v>207</v>
      </c>
      <c r="B24" s="6" t="s">
        <v>51</v>
      </c>
      <c r="C24" s="6" t="s">
        <v>38</v>
      </c>
      <c r="D24" s="6" t="s">
        <v>335</v>
      </c>
      <c r="E24" s="6"/>
      <c r="F24" s="6" t="s">
        <v>58</v>
      </c>
      <c r="G24" s="16" t="s">
        <v>59</v>
      </c>
      <c r="H24" s="6" t="s">
        <v>60</v>
      </c>
      <c r="I24" s="19">
        <v>2</v>
      </c>
      <c r="J24" s="21">
        <f t="shared" ref="J24:J27" si="4">I24*0.8</f>
        <v>1.6</v>
      </c>
      <c r="K24" s="21">
        <f t="shared" ref="K24:K27" si="5">I24*1.2</f>
        <v>2.4</v>
      </c>
      <c r="L24" s="19">
        <v>2.5</v>
      </c>
      <c r="M24" s="6" t="s">
        <v>24</v>
      </c>
      <c r="N24" s="6"/>
      <c r="O24" s="6" t="s">
        <v>475</v>
      </c>
      <c r="P24" s="6" t="s">
        <v>31</v>
      </c>
      <c r="Q24" s="6" t="s">
        <v>476</v>
      </c>
    </row>
    <row r="25" spans="1:17" x14ac:dyDescent="0.2">
      <c r="A25" s="6" t="s">
        <v>207</v>
      </c>
      <c r="B25" s="6" t="s">
        <v>51</v>
      </c>
      <c r="C25" s="6" t="s">
        <v>38</v>
      </c>
      <c r="D25" s="6" t="s">
        <v>335</v>
      </c>
      <c r="E25" s="6"/>
      <c r="F25" s="6" t="s">
        <v>63</v>
      </c>
      <c r="G25" s="16" t="s">
        <v>64</v>
      </c>
      <c r="H25" s="6" t="s">
        <v>65</v>
      </c>
      <c r="I25" s="19">
        <v>5</v>
      </c>
      <c r="J25" s="21">
        <f t="shared" si="4"/>
        <v>4</v>
      </c>
      <c r="K25" s="21">
        <f t="shared" si="5"/>
        <v>6</v>
      </c>
      <c r="L25" s="19">
        <v>30</v>
      </c>
      <c r="M25" s="6" t="s">
        <v>24</v>
      </c>
      <c r="N25" s="6"/>
      <c r="O25" s="6" t="s">
        <v>477</v>
      </c>
      <c r="P25" s="6" t="s">
        <v>31</v>
      </c>
      <c r="Q25" s="6" t="s">
        <v>478</v>
      </c>
    </row>
    <row r="26" spans="1:17" x14ac:dyDescent="0.2">
      <c r="A26" s="6" t="s">
        <v>207</v>
      </c>
      <c r="B26" s="6" t="s">
        <v>51</v>
      </c>
      <c r="C26" s="6" t="s">
        <v>38</v>
      </c>
      <c r="D26" s="6" t="s">
        <v>335</v>
      </c>
      <c r="E26" s="6"/>
      <c r="F26" s="6" t="s">
        <v>68</v>
      </c>
      <c r="G26" s="16" t="s">
        <v>69</v>
      </c>
      <c r="H26" s="6" t="s">
        <v>70</v>
      </c>
      <c r="I26" s="19">
        <v>10000</v>
      </c>
      <c r="J26" s="21">
        <f t="shared" si="4"/>
        <v>8000</v>
      </c>
      <c r="K26" s="21">
        <f t="shared" si="5"/>
        <v>12000</v>
      </c>
      <c r="L26" s="19">
        <v>36000</v>
      </c>
      <c r="M26" s="6" t="s">
        <v>24</v>
      </c>
      <c r="N26" s="6"/>
      <c r="O26" s="6" t="s">
        <v>479</v>
      </c>
      <c r="P26" s="6" t="s">
        <v>31</v>
      </c>
      <c r="Q26" s="6" t="s">
        <v>480</v>
      </c>
    </row>
    <row r="27" spans="1:17" x14ac:dyDescent="0.2">
      <c r="A27" s="6" t="s">
        <v>207</v>
      </c>
      <c r="B27" s="6" t="s">
        <v>51</v>
      </c>
      <c r="C27" s="6" t="s">
        <v>38</v>
      </c>
      <c r="D27" s="6" t="s">
        <v>335</v>
      </c>
      <c r="E27" s="6"/>
      <c r="F27" s="6" t="s">
        <v>73</v>
      </c>
      <c r="G27" s="16" t="s">
        <v>74</v>
      </c>
      <c r="H27" s="6" t="s">
        <v>43</v>
      </c>
      <c r="I27" s="19">
        <v>90</v>
      </c>
      <c r="J27" s="21">
        <f t="shared" si="4"/>
        <v>72</v>
      </c>
      <c r="K27" s="21">
        <f t="shared" si="5"/>
        <v>108</v>
      </c>
      <c r="L27" s="19"/>
      <c r="M27" s="6" t="s">
        <v>24</v>
      </c>
      <c r="N27" s="6"/>
      <c r="O27" s="6" t="s">
        <v>481</v>
      </c>
      <c r="P27" s="6" t="s">
        <v>31</v>
      </c>
      <c r="Q27" s="6" t="s">
        <v>472</v>
      </c>
    </row>
    <row r="28" spans="1:17" x14ac:dyDescent="0.2">
      <c r="A28" s="6" t="s">
        <v>207</v>
      </c>
      <c r="B28" s="6" t="s">
        <v>51</v>
      </c>
      <c r="C28" s="6" t="s">
        <v>38</v>
      </c>
      <c r="D28" s="6" t="s">
        <v>335</v>
      </c>
      <c r="E28" s="6"/>
      <c r="F28" s="6" t="s">
        <v>77</v>
      </c>
      <c r="G28" s="16" t="s">
        <v>78</v>
      </c>
      <c r="H28" s="6" t="s">
        <v>23</v>
      </c>
      <c r="I28" s="6" t="s">
        <v>47</v>
      </c>
      <c r="J28" s="20"/>
      <c r="K28" s="20"/>
      <c r="L28" s="6"/>
      <c r="M28" s="6" t="s">
        <v>79</v>
      </c>
      <c r="N28" s="6" t="s">
        <v>80</v>
      </c>
      <c r="O28" s="6" t="s">
        <v>463</v>
      </c>
      <c r="P28" s="6" t="s">
        <v>31</v>
      </c>
      <c r="Q28" s="6"/>
    </row>
    <row r="29" spans="1:17" x14ac:dyDescent="0.2">
      <c r="A29" s="6" t="s">
        <v>207</v>
      </c>
      <c r="B29" s="6" t="s">
        <v>51</v>
      </c>
      <c r="C29" s="6" t="s">
        <v>38</v>
      </c>
      <c r="D29" s="6" t="s">
        <v>338</v>
      </c>
      <c r="E29" s="6"/>
      <c r="F29" s="6" t="s">
        <v>53</v>
      </c>
      <c r="G29" s="16" t="s">
        <v>54</v>
      </c>
      <c r="H29" s="6" t="s">
        <v>55</v>
      </c>
      <c r="I29" s="19">
        <v>252</v>
      </c>
      <c r="J29" s="21">
        <f>I29*0.8</f>
        <v>201.60000000000002</v>
      </c>
      <c r="K29" s="21">
        <f>I29*1.2</f>
        <v>302.39999999999998</v>
      </c>
      <c r="L29" s="19">
        <v>3000</v>
      </c>
      <c r="M29" s="6" t="s">
        <v>24</v>
      </c>
      <c r="N29" s="6"/>
      <c r="O29" s="6" t="s">
        <v>482</v>
      </c>
      <c r="P29" s="6" t="s">
        <v>26</v>
      </c>
      <c r="Q29" s="6" t="s">
        <v>483</v>
      </c>
    </row>
    <row r="30" spans="1:17" x14ac:dyDescent="0.2">
      <c r="A30" s="6" t="s">
        <v>207</v>
      </c>
      <c r="B30" s="6" t="s">
        <v>51</v>
      </c>
      <c r="C30" s="6" t="s">
        <v>38</v>
      </c>
      <c r="D30" s="6" t="s">
        <v>338</v>
      </c>
      <c r="E30" s="6"/>
      <c r="F30" s="6" t="s">
        <v>58</v>
      </c>
      <c r="G30" s="16" t="s">
        <v>59</v>
      </c>
      <c r="H30" s="6" t="s">
        <v>60</v>
      </c>
      <c r="I30" s="19">
        <v>4</v>
      </c>
      <c r="J30" s="21">
        <f t="shared" ref="J30:J33" si="6">I30*0.8</f>
        <v>3.2</v>
      </c>
      <c r="K30" s="21">
        <f t="shared" ref="K30:K33" si="7">I30*1.2</f>
        <v>4.8</v>
      </c>
      <c r="L30" s="19">
        <v>30</v>
      </c>
      <c r="M30" s="6" t="s">
        <v>24</v>
      </c>
      <c r="N30" s="6"/>
      <c r="O30" s="6" t="s">
        <v>484</v>
      </c>
      <c r="P30" s="6" t="s">
        <v>31</v>
      </c>
      <c r="Q30" s="6" t="s">
        <v>485</v>
      </c>
    </row>
    <row r="31" spans="1:17" x14ac:dyDescent="0.2">
      <c r="A31" s="6" t="s">
        <v>207</v>
      </c>
      <c r="B31" s="6" t="s">
        <v>51</v>
      </c>
      <c r="C31" s="6" t="s">
        <v>38</v>
      </c>
      <c r="D31" s="6" t="s">
        <v>338</v>
      </c>
      <c r="E31" s="6"/>
      <c r="F31" s="6" t="s">
        <v>63</v>
      </c>
      <c r="G31" s="16" t="s">
        <v>64</v>
      </c>
      <c r="H31" s="6" t="s">
        <v>65</v>
      </c>
      <c r="I31" s="19">
        <v>5</v>
      </c>
      <c r="J31" s="21">
        <f t="shared" si="6"/>
        <v>4</v>
      </c>
      <c r="K31" s="21">
        <f t="shared" si="7"/>
        <v>6</v>
      </c>
      <c r="L31" s="19">
        <v>60</v>
      </c>
      <c r="M31" s="6" t="s">
        <v>24</v>
      </c>
      <c r="N31" s="6"/>
      <c r="O31" s="6" t="s">
        <v>486</v>
      </c>
      <c r="P31" s="6" t="s">
        <v>31</v>
      </c>
      <c r="Q31" s="6" t="s">
        <v>487</v>
      </c>
    </row>
    <row r="32" spans="1:17" x14ac:dyDescent="0.2">
      <c r="A32" s="6" t="s">
        <v>207</v>
      </c>
      <c r="B32" s="6" t="s">
        <v>51</v>
      </c>
      <c r="C32" s="6" t="s">
        <v>38</v>
      </c>
      <c r="D32" s="6" t="s">
        <v>338</v>
      </c>
      <c r="E32" s="6"/>
      <c r="F32" s="6" t="s">
        <v>68</v>
      </c>
      <c r="G32" s="16" t="s">
        <v>69</v>
      </c>
      <c r="H32" s="6" t="s">
        <v>70</v>
      </c>
      <c r="I32" s="19">
        <v>10000</v>
      </c>
      <c r="J32" s="21">
        <f t="shared" si="6"/>
        <v>8000</v>
      </c>
      <c r="K32" s="21">
        <f t="shared" si="7"/>
        <v>12000</v>
      </c>
      <c r="L32" s="19">
        <v>40000</v>
      </c>
      <c r="M32" s="6" t="s">
        <v>24</v>
      </c>
      <c r="N32" s="6"/>
      <c r="O32" s="6" t="s">
        <v>488</v>
      </c>
      <c r="P32" s="6" t="s">
        <v>31</v>
      </c>
      <c r="Q32" s="6" t="s">
        <v>489</v>
      </c>
    </row>
    <row r="33" spans="1:17" x14ac:dyDescent="0.2">
      <c r="A33" s="6" t="s">
        <v>207</v>
      </c>
      <c r="B33" s="6" t="s">
        <v>51</v>
      </c>
      <c r="C33" s="6" t="s">
        <v>38</v>
      </c>
      <c r="D33" s="6" t="s">
        <v>338</v>
      </c>
      <c r="E33" s="6"/>
      <c r="F33" s="6" t="s">
        <v>73</v>
      </c>
      <c r="G33" s="16" t="s">
        <v>74</v>
      </c>
      <c r="H33" s="6" t="s">
        <v>43</v>
      </c>
      <c r="I33" s="19">
        <v>50</v>
      </c>
      <c r="J33" s="21">
        <f t="shared" si="6"/>
        <v>40</v>
      </c>
      <c r="K33" s="21">
        <f t="shared" si="7"/>
        <v>60</v>
      </c>
      <c r="L33" s="19"/>
      <c r="M33" s="6" t="s">
        <v>24</v>
      </c>
      <c r="N33" s="6"/>
      <c r="O33" s="6" t="s">
        <v>490</v>
      </c>
      <c r="P33" s="6" t="s">
        <v>31</v>
      </c>
      <c r="Q33" s="6" t="s">
        <v>491</v>
      </c>
    </row>
    <row r="34" spans="1:17" x14ac:dyDescent="0.2">
      <c r="A34" s="6" t="s">
        <v>207</v>
      </c>
      <c r="B34" s="6" t="s">
        <v>51</v>
      </c>
      <c r="C34" s="6" t="s">
        <v>38</v>
      </c>
      <c r="D34" s="6" t="s">
        <v>338</v>
      </c>
      <c r="E34" s="6"/>
      <c r="F34" s="6" t="s">
        <v>77</v>
      </c>
      <c r="G34" s="16" t="s">
        <v>78</v>
      </c>
      <c r="H34" s="6" t="s">
        <v>23</v>
      </c>
      <c r="I34" s="6" t="s">
        <v>47</v>
      </c>
      <c r="J34" s="20"/>
      <c r="K34" s="20"/>
      <c r="L34" s="6"/>
      <c r="M34" s="6" t="s">
        <v>79</v>
      </c>
      <c r="N34" s="6" t="s">
        <v>80</v>
      </c>
      <c r="O34" s="6" t="s">
        <v>463</v>
      </c>
      <c r="P34" s="6" t="s">
        <v>31</v>
      </c>
      <c r="Q34" s="6"/>
    </row>
    <row r="35" spans="1:17" x14ac:dyDescent="0.2">
      <c r="A35" s="6" t="s">
        <v>207</v>
      </c>
      <c r="B35" s="6" t="s">
        <v>51</v>
      </c>
      <c r="C35" s="6" t="s">
        <v>447</v>
      </c>
      <c r="D35" s="6" t="s">
        <v>332</v>
      </c>
      <c r="E35" s="6"/>
      <c r="F35" s="6" t="s">
        <v>53</v>
      </c>
      <c r="G35" s="16" t="s">
        <v>54</v>
      </c>
      <c r="H35" s="6" t="s">
        <v>55</v>
      </c>
      <c r="I35" s="19">
        <v>80</v>
      </c>
      <c r="J35" s="21">
        <f>I35*0.8</f>
        <v>64</v>
      </c>
      <c r="K35" s="21">
        <f>I35*1.2</f>
        <v>96</v>
      </c>
      <c r="L35" s="19"/>
      <c r="M35" s="6" t="s">
        <v>24</v>
      </c>
      <c r="N35" s="6"/>
      <c r="O35" s="6" t="s">
        <v>492</v>
      </c>
      <c r="P35" s="6" t="s">
        <v>31</v>
      </c>
      <c r="Q35" s="6" t="s">
        <v>493</v>
      </c>
    </row>
    <row r="36" spans="1:17" x14ac:dyDescent="0.2">
      <c r="A36" s="6" t="s">
        <v>207</v>
      </c>
      <c r="B36" s="6" t="s">
        <v>51</v>
      </c>
      <c r="C36" s="6" t="s">
        <v>447</v>
      </c>
      <c r="D36" s="6" t="s">
        <v>332</v>
      </c>
      <c r="E36" s="6"/>
      <c r="F36" s="6" t="s">
        <v>58</v>
      </c>
      <c r="G36" s="16" t="s">
        <v>59</v>
      </c>
      <c r="H36" s="6" t="s">
        <v>60</v>
      </c>
      <c r="I36" s="19">
        <v>1.5</v>
      </c>
      <c r="J36" s="21">
        <f t="shared" ref="J36:J39" si="8">I36*0.8</f>
        <v>1.2000000000000002</v>
      </c>
      <c r="K36" s="21">
        <f t="shared" ref="K36:K39" si="9">I36*1.2</f>
        <v>1.7999999999999998</v>
      </c>
      <c r="L36" s="19"/>
      <c r="M36" s="6" t="s">
        <v>24</v>
      </c>
      <c r="N36" s="6"/>
      <c r="O36" s="6" t="s">
        <v>494</v>
      </c>
      <c r="P36" s="6" t="s">
        <v>31</v>
      </c>
      <c r="Q36" s="6" t="s">
        <v>495</v>
      </c>
    </row>
    <row r="37" spans="1:17" x14ac:dyDescent="0.2">
      <c r="A37" s="6" t="s">
        <v>207</v>
      </c>
      <c r="B37" s="6" t="s">
        <v>51</v>
      </c>
      <c r="C37" s="6" t="s">
        <v>447</v>
      </c>
      <c r="D37" s="6" t="s">
        <v>332</v>
      </c>
      <c r="E37" s="6"/>
      <c r="F37" s="6" t="s">
        <v>63</v>
      </c>
      <c r="G37" s="16" t="s">
        <v>64</v>
      </c>
      <c r="H37" s="6" t="s">
        <v>65</v>
      </c>
      <c r="I37" s="19">
        <v>15</v>
      </c>
      <c r="J37" s="21">
        <f t="shared" si="8"/>
        <v>12</v>
      </c>
      <c r="K37" s="21">
        <f t="shared" si="9"/>
        <v>18</v>
      </c>
      <c r="L37" s="19"/>
      <c r="M37" s="6" t="s">
        <v>24</v>
      </c>
      <c r="N37" s="6"/>
      <c r="O37" s="6" t="s">
        <v>496</v>
      </c>
      <c r="P37" s="6" t="s">
        <v>31</v>
      </c>
      <c r="Q37" s="6" t="s">
        <v>497</v>
      </c>
    </row>
    <row r="38" spans="1:17" x14ac:dyDescent="0.2">
      <c r="A38" s="6" t="s">
        <v>207</v>
      </c>
      <c r="B38" s="6" t="s">
        <v>51</v>
      </c>
      <c r="C38" s="6" t="s">
        <v>447</v>
      </c>
      <c r="D38" s="6" t="s">
        <v>332</v>
      </c>
      <c r="E38" s="6"/>
      <c r="F38" s="6" t="s">
        <v>68</v>
      </c>
      <c r="G38" s="16" t="s">
        <v>69</v>
      </c>
      <c r="H38" s="6" t="s">
        <v>70</v>
      </c>
      <c r="I38" s="19">
        <v>8000</v>
      </c>
      <c r="J38" s="21">
        <f t="shared" si="8"/>
        <v>6400</v>
      </c>
      <c r="K38" s="21">
        <f t="shared" si="9"/>
        <v>9600</v>
      </c>
      <c r="L38" s="19"/>
      <c r="M38" s="6" t="s">
        <v>24</v>
      </c>
      <c r="N38" s="6"/>
      <c r="O38" s="6" t="s">
        <v>498</v>
      </c>
      <c r="P38" s="6" t="s">
        <v>31</v>
      </c>
      <c r="Q38" s="6" t="s">
        <v>499</v>
      </c>
    </row>
    <row r="39" spans="1:17" x14ac:dyDescent="0.2">
      <c r="A39" s="6" t="s">
        <v>207</v>
      </c>
      <c r="B39" s="6" t="s">
        <v>51</v>
      </c>
      <c r="C39" s="6" t="s">
        <v>447</v>
      </c>
      <c r="D39" s="6" t="s">
        <v>332</v>
      </c>
      <c r="E39" s="6"/>
      <c r="F39" s="6" t="s">
        <v>73</v>
      </c>
      <c r="G39" s="16" t="s">
        <v>74</v>
      </c>
      <c r="H39" s="6" t="s">
        <v>43</v>
      </c>
      <c r="I39" s="19">
        <v>95</v>
      </c>
      <c r="J39" s="21">
        <f t="shared" si="8"/>
        <v>76</v>
      </c>
      <c r="K39" s="21">
        <f t="shared" si="9"/>
        <v>114</v>
      </c>
      <c r="L39" s="19"/>
      <c r="M39" s="6" t="s">
        <v>24</v>
      </c>
      <c r="N39" s="6"/>
      <c r="O39" s="6" t="s">
        <v>500</v>
      </c>
      <c r="P39" s="6" t="s">
        <v>31</v>
      </c>
      <c r="Q39" s="6" t="s">
        <v>501</v>
      </c>
    </row>
    <row r="40" spans="1:17" x14ac:dyDescent="0.2">
      <c r="A40" s="6" t="s">
        <v>207</v>
      </c>
      <c r="B40" s="6" t="s">
        <v>51</v>
      </c>
      <c r="C40" s="6" t="s">
        <v>447</v>
      </c>
      <c r="D40" s="6" t="s">
        <v>332</v>
      </c>
      <c r="E40" s="6"/>
      <c r="F40" s="6" t="s">
        <v>77</v>
      </c>
      <c r="G40" s="16" t="s">
        <v>78</v>
      </c>
      <c r="H40" s="6" t="s">
        <v>23</v>
      </c>
      <c r="I40" s="6" t="s">
        <v>47</v>
      </c>
      <c r="J40" s="20"/>
      <c r="K40" s="20"/>
      <c r="L40" s="6"/>
      <c r="M40" s="6" t="s">
        <v>79</v>
      </c>
      <c r="N40" s="6" t="s">
        <v>80</v>
      </c>
      <c r="O40" s="6" t="s">
        <v>463</v>
      </c>
      <c r="P40" s="6" t="s">
        <v>31</v>
      </c>
      <c r="Q40" s="6"/>
    </row>
    <row r="41" spans="1:17" x14ac:dyDescent="0.2">
      <c r="A41" s="6" t="s">
        <v>207</v>
      </c>
      <c r="B41" s="6" t="s">
        <v>51</v>
      </c>
      <c r="C41" s="6" t="s">
        <v>447</v>
      </c>
      <c r="D41" s="6" t="s">
        <v>335</v>
      </c>
      <c r="E41" s="6"/>
      <c r="F41" s="6" t="s">
        <v>53</v>
      </c>
      <c r="G41" s="16" t="s">
        <v>54</v>
      </c>
      <c r="H41" s="6" t="s">
        <v>55</v>
      </c>
      <c r="I41" s="19">
        <v>250</v>
      </c>
      <c r="J41" s="21">
        <f>I41*0.8</f>
        <v>200</v>
      </c>
      <c r="K41" s="21">
        <f>I41*1.2</f>
        <v>300</v>
      </c>
      <c r="L41" s="19"/>
      <c r="M41" s="6" t="s">
        <v>24</v>
      </c>
      <c r="N41" s="6"/>
      <c r="O41" s="6" t="s">
        <v>502</v>
      </c>
      <c r="P41" s="6" t="s">
        <v>31</v>
      </c>
      <c r="Q41" s="6" t="s">
        <v>495</v>
      </c>
    </row>
    <row r="42" spans="1:17" x14ac:dyDescent="0.2">
      <c r="A42" s="6" t="s">
        <v>207</v>
      </c>
      <c r="B42" s="6" t="s">
        <v>51</v>
      </c>
      <c r="C42" s="6" t="s">
        <v>447</v>
      </c>
      <c r="D42" s="6" t="s">
        <v>335</v>
      </c>
      <c r="E42" s="6"/>
      <c r="F42" s="6" t="s">
        <v>58</v>
      </c>
      <c r="G42" s="16" t="s">
        <v>59</v>
      </c>
      <c r="H42" s="6" t="s">
        <v>60</v>
      </c>
      <c r="I42" s="19">
        <v>1.5</v>
      </c>
      <c r="J42" s="21">
        <f t="shared" ref="J42:J45" si="10">I42*0.8</f>
        <v>1.2000000000000002</v>
      </c>
      <c r="K42" s="21">
        <f t="shared" ref="K42:K45" si="11">I42*1.2</f>
        <v>1.7999999999999998</v>
      </c>
      <c r="L42" s="19"/>
      <c r="M42" s="6" t="s">
        <v>24</v>
      </c>
      <c r="N42" s="6"/>
      <c r="O42" s="6" t="s">
        <v>503</v>
      </c>
      <c r="P42" s="6" t="s">
        <v>31</v>
      </c>
      <c r="Q42" s="6" t="s">
        <v>504</v>
      </c>
    </row>
    <row r="43" spans="1:17" x14ac:dyDescent="0.2">
      <c r="A43" s="6" t="s">
        <v>207</v>
      </c>
      <c r="B43" s="6" t="s">
        <v>51</v>
      </c>
      <c r="C43" s="6" t="s">
        <v>447</v>
      </c>
      <c r="D43" s="6" t="s">
        <v>335</v>
      </c>
      <c r="E43" s="6"/>
      <c r="F43" s="6" t="s">
        <v>63</v>
      </c>
      <c r="G43" s="16" t="s">
        <v>64</v>
      </c>
      <c r="H43" s="6" t="s">
        <v>65</v>
      </c>
      <c r="I43" s="19">
        <v>1</v>
      </c>
      <c r="J43" s="21">
        <f t="shared" si="10"/>
        <v>0.8</v>
      </c>
      <c r="K43" s="21">
        <f t="shared" si="11"/>
        <v>1.2</v>
      </c>
      <c r="L43" s="19"/>
      <c r="M43" s="6" t="s">
        <v>24</v>
      </c>
      <c r="N43" s="6"/>
      <c r="O43" s="6" t="s">
        <v>505</v>
      </c>
      <c r="P43" s="6" t="s">
        <v>31</v>
      </c>
      <c r="Q43" s="6" t="s">
        <v>506</v>
      </c>
    </row>
    <row r="44" spans="1:17" x14ac:dyDescent="0.2">
      <c r="A44" s="6" t="s">
        <v>207</v>
      </c>
      <c r="B44" s="6" t="s">
        <v>51</v>
      </c>
      <c r="C44" s="6" t="s">
        <v>447</v>
      </c>
      <c r="D44" s="6" t="s">
        <v>335</v>
      </c>
      <c r="E44" s="6"/>
      <c r="F44" s="6" t="s">
        <v>68</v>
      </c>
      <c r="G44" s="16" t="s">
        <v>69</v>
      </c>
      <c r="H44" s="6" t="s">
        <v>70</v>
      </c>
      <c r="I44" s="19">
        <v>8000</v>
      </c>
      <c r="J44" s="21">
        <f t="shared" si="10"/>
        <v>6400</v>
      </c>
      <c r="K44" s="21">
        <f t="shared" si="11"/>
        <v>9600</v>
      </c>
      <c r="L44" s="19"/>
      <c r="M44" s="6" t="s">
        <v>24</v>
      </c>
      <c r="N44" s="6"/>
      <c r="O44" s="6" t="s">
        <v>498</v>
      </c>
      <c r="P44" s="6" t="s">
        <v>31</v>
      </c>
      <c r="Q44" s="6" t="s">
        <v>507</v>
      </c>
    </row>
    <row r="45" spans="1:17" x14ac:dyDescent="0.2">
      <c r="A45" s="6" t="s">
        <v>207</v>
      </c>
      <c r="B45" s="6" t="s">
        <v>51</v>
      </c>
      <c r="C45" s="6" t="s">
        <v>447</v>
      </c>
      <c r="D45" s="6" t="s">
        <v>335</v>
      </c>
      <c r="E45" s="6"/>
      <c r="F45" s="6" t="s">
        <v>73</v>
      </c>
      <c r="G45" s="16" t="s">
        <v>74</v>
      </c>
      <c r="H45" s="6" t="s">
        <v>43</v>
      </c>
      <c r="I45" s="19">
        <v>90</v>
      </c>
      <c r="J45" s="21">
        <f t="shared" si="10"/>
        <v>72</v>
      </c>
      <c r="K45" s="21">
        <f t="shared" si="11"/>
        <v>108</v>
      </c>
      <c r="L45" s="19"/>
      <c r="M45" s="6" t="s">
        <v>24</v>
      </c>
      <c r="N45" s="6"/>
      <c r="O45" s="6" t="s">
        <v>508</v>
      </c>
      <c r="P45" s="6" t="s">
        <v>31</v>
      </c>
      <c r="Q45" s="6" t="s">
        <v>509</v>
      </c>
    </row>
    <row r="46" spans="1:17" x14ac:dyDescent="0.2">
      <c r="A46" s="6" t="s">
        <v>207</v>
      </c>
      <c r="B46" s="6" t="s">
        <v>51</v>
      </c>
      <c r="C46" s="6" t="s">
        <v>447</v>
      </c>
      <c r="D46" s="6" t="s">
        <v>335</v>
      </c>
      <c r="E46" s="6"/>
      <c r="F46" s="6" t="s">
        <v>77</v>
      </c>
      <c r="G46" s="16" t="s">
        <v>78</v>
      </c>
      <c r="H46" s="6" t="s">
        <v>23</v>
      </c>
      <c r="I46" s="6" t="s">
        <v>47</v>
      </c>
      <c r="J46" s="20"/>
      <c r="K46" s="20"/>
      <c r="L46" s="6"/>
      <c r="M46" s="6" t="s">
        <v>79</v>
      </c>
      <c r="N46" s="6" t="s">
        <v>80</v>
      </c>
      <c r="O46" s="6" t="s">
        <v>463</v>
      </c>
      <c r="P46" s="6" t="s">
        <v>31</v>
      </c>
      <c r="Q46" s="6"/>
    </row>
    <row r="47" spans="1:17" x14ac:dyDescent="0.2">
      <c r="A47" s="6" t="s">
        <v>207</v>
      </c>
      <c r="B47" s="6" t="s">
        <v>109</v>
      </c>
      <c r="C47" s="6" t="s">
        <v>110</v>
      </c>
      <c r="D47" s="6" t="s">
        <v>20</v>
      </c>
      <c r="E47" s="6"/>
      <c r="F47" s="6" t="s">
        <v>111</v>
      </c>
      <c r="G47" s="16" t="s">
        <v>112</v>
      </c>
      <c r="H47" s="6" t="s">
        <v>113</v>
      </c>
      <c r="I47" s="19">
        <v>20</v>
      </c>
      <c r="J47" s="21">
        <f>I47*0.8</f>
        <v>16</v>
      </c>
      <c r="K47" s="21">
        <f>I47*1.2</f>
        <v>24</v>
      </c>
      <c r="L47" s="19"/>
      <c r="M47" s="6" t="s">
        <v>24</v>
      </c>
      <c r="N47" s="6"/>
      <c r="O47" s="6" t="s">
        <v>510</v>
      </c>
      <c r="P47" s="6" t="s">
        <v>31</v>
      </c>
      <c r="Q47" s="6" t="s">
        <v>511</v>
      </c>
    </row>
    <row r="48" spans="1:17" x14ac:dyDescent="0.2">
      <c r="A48" s="6" t="s">
        <v>207</v>
      </c>
      <c r="B48" s="6" t="s">
        <v>109</v>
      </c>
      <c r="C48" s="6" t="s">
        <v>110</v>
      </c>
      <c r="D48" s="6" t="s">
        <v>20</v>
      </c>
      <c r="E48" s="6"/>
      <c r="F48" s="6" t="s">
        <v>512</v>
      </c>
      <c r="G48" s="16" t="s">
        <v>513</v>
      </c>
      <c r="H48" s="6" t="s">
        <v>113</v>
      </c>
      <c r="I48" s="19">
        <v>10</v>
      </c>
      <c r="J48" s="21">
        <f t="shared" ref="J48:J54" si="12">I48*0.8</f>
        <v>8</v>
      </c>
      <c r="K48" s="21">
        <f t="shared" ref="K48:K54" si="13">I48*1.2</f>
        <v>12</v>
      </c>
      <c r="L48" s="19"/>
      <c r="M48" s="6" t="s">
        <v>24</v>
      </c>
      <c r="N48" s="6"/>
      <c r="O48" s="6" t="s">
        <v>510</v>
      </c>
      <c r="P48" s="6" t="s">
        <v>31</v>
      </c>
      <c r="Q48" s="6" t="s">
        <v>514</v>
      </c>
    </row>
    <row r="49" spans="1:17" x14ac:dyDescent="0.2">
      <c r="A49" s="6" t="s">
        <v>207</v>
      </c>
      <c r="B49" s="6" t="s">
        <v>109</v>
      </c>
      <c r="C49" s="6" t="s">
        <v>447</v>
      </c>
      <c r="D49" s="6" t="s">
        <v>515</v>
      </c>
      <c r="E49" s="6"/>
      <c r="F49" s="6" t="s">
        <v>516</v>
      </c>
      <c r="G49" s="16" t="s">
        <v>517</v>
      </c>
      <c r="H49" s="6" t="s">
        <v>43</v>
      </c>
      <c r="I49" s="19">
        <v>10</v>
      </c>
      <c r="J49" s="21">
        <f t="shared" si="12"/>
        <v>8</v>
      </c>
      <c r="K49" s="21">
        <f t="shared" si="13"/>
        <v>12</v>
      </c>
      <c r="L49" s="19"/>
      <c r="M49" s="6" t="s">
        <v>24</v>
      </c>
      <c r="N49" s="6"/>
      <c r="O49" s="6" t="s">
        <v>510</v>
      </c>
      <c r="P49" s="6" t="s">
        <v>31</v>
      </c>
      <c r="Q49" s="6" t="s">
        <v>518</v>
      </c>
    </row>
    <row r="50" spans="1:17" x14ac:dyDescent="0.2">
      <c r="A50" s="6" t="s">
        <v>207</v>
      </c>
      <c r="B50" s="6" t="s">
        <v>109</v>
      </c>
      <c r="C50" s="6" t="s">
        <v>116</v>
      </c>
      <c r="D50" s="6" t="s">
        <v>117</v>
      </c>
      <c r="E50" s="6" t="s">
        <v>118</v>
      </c>
      <c r="F50" s="6" t="s">
        <v>119</v>
      </c>
      <c r="G50" s="16" t="s">
        <v>120</v>
      </c>
      <c r="H50" s="6" t="s">
        <v>43</v>
      </c>
      <c r="I50" s="20">
        <v>42</v>
      </c>
      <c r="J50" s="6">
        <f t="shared" si="12"/>
        <v>33.6</v>
      </c>
      <c r="K50" s="6">
        <f t="shared" si="13"/>
        <v>50.4</v>
      </c>
      <c r="L50" s="20">
        <v>55</v>
      </c>
      <c r="M50" s="6" t="s">
        <v>24</v>
      </c>
      <c r="N50" s="6"/>
      <c r="O50" s="6" t="s">
        <v>519</v>
      </c>
      <c r="P50" s="6" t="s">
        <v>31</v>
      </c>
      <c r="Q50" s="6" t="s">
        <v>520</v>
      </c>
    </row>
    <row r="51" spans="1:17" x14ac:dyDescent="0.2">
      <c r="A51" s="6" t="s">
        <v>207</v>
      </c>
      <c r="B51" s="6" t="s">
        <v>109</v>
      </c>
      <c r="C51" s="6" t="s">
        <v>116</v>
      </c>
      <c r="D51" s="6" t="s">
        <v>117</v>
      </c>
      <c r="E51" s="6" t="s">
        <v>123</v>
      </c>
      <c r="F51" s="6" t="s">
        <v>119</v>
      </c>
      <c r="G51" s="16" t="s">
        <v>521</v>
      </c>
      <c r="H51" s="6" t="s">
        <v>43</v>
      </c>
      <c r="I51" s="20">
        <v>5</v>
      </c>
      <c r="J51" s="6">
        <f t="shared" si="12"/>
        <v>4</v>
      </c>
      <c r="K51" s="6">
        <f t="shared" si="13"/>
        <v>6</v>
      </c>
      <c r="L51" s="20">
        <v>10</v>
      </c>
      <c r="M51" s="6" t="s">
        <v>24</v>
      </c>
      <c r="N51" s="6"/>
      <c r="O51" s="6" t="s">
        <v>519</v>
      </c>
      <c r="P51" s="6" t="s">
        <v>31</v>
      </c>
      <c r="Q51" s="6" t="s">
        <v>522</v>
      </c>
    </row>
    <row r="52" spans="1:17" x14ac:dyDescent="0.2">
      <c r="A52" s="6" t="s">
        <v>207</v>
      </c>
      <c r="B52" s="6" t="s">
        <v>109</v>
      </c>
      <c r="C52" s="6" t="s">
        <v>116</v>
      </c>
      <c r="D52" s="6" t="s">
        <v>117</v>
      </c>
      <c r="E52" s="6" t="s">
        <v>126</v>
      </c>
      <c r="F52" s="6" t="s">
        <v>119</v>
      </c>
      <c r="G52" s="16" t="s">
        <v>523</v>
      </c>
      <c r="H52" s="6" t="s">
        <v>43</v>
      </c>
      <c r="I52" s="20">
        <v>0</v>
      </c>
      <c r="J52" s="6">
        <f t="shared" si="12"/>
        <v>0</v>
      </c>
      <c r="K52" s="6">
        <f t="shared" si="13"/>
        <v>0</v>
      </c>
      <c r="L52" s="20">
        <v>10</v>
      </c>
      <c r="M52" s="6" t="s">
        <v>24</v>
      </c>
      <c r="N52" s="6"/>
      <c r="O52" s="6" t="s">
        <v>519</v>
      </c>
      <c r="P52" s="6" t="s">
        <v>31</v>
      </c>
      <c r="Q52" s="6" t="s">
        <v>524</v>
      </c>
    </row>
    <row r="53" spans="1:17" x14ac:dyDescent="0.2">
      <c r="A53" s="6" t="s">
        <v>207</v>
      </c>
      <c r="B53" s="6" t="s">
        <v>109</v>
      </c>
      <c r="C53" s="6" t="s">
        <v>116</v>
      </c>
      <c r="D53" s="6" t="s">
        <v>117</v>
      </c>
      <c r="E53" s="6" t="s">
        <v>129</v>
      </c>
      <c r="F53" s="6" t="s">
        <v>119</v>
      </c>
      <c r="G53" s="16" t="s">
        <v>525</v>
      </c>
      <c r="H53" s="6" t="s">
        <v>43</v>
      </c>
      <c r="I53" s="20">
        <v>28</v>
      </c>
      <c r="J53" s="6">
        <f t="shared" si="12"/>
        <v>22.400000000000002</v>
      </c>
      <c r="K53" s="6">
        <f t="shared" si="13"/>
        <v>33.6</v>
      </c>
      <c r="L53" s="20">
        <v>20</v>
      </c>
      <c r="M53" s="6" t="s">
        <v>24</v>
      </c>
      <c r="N53" s="6"/>
      <c r="O53" s="6" t="s">
        <v>519</v>
      </c>
      <c r="P53" s="6" t="s">
        <v>31</v>
      </c>
      <c r="Q53" s="6" t="s">
        <v>526</v>
      </c>
    </row>
    <row r="54" spans="1:17" x14ac:dyDescent="0.2">
      <c r="A54" s="6" t="s">
        <v>207</v>
      </c>
      <c r="B54" s="6" t="s">
        <v>109</v>
      </c>
      <c r="C54" s="6" t="s">
        <v>116</v>
      </c>
      <c r="D54" s="6" t="s">
        <v>117</v>
      </c>
      <c r="E54" s="6" t="s">
        <v>132</v>
      </c>
      <c r="F54" s="6" t="s">
        <v>119</v>
      </c>
      <c r="G54" s="16" t="s">
        <v>133</v>
      </c>
      <c r="H54" s="6" t="s">
        <v>43</v>
      </c>
      <c r="I54" s="20">
        <v>25</v>
      </c>
      <c r="J54" s="6">
        <f t="shared" si="12"/>
        <v>20</v>
      </c>
      <c r="K54" s="6">
        <f t="shared" si="13"/>
        <v>30</v>
      </c>
      <c r="L54" s="20">
        <v>5</v>
      </c>
      <c r="M54" s="6" t="s">
        <v>24</v>
      </c>
      <c r="N54" s="6"/>
      <c r="O54" s="6" t="s">
        <v>519</v>
      </c>
      <c r="P54" s="6" t="s">
        <v>31</v>
      </c>
      <c r="Q54" s="6" t="s">
        <v>527</v>
      </c>
    </row>
    <row r="55" spans="1:17" x14ac:dyDescent="0.2">
      <c r="A55" s="6" t="s">
        <v>207</v>
      </c>
      <c r="B55" s="6" t="s">
        <v>135</v>
      </c>
      <c r="C55" s="6" t="s">
        <v>136</v>
      </c>
      <c r="D55" s="6" t="s">
        <v>20</v>
      </c>
      <c r="E55" s="6"/>
      <c r="F55" s="6" t="s">
        <v>135</v>
      </c>
      <c r="G55" s="16" t="s">
        <v>137</v>
      </c>
      <c r="H55" s="6" t="s">
        <v>138</v>
      </c>
      <c r="I55" s="6" t="s">
        <v>139</v>
      </c>
      <c r="J55" s="6"/>
      <c r="K55" s="6"/>
      <c r="L55" s="6"/>
      <c r="M55" s="6" t="s">
        <v>79</v>
      </c>
      <c r="N55" s="6"/>
      <c r="O55" s="6" t="s">
        <v>528</v>
      </c>
      <c r="P55" s="6" t="s">
        <v>31</v>
      </c>
      <c r="Q55" s="6" t="s">
        <v>529</v>
      </c>
    </row>
  </sheetData>
  <conditionalFormatting sqref="I2:I262">
    <cfRule type="expression" dxfId="47" priority="15">
      <formula>AND($F2&lt;&gt;"",$I2="")</formula>
    </cfRule>
  </conditionalFormatting>
  <conditionalFormatting sqref="I2:P262">
    <cfRule type="expression" dxfId="15" priority="13">
      <formula>$P2="placeholder"</formula>
    </cfRule>
  </conditionalFormatting>
  <conditionalFormatting sqref="J2:K16 J18:K22 J24:K262">
    <cfRule type="expression" dxfId="14" priority="14">
      <formula>AND(OR($M2="triangular",$M2="uniform"),OR($J2="",$K2=""))</formula>
    </cfRule>
  </conditionalFormatting>
  <conditionalFormatting sqref="J17:J21">
    <cfRule type="expression" dxfId="13" priority="12">
      <formula>AND(OR($M17="triangular",$M17="uniform"),OR($J17="",$K17=""))</formula>
    </cfRule>
  </conditionalFormatting>
  <conditionalFormatting sqref="K17:K21">
    <cfRule type="expression" dxfId="12" priority="11">
      <formula>AND(OR($M17="triangular",$M17="uniform"),OR($J17="",$K17=""))</formula>
    </cfRule>
  </conditionalFormatting>
  <conditionalFormatting sqref="J23:J27">
    <cfRule type="expression" dxfId="11" priority="10">
      <formula>AND(OR($M23="triangular",$M23="uniform"),OR($J23="",$K23=""))</formula>
    </cfRule>
  </conditionalFormatting>
  <conditionalFormatting sqref="K23:K27">
    <cfRule type="expression" dxfId="10" priority="9">
      <formula>AND(OR($M23="triangular",$M23="uniform"),OR($J23="",$K23=""))</formula>
    </cfRule>
  </conditionalFormatting>
  <conditionalFormatting sqref="J29:J33">
    <cfRule type="expression" dxfId="9" priority="8">
      <formula>AND(OR($M29="triangular",$M29="uniform"),OR($J29="",$K29=""))</formula>
    </cfRule>
  </conditionalFormatting>
  <conditionalFormatting sqref="K29:K33">
    <cfRule type="expression" dxfId="8" priority="7">
      <formula>AND(OR($M29="triangular",$M29="uniform"),OR($J29="",$K29=""))</formula>
    </cfRule>
  </conditionalFormatting>
  <conditionalFormatting sqref="J35:J39">
    <cfRule type="expression" dxfId="7" priority="6">
      <formula>AND(OR($M35="triangular",$M35="uniform"),OR($J35="",$K35=""))</formula>
    </cfRule>
  </conditionalFormatting>
  <conditionalFormatting sqref="K35:K39">
    <cfRule type="expression" dxfId="6" priority="5">
      <formula>AND(OR($M35="triangular",$M35="uniform"),OR($J35="",$K35=""))</formula>
    </cfRule>
  </conditionalFormatting>
  <conditionalFormatting sqref="J41:J45">
    <cfRule type="expression" dxfId="5" priority="4">
      <formula>AND(OR($M41="triangular",$M41="uniform"),OR($J41="",$K41=""))</formula>
    </cfRule>
  </conditionalFormatting>
  <conditionalFormatting sqref="K41:K45">
    <cfRule type="expression" dxfId="4" priority="3">
      <formula>AND(OR($M41="triangular",$M41="uniform"),OR($J41="",$K41=""))</formula>
    </cfRule>
  </conditionalFormatting>
  <conditionalFormatting sqref="J47:J54">
    <cfRule type="expression" dxfId="3" priority="2">
      <formula>AND(OR($M47="triangular",$M47="uniform"),OR($J47="",$K47=""))</formula>
    </cfRule>
  </conditionalFormatting>
  <conditionalFormatting sqref="K47:K54">
    <cfRule type="expression" dxfId="2" priority="1">
      <formula>AND(OR($M47="triangular",$M47="uniform"),OR($J47="",$K47=""))</formula>
    </cfRule>
  </conditionalFormatting>
  <dataValidations count="4">
    <dataValidation type="list" allowBlank="1" showErrorMessage="1" sqref="B2:B262" xr:uid="{00000000-0002-0000-0700-000000000000}">
      <formula1>"design,manufacturing,circularity,location"</formula1>
    </dataValidation>
    <dataValidation type="list" allowBlank="1" showErrorMessage="1" sqref="C2:C262" xr:uid="{00000000-0002-0000-0700-000001000000}">
      <formula1>"product size,production,repair,use,end-of-life,general"</formula1>
    </dataValidation>
    <dataValidation type="list" allowBlank="1" showErrorMessage="1" sqref="M2:M262" xr:uid="{00000000-0002-0000-0700-000002000000}">
      <formula1>"fixed,triangular,uniform,choice,combination"</formula1>
    </dataValidation>
    <dataValidation type="list" allowBlank="1" showErrorMessage="1" sqref="P2:P262" xr:uid="{00000000-0002-0000-07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A5AF"/>
  </sheetPr>
  <dimension ref="A1:Q37"/>
  <sheetViews>
    <sheetView workbookViewId="0">
      <pane xSplit="6" ySplit="1" topLeftCell="G2" activePane="bottomRight" state="frozen"/>
      <selection pane="topRight"/>
      <selection pane="bottomLeft"/>
      <selection pane="bottomRight" activeCell="K38" sqref="K38"/>
    </sheetView>
  </sheetViews>
  <sheetFormatPr baseColWidth="10" defaultColWidth="8.83203125" defaultRowHeight="15" x14ac:dyDescent="0.2"/>
  <cols>
    <col min="1" max="1" width="12" customWidth="1"/>
    <col min="2" max="2" width="15" customWidth="1"/>
    <col min="3" max="3" width="13" customWidth="1"/>
    <col min="4" max="4" width="16.1640625" customWidth="1"/>
    <col min="5" max="5" width="17" customWidth="1"/>
    <col min="6" max="6" width="15.83203125"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2">
      <c r="A2" s="6" t="s">
        <v>17</v>
      </c>
      <c r="B2" s="6" t="s">
        <v>18</v>
      </c>
      <c r="C2" s="6" t="s">
        <v>19</v>
      </c>
      <c r="D2" s="6" t="s">
        <v>20</v>
      </c>
      <c r="E2" s="6"/>
      <c r="F2" s="6" t="s">
        <v>21</v>
      </c>
      <c r="G2" s="6" t="s">
        <v>22</v>
      </c>
      <c r="H2" s="6" t="s">
        <v>23</v>
      </c>
      <c r="I2" s="19">
        <v>20</v>
      </c>
      <c r="J2" s="19">
        <f>I2*0.8</f>
        <v>16</v>
      </c>
      <c r="K2" s="19">
        <f>I2*1.2</f>
        <v>24</v>
      </c>
      <c r="L2" s="19"/>
      <c r="M2" s="6" t="s">
        <v>24</v>
      </c>
      <c r="N2" s="6"/>
      <c r="O2" s="6" t="s">
        <v>25</v>
      </c>
      <c r="P2" s="6" t="s">
        <v>26</v>
      </c>
      <c r="Q2" s="6" t="s">
        <v>27</v>
      </c>
    </row>
    <row r="3" spans="1:17" x14ac:dyDescent="0.2">
      <c r="A3" s="6" t="s">
        <v>17</v>
      </c>
      <c r="B3" s="6" t="s">
        <v>18</v>
      </c>
      <c r="C3" s="6" t="s">
        <v>19</v>
      </c>
      <c r="D3" s="6" t="s">
        <v>20</v>
      </c>
      <c r="E3" s="6"/>
      <c r="F3" s="6" t="s">
        <v>28</v>
      </c>
      <c r="G3" s="6" t="s">
        <v>29</v>
      </c>
      <c r="H3" s="6" t="s">
        <v>23</v>
      </c>
      <c r="I3" s="19">
        <v>3.2</v>
      </c>
      <c r="J3" s="19">
        <f t="shared" ref="J3:J22" si="0">I3*0.8</f>
        <v>2.5600000000000005</v>
      </c>
      <c r="K3" s="19">
        <f t="shared" ref="K3:K4" si="1">I3*1.2</f>
        <v>3.84</v>
      </c>
      <c r="L3" s="19"/>
      <c r="M3" s="6" t="s">
        <v>24</v>
      </c>
      <c r="N3" s="6"/>
      <c r="O3" s="6" t="s">
        <v>30</v>
      </c>
      <c r="P3" s="6" t="s">
        <v>31</v>
      </c>
      <c r="Q3" s="6" t="s">
        <v>32</v>
      </c>
    </row>
    <row r="4" spans="1:17" x14ac:dyDescent="0.2">
      <c r="A4" s="6" t="s">
        <v>17</v>
      </c>
      <c r="B4" s="6" t="s">
        <v>18</v>
      </c>
      <c r="C4" s="6" t="s">
        <v>19</v>
      </c>
      <c r="D4" s="6" t="s">
        <v>20</v>
      </c>
      <c r="E4" s="6"/>
      <c r="F4" s="6" t="s">
        <v>33</v>
      </c>
      <c r="G4" s="6" t="s">
        <v>34</v>
      </c>
      <c r="H4" s="6" t="s">
        <v>35</v>
      </c>
      <c r="I4" s="19">
        <v>480</v>
      </c>
      <c r="J4" s="19">
        <f t="shared" si="0"/>
        <v>384</v>
      </c>
      <c r="K4" s="19">
        <f t="shared" si="1"/>
        <v>576</v>
      </c>
      <c r="L4" s="19"/>
      <c r="M4" s="6" t="s">
        <v>24</v>
      </c>
      <c r="N4" s="6"/>
      <c r="O4" s="6" t="s">
        <v>36</v>
      </c>
      <c r="P4" s="6" t="s">
        <v>31</v>
      </c>
      <c r="Q4" s="6" t="s">
        <v>37</v>
      </c>
    </row>
    <row r="5" spans="1:17" x14ac:dyDescent="0.2">
      <c r="A5" s="6" t="s">
        <v>17</v>
      </c>
      <c r="B5" s="6" t="s">
        <v>18</v>
      </c>
      <c r="C5" s="6" t="s">
        <v>38</v>
      </c>
      <c r="D5" s="6" t="s">
        <v>39</v>
      </c>
      <c r="E5" s="6" t="s">
        <v>40</v>
      </c>
      <c r="F5" s="6" t="s">
        <v>41</v>
      </c>
      <c r="G5" s="16" t="s">
        <v>42</v>
      </c>
      <c r="H5" s="6" t="s">
        <v>43</v>
      </c>
      <c r="I5" s="19">
        <v>99</v>
      </c>
      <c r="J5" s="19">
        <f t="shared" si="0"/>
        <v>79.2</v>
      </c>
      <c r="K5" s="19">
        <f t="shared" ref="K5:K6" si="2">I5*1.2</f>
        <v>118.8</v>
      </c>
      <c r="L5" s="19"/>
      <c r="M5" s="6" t="s">
        <v>44</v>
      </c>
      <c r="N5" s="6"/>
      <c r="O5" s="6" t="s">
        <v>45</v>
      </c>
      <c r="P5" s="6" t="s">
        <v>31</v>
      </c>
      <c r="Q5" s="6" t="s">
        <v>46</v>
      </c>
    </row>
    <row r="6" spans="1:17" x14ac:dyDescent="0.2">
      <c r="A6" s="6" t="s">
        <v>17</v>
      </c>
      <c r="B6" s="6" t="s">
        <v>18</v>
      </c>
      <c r="C6" s="6" t="s">
        <v>38</v>
      </c>
      <c r="D6" s="6" t="s">
        <v>39</v>
      </c>
      <c r="E6" s="6" t="s">
        <v>47</v>
      </c>
      <c r="F6" s="6" t="s">
        <v>41</v>
      </c>
      <c r="G6" s="16" t="s">
        <v>48</v>
      </c>
      <c r="H6" s="6" t="s">
        <v>43</v>
      </c>
      <c r="I6" s="19">
        <v>1</v>
      </c>
      <c r="J6" s="19">
        <f t="shared" si="0"/>
        <v>0.8</v>
      </c>
      <c r="K6" s="19">
        <f t="shared" si="2"/>
        <v>1.2</v>
      </c>
      <c r="L6" s="19"/>
      <c r="M6" s="6" t="s">
        <v>44</v>
      </c>
      <c r="N6" s="6"/>
      <c r="O6" s="6" t="s">
        <v>49</v>
      </c>
      <c r="P6" s="6" t="s">
        <v>31</v>
      </c>
      <c r="Q6" s="6" t="s">
        <v>50</v>
      </c>
    </row>
    <row r="7" spans="1:17" x14ac:dyDescent="0.2">
      <c r="A7" s="6" t="s">
        <v>17</v>
      </c>
      <c r="B7" s="6" t="s">
        <v>51</v>
      </c>
      <c r="C7" s="6" t="s">
        <v>38</v>
      </c>
      <c r="D7" s="6" t="s">
        <v>52</v>
      </c>
      <c r="E7" s="6"/>
      <c r="F7" s="6" t="s">
        <v>53</v>
      </c>
      <c r="G7" s="16" t="s">
        <v>54</v>
      </c>
      <c r="H7" s="6" t="s">
        <v>55</v>
      </c>
      <c r="I7" s="6">
        <v>2500</v>
      </c>
      <c r="J7" s="20">
        <f t="shared" si="0"/>
        <v>2000</v>
      </c>
      <c r="K7" s="20">
        <f t="shared" ref="K7:K22" si="3">I7*1.2</f>
        <v>3000</v>
      </c>
      <c r="L7" s="6">
        <v>10000</v>
      </c>
      <c r="M7" s="6" t="s">
        <v>44</v>
      </c>
      <c r="N7" s="6"/>
      <c r="O7" s="6" t="s">
        <v>56</v>
      </c>
      <c r="P7" s="6" t="s">
        <v>31</v>
      </c>
      <c r="Q7" s="6" t="s">
        <v>57</v>
      </c>
    </row>
    <row r="8" spans="1:17" x14ac:dyDescent="0.2">
      <c r="A8" s="6" t="s">
        <v>17</v>
      </c>
      <c r="B8" s="6" t="s">
        <v>51</v>
      </c>
      <c r="C8" s="6" t="s">
        <v>38</v>
      </c>
      <c r="D8" s="6" t="s">
        <v>52</v>
      </c>
      <c r="E8" s="6"/>
      <c r="F8" s="6" t="s">
        <v>58</v>
      </c>
      <c r="G8" s="16" t="s">
        <v>59</v>
      </c>
      <c r="H8" s="6" t="s">
        <v>60</v>
      </c>
      <c r="I8" s="6">
        <v>10</v>
      </c>
      <c r="J8" s="20">
        <f t="shared" si="0"/>
        <v>8</v>
      </c>
      <c r="K8" s="20">
        <f t="shared" si="3"/>
        <v>12</v>
      </c>
      <c r="L8" s="6">
        <v>50</v>
      </c>
      <c r="M8" s="6" t="s">
        <v>44</v>
      </c>
      <c r="N8" s="6"/>
      <c r="O8" s="6" t="s">
        <v>61</v>
      </c>
      <c r="P8" s="6" t="s">
        <v>31</v>
      </c>
      <c r="Q8" s="6" t="s">
        <v>62</v>
      </c>
    </row>
    <row r="9" spans="1:17" x14ac:dyDescent="0.2">
      <c r="A9" s="6" t="s">
        <v>17</v>
      </c>
      <c r="B9" s="6" t="s">
        <v>51</v>
      </c>
      <c r="C9" s="6" t="s">
        <v>38</v>
      </c>
      <c r="D9" s="6" t="s">
        <v>52</v>
      </c>
      <c r="E9" s="6"/>
      <c r="F9" s="6" t="s">
        <v>63</v>
      </c>
      <c r="G9" s="16" t="s">
        <v>64</v>
      </c>
      <c r="H9" s="6" t="s">
        <v>65</v>
      </c>
      <c r="I9" s="6">
        <v>940</v>
      </c>
      <c r="J9" s="20">
        <f t="shared" si="0"/>
        <v>752</v>
      </c>
      <c r="K9" s="20">
        <f t="shared" si="3"/>
        <v>1128</v>
      </c>
      <c r="L9" s="6">
        <v>10000</v>
      </c>
      <c r="M9" s="6" t="s">
        <v>44</v>
      </c>
      <c r="N9" s="6"/>
      <c r="O9" s="6" t="s">
        <v>66</v>
      </c>
      <c r="P9" s="6" t="s">
        <v>31</v>
      </c>
      <c r="Q9" s="6" t="s">
        <v>67</v>
      </c>
    </row>
    <row r="10" spans="1:17" x14ac:dyDescent="0.2">
      <c r="A10" s="6" t="s">
        <v>17</v>
      </c>
      <c r="B10" s="6" t="s">
        <v>51</v>
      </c>
      <c r="C10" s="6" t="s">
        <v>38</v>
      </c>
      <c r="D10" s="6" t="s">
        <v>52</v>
      </c>
      <c r="E10" s="6"/>
      <c r="F10" s="6" t="s">
        <v>68</v>
      </c>
      <c r="G10" s="16" t="s">
        <v>69</v>
      </c>
      <c r="H10" s="6" t="s">
        <v>70</v>
      </c>
      <c r="I10" s="6">
        <v>20000</v>
      </c>
      <c r="J10" s="20">
        <f t="shared" si="0"/>
        <v>16000</v>
      </c>
      <c r="K10" s="20">
        <f t="shared" si="3"/>
        <v>24000</v>
      </c>
      <c r="L10" s="6">
        <v>60000</v>
      </c>
      <c r="M10" s="6" t="s">
        <v>44</v>
      </c>
      <c r="N10" s="6"/>
      <c r="O10" s="6" t="s">
        <v>71</v>
      </c>
      <c r="P10" s="6" t="s">
        <v>31</v>
      </c>
      <c r="Q10" s="6" t="s">
        <v>72</v>
      </c>
    </row>
    <row r="11" spans="1:17" x14ac:dyDescent="0.2">
      <c r="A11" s="6" t="s">
        <v>17</v>
      </c>
      <c r="B11" s="6" t="s">
        <v>51</v>
      </c>
      <c r="C11" s="6" t="s">
        <v>38</v>
      </c>
      <c r="D11" s="6" t="s">
        <v>52</v>
      </c>
      <c r="E11" s="6"/>
      <c r="F11" s="6" t="s">
        <v>73</v>
      </c>
      <c r="G11" s="16" t="s">
        <v>74</v>
      </c>
      <c r="H11" s="6" t="s">
        <v>43</v>
      </c>
      <c r="I11" s="6">
        <v>100</v>
      </c>
      <c r="J11" s="20">
        <f t="shared" si="0"/>
        <v>80</v>
      </c>
      <c r="K11" s="20">
        <f t="shared" si="3"/>
        <v>120</v>
      </c>
      <c r="L11" s="6"/>
      <c r="M11" s="6" t="s">
        <v>44</v>
      </c>
      <c r="N11" s="6"/>
      <c r="O11" s="6" t="s">
        <v>75</v>
      </c>
      <c r="P11" s="6" t="s">
        <v>31</v>
      </c>
      <c r="Q11" s="6" t="s">
        <v>76</v>
      </c>
    </row>
    <row r="12" spans="1:17" x14ac:dyDescent="0.2">
      <c r="A12" s="6" t="s">
        <v>17</v>
      </c>
      <c r="B12" s="6" t="s">
        <v>51</v>
      </c>
      <c r="C12" s="6" t="s">
        <v>38</v>
      </c>
      <c r="D12" s="6" t="s">
        <v>52</v>
      </c>
      <c r="E12" s="6"/>
      <c r="F12" s="6" t="s">
        <v>77</v>
      </c>
      <c r="G12" s="16" t="s">
        <v>78</v>
      </c>
      <c r="H12" s="6" t="s">
        <v>23</v>
      </c>
      <c r="I12" s="6" t="s">
        <v>47</v>
      </c>
      <c r="J12" s="20"/>
      <c r="K12" s="20"/>
      <c r="L12" s="6"/>
      <c r="M12" s="6" t="s">
        <v>79</v>
      </c>
      <c r="N12" s="6" t="s">
        <v>80</v>
      </c>
      <c r="O12" s="6" t="s">
        <v>81</v>
      </c>
      <c r="P12" s="6" t="s">
        <v>31</v>
      </c>
      <c r="Q12" s="6" t="s">
        <v>82</v>
      </c>
    </row>
    <row r="13" spans="1:17" x14ac:dyDescent="0.2">
      <c r="A13" s="6" t="s">
        <v>17</v>
      </c>
      <c r="B13" s="6" t="s">
        <v>51</v>
      </c>
      <c r="C13" s="6" t="s">
        <v>38</v>
      </c>
      <c r="D13" s="6" t="s">
        <v>83</v>
      </c>
      <c r="E13" s="6"/>
      <c r="F13" s="6" t="s">
        <v>53</v>
      </c>
      <c r="G13" s="16" t="s">
        <v>54</v>
      </c>
      <c r="H13" s="6" t="s">
        <v>55</v>
      </c>
      <c r="I13" s="6">
        <v>1050</v>
      </c>
      <c r="J13" s="20">
        <f t="shared" si="0"/>
        <v>840</v>
      </c>
      <c r="K13" s="20">
        <f t="shared" si="3"/>
        <v>1260</v>
      </c>
      <c r="L13" s="6">
        <v>1050</v>
      </c>
      <c r="M13" s="6" t="s">
        <v>44</v>
      </c>
      <c r="N13" s="6"/>
      <c r="O13" s="6" t="s">
        <v>84</v>
      </c>
      <c r="P13" s="6" t="s">
        <v>31</v>
      </c>
      <c r="Q13" s="6" t="s">
        <v>85</v>
      </c>
    </row>
    <row r="14" spans="1:17" x14ac:dyDescent="0.2">
      <c r="A14" s="6" t="s">
        <v>17</v>
      </c>
      <c r="B14" s="6" t="s">
        <v>51</v>
      </c>
      <c r="C14" s="6" t="s">
        <v>38</v>
      </c>
      <c r="D14" s="6" t="s">
        <v>83</v>
      </c>
      <c r="E14" s="6"/>
      <c r="F14" s="6" t="s">
        <v>58</v>
      </c>
      <c r="G14" s="16" t="s">
        <v>59</v>
      </c>
      <c r="H14" s="6" t="s">
        <v>60</v>
      </c>
      <c r="I14" s="6">
        <v>1.5</v>
      </c>
      <c r="J14" s="20">
        <f t="shared" si="0"/>
        <v>1.2000000000000002</v>
      </c>
      <c r="K14" s="20">
        <f t="shared" si="3"/>
        <v>1.7999999999999998</v>
      </c>
      <c r="L14" s="6">
        <v>1.5</v>
      </c>
      <c r="M14" s="6" t="s">
        <v>44</v>
      </c>
      <c r="N14" s="6"/>
      <c r="O14" s="6" t="s">
        <v>86</v>
      </c>
      <c r="P14" s="6" t="s">
        <v>31</v>
      </c>
      <c r="Q14" s="6" t="s">
        <v>87</v>
      </c>
    </row>
    <row r="15" spans="1:17" x14ac:dyDescent="0.2">
      <c r="A15" s="6" t="s">
        <v>17</v>
      </c>
      <c r="B15" s="6" t="s">
        <v>51</v>
      </c>
      <c r="C15" s="6" t="s">
        <v>38</v>
      </c>
      <c r="D15" s="6" t="s">
        <v>83</v>
      </c>
      <c r="E15" s="6"/>
      <c r="F15" s="6" t="s">
        <v>63</v>
      </c>
      <c r="G15" s="16" t="s">
        <v>64</v>
      </c>
      <c r="H15" s="6" t="s">
        <v>65</v>
      </c>
      <c r="I15" s="6">
        <v>360</v>
      </c>
      <c r="J15" s="20">
        <f t="shared" si="0"/>
        <v>288</v>
      </c>
      <c r="K15" s="20">
        <f t="shared" si="3"/>
        <v>432</v>
      </c>
      <c r="L15" s="6">
        <v>1450</v>
      </c>
      <c r="M15" s="6" t="s">
        <v>44</v>
      </c>
      <c r="N15" s="6"/>
      <c r="O15" s="6" t="s">
        <v>88</v>
      </c>
      <c r="P15" s="6" t="s">
        <v>31</v>
      </c>
      <c r="Q15" s="6" t="s">
        <v>89</v>
      </c>
    </row>
    <row r="16" spans="1:17" x14ac:dyDescent="0.2">
      <c r="A16" s="6" t="s">
        <v>17</v>
      </c>
      <c r="B16" s="6" t="s">
        <v>51</v>
      </c>
      <c r="C16" s="6" t="s">
        <v>38</v>
      </c>
      <c r="D16" s="6" t="s">
        <v>83</v>
      </c>
      <c r="E16" s="6"/>
      <c r="F16" s="6" t="s">
        <v>68</v>
      </c>
      <c r="G16" s="16" t="s">
        <v>69</v>
      </c>
      <c r="H16" s="6" t="s">
        <v>70</v>
      </c>
      <c r="I16" s="6">
        <v>36000</v>
      </c>
      <c r="J16" s="20">
        <f t="shared" si="0"/>
        <v>28800</v>
      </c>
      <c r="K16" s="20">
        <f t="shared" si="3"/>
        <v>43200</v>
      </c>
      <c r="L16" s="6">
        <v>36000</v>
      </c>
      <c r="M16" s="6" t="s">
        <v>44</v>
      </c>
      <c r="N16" s="6"/>
      <c r="O16" s="6" t="s">
        <v>90</v>
      </c>
      <c r="P16" s="6" t="s">
        <v>31</v>
      </c>
      <c r="Q16" s="6" t="s">
        <v>87</v>
      </c>
    </row>
    <row r="17" spans="1:17" x14ac:dyDescent="0.2">
      <c r="A17" s="6" t="s">
        <v>17</v>
      </c>
      <c r="B17" s="6" t="s">
        <v>51</v>
      </c>
      <c r="C17" s="6" t="s">
        <v>38</v>
      </c>
      <c r="D17" s="6" t="s">
        <v>83</v>
      </c>
      <c r="E17" s="6"/>
      <c r="F17" s="6" t="s">
        <v>73</v>
      </c>
      <c r="G17" s="16" t="s">
        <v>74</v>
      </c>
      <c r="H17" s="6" t="s">
        <v>43</v>
      </c>
      <c r="I17" s="6">
        <v>100</v>
      </c>
      <c r="J17" s="20">
        <f t="shared" si="0"/>
        <v>80</v>
      </c>
      <c r="K17" s="20">
        <f t="shared" si="3"/>
        <v>120</v>
      </c>
      <c r="L17" s="6"/>
      <c r="M17" s="6" t="s">
        <v>44</v>
      </c>
      <c r="N17" s="6"/>
      <c r="O17" s="6" t="s">
        <v>91</v>
      </c>
      <c r="P17" s="6" t="s">
        <v>31</v>
      </c>
      <c r="Q17" s="6" t="s">
        <v>87</v>
      </c>
    </row>
    <row r="18" spans="1:17" x14ac:dyDescent="0.2">
      <c r="A18" s="6" t="s">
        <v>17</v>
      </c>
      <c r="B18" s="6" t="s">
        <v>51</v>
      </c>
      <c r="C18" s="6" t="s">
        <v>38</v>
      </c>
      <c r="D18" s="6" t="s">
        <v>83</v>
      </c>
      <c r="E18" s="6"/>
      <c r="F18" s="6" t="s">
        <v>77</v>
      </c>
      <c r="G18" s="16" t="s">
        <v>78</v>
      </c>
      <c r="H18" s="6" t="s">
        <v>23</v>
      </c>
      <c r="I18" s="6" t="s">
        <v>47</v>
      </c>
      <c r="J18" s="20"/>
      <c r="K18" s="20"/>
      <c r="L18" s="6"/>
      <c r="M18" s="6" t="s">
        <v>79</v>
      </c>
      <c r="N18" s="6" t="s">
        <v>80</v>
      </c>
      <c r="O18" s="6" t="s">
        <v>81</v>
      </c>
      <c r="P18" s="6" t="s">
        <v>31</v>
      </c>
      <c r="Q18" s="6" t="s">
        <v>82</v>
      </c>
    </row>
    <row r="19" spans="1:17" x14ac:dyDescent="0.2">
      <c r="A19" s="6" t="s">
        <v>17</v>
      </c>
      <c r="B19" s="6" t="s">
        <v>51</v>
      </c>
      <c r="C19" s="6" t="s">
        <v>38</v>
      </c>
      <c r="D19" s="6" t="s">
        <v>92</v>
      </c>
      <c r="E19" s="6"/>
      <c r="F19" s="6" t="s">
        <v>53</v>
      </c>
      <c r="G19" s="16" t="s">
        <v>54</v>
      </c>
      <c r="H19" s="6" t="s">
        <v>55</v>
      </c>
      <c r="I19" s="6">
        <v>1200</v>
      </c>
      <c r="J19" s="20">
        <f t="shared" si="0"/>
        <v>960</v>
      </c>
      <c r="K19" s="20">
        <f t="shared" si="3"/>
        <v>1440</v>
      </c>
      <c r="L19" s="6">
        <v>4100</v>
      </c>
      <c r="M19" s="6" t="s">
        <v>44</v>
      </c>
      <c r="N19" s="6"/>
      <c r="O19" s="6" t="s">
        <v>93</v>
      </c>
      <c r="P19" s="6" t="s">
        <v>31</v>
      </c>
      <c r="Q19" s="6" t="s">
        <v>87</v>
      </c>
    </row>
    <row r="20" spans="1:17" x14ac:dyDescent="0.2">
      <c r="A20" s="6" t="s">
        <v>17</v>
      </c>
      <c r="B20" s="6" t="s">
        <v>51</v>
      </c>
      <c r="C20" s="6" t="s">
        <v>38</v>
      </c>
      <c r="D20" s="6" t="s">
        <v>92</v>
      </c>
      <c r="E20" s="6"/>
      <c r="F20" s="6" t="s">
        <v>58</v>
      </c>
      <c r="G20" s="16" t="s">
        <v>59</v>
      </c>
      <c r="H20" s="6" t="s">
        <v>60</v>
      </c>
      <c r="I20" s="6">
        <v>4</v>
      </c>
      <c r="J20" s="20">
        <f t="shared" si="0"/>
        <v>3.2</v>
      </c>
      <c r="K20" s="20">
        <f t="shared" si="3"/>
        <v>4.8</v>
      </c>
      <c r="L20" s="6">
        <v>30</v>
      </c>
      <c r="M20" s="6" t="s">
        <v>44</v>
      </c>
      <c r="N20" s="6"/>
      <c r="O20" s="6" t="s">
        <v>94</v>
      </c>
      <c r="P20" s="6" t="s">
        <v>31</v>
      </c>
      <c r="Q20" s="6" t="s">
        <v>95</v>
      </c>
    </row>
    <row r="21" spans="1:17" x14ac:dyDescent="0.2">
      <c r="A21" s="6" t="s">
        <v>17</v>
      </c>
      <c r="B21" s="6" t="s">
        <v>51</v>
      </c>
      <c r="C21" s="6" t="s">
        <v>38</v>
      </c>
      <c r="D21" s="6" t="s">
        <v>92</v>
      </c>
      <c r="E21" s="6"/>
      <c r="F21" s="6" t="s">
        <v>63</v>
      </c>
      <c r="G21" s="16" t="s">
        <v>64</v>
      </c>
      <c r="H21" s="6" t="s">
        <v>65</v>
      </c>
      <c r="I21" s="6">
        <v>170</v>
      </c>
      <c r="J21" s="20">
        <f t="shared" si="0"/>
        <v>136</v>
      </c>
      <c r="K21" s="20">
        <f t="shared" si="3"/>
        <v>204</v>
      </c>
      <c r="L21" s="6">
        <v>2680</v>
      </c>
      <c r="M21" s="6" t="s">
        <v>44</v>
      </c>
      <c r="N21" s="6"/>
      <c r="O21" s="6" t="s">
        <v>96</v>
      </c>
      <c r="P21" s="6" t="s">
        <v>31</v>
      </c>
      <c r="Q21" s="6" t="s">
        <v>97</v>
      </c>
    </row>
    <row r="22" spans="1:17" x14ac:dyDescent="0.2">
      <c r="A22" s="6" t="s">
        <v>17</v>
      </c>
      <c r="B22" s="6" t="s">
        <v>51</v>
      </c>
      <c r="C22" s="6" t="s">
        <v>38</v>
      </c>
      <c r="D22" s="6" t="s">
        <v>92</v>
      </c>
      <c r="E22" s="6"/>
      <c r="F22" s="6" t="s">
        <v>68</v>
      </c>
      <c r="G22" s="16" t="s">
        <v>69</v>
      </c>
      <c r="H22" s="6" t="s">
        <v>70</v>
      </c>
      <c r="I22" s="6">
        <v>30000</v>
      </c>
      <c r="J22" s="20">
        <f t="shared" si="0"/>
        <v>24000</v>
      </c>
      <c r="K22" s="20">
        <f t="shared" si="3"/>
        <v>36000</v>
      </c>
      <c r="L22" s="6">
        <v>60000</v>
      </c>
      <c r="M22" s="6" t="s">
        <v>44</v>
      </c>
      <c r="N22" s="6"/>
      <c r="O22" s="6" t="s">
        <v>98</v>
      </c>
      <c r="P22" s="6" t="s">
        <v>31</v>
      </c>
      <c r="Q22" s="6" t="s">
        <v>87</v>
      </c>
    </row>
    <row r="23" spans="1:17" x14ac:dyDescent="0.2">
      <c r="A23" s="6" t="s">
        <v>17</v>
      </c>
      <c r="B23" s="6" t="s">
        <v>18</v>
      </c>
      <c r="C23" s="6" t="s">
        <v>38</v>
      </c>
      <c r="D23" s="6" t="s">
        <v>92</v>
      </c>
      <c r="E23" s="6"/>
      <c r="F23" s="6" t="s">
        <v>73</v>
      </c>
      <c r="G23" s="16" t="s">
        <v>74</v>
      </c>
      <c r="H23" s="6" t="s">
        <v>43</v>
      </c>
      <c r="I23" s="19">
        <v>80</v>
      </c>
      <c r="J23" s="19">
        <f>100-37.6</f>
        <v>62.4</v>
      </c>
      <c r="K23" s="19">
        <f>100-8</f>
        <v>92</v>
      </c>
      <c r="L23" s="19"/>
      <c r="M23" s="6" t="s">
        <v>24</v>
      </c>
      <c r="N23" s="6"/>
      <c r="O23" s="6" t="s">
        <v>99</v>
      </c>
      <c r="P23" s="6" t="s">
        <v>31</v>
      </c>
      <c r="Q23" s="6" t="s">
        <v>100</v>
      </c>
    </row>
    <row r="24" spans="1:17" x14ac:dyDescent="0.2">
      <c r="A24" s="6" t="s">
        <v>17</v>
      </c>
      <c r="B24" s="6" t="s">
        <v>51</v>
      </c>
      <c r="C24" s="6" t="s">
        <v>38</v>
      </c>
      <c r="D24" s="6" t="s">
        <v>92</v>
      </c>
      <c r="E24" s="6"/>
      <c r="F24" s="6" t="s">
        <v>77</v>
      </c>
      <c r="G24" s="16" t="s">
        <v>78</v>
      </c>
      <c r="H24" s="6" t="s">
        <v>23</v>
      </c>
      <c r="I24" s="6" t="s">
        <v>47</v>
      </c>
      <c r="J24" s="6"/>
      <c r="K24" s="6"/>
      <c r="L24" s="6"/>
      <c r="M24" s="6" t="s">
        <v>79</v>
      </c>
      <c r="N24" s="6" t="s">
        <v>80</v>
      </c>
      <c r="O24" s="6" t="s">
        <v>81</v>
      </c>
      <c r="P24" s="6" t="s">
        <v>31</v>
      </c>
      <c r="Q24" s="6" t="s">
        <v>82</v>
      </c>
    </row>
    <row r="25" spans="1:17" x14ac:dyDescent="0.2">
      <c r="A25" s="6" t="s">
        <v>17</v>
      </c>
      <c r="B25" s="6" t="s">
        <v>51</v>
      </c>
      <c r="C25" s="6" t="s">
        <v>38</v>
      </c>
      <c r="D25" s="6" t="s">
        <v>101</v>
      </c>
      <c r="E25" s="6"/>
      <c r="F25" s="6" t="s">
        <v>53</v>
      </c>
      <c r="G25" s="16" t="s">
        <v>54</v>
      </c>
      <c r="H25" s="6" t="s">
        <v>55</v>
      </c>
      <c r="I25" s="6">
        <v>1100</v>
      </c>
      <c r="J25" s="20">
        <f t="shared" ref="J25:J37" si="4">I25*0.8</f>
        <v>880</v>
      </c>
      <c r="K25" s="20">
        <f t="shared" ref="K25" si="5">I25*1.2</f>
        <v>1320</v>
      </c>
      <c r="L25" s="6">
        <v>24000</v>
      </c>
      <c r="M25" s="6" t="s">
        <v>44</v>
      </c>
      <c r="N25" s="6"/>
      <c r="O25" s="6" t="s">
        <v>102</v>
      </c>
      <c r="P25" s="6" t="s">
        <v>31</v>
      </c>
      <c r="Q25" s="6" t="s">
        <v>87</v>
      </c>
    </row>
    <row r="26" spans="1:17" x14ac:dyDescent="0.2">
      <c r="A26" s="6" t="s">
        <v>17</v>
      </c>
      <c r="B26" s="6" t="s">
        <v>51</v>
      </c>
      <c r="C26" s="6" t="s">
        <v>38</v>
      </c>
      <c r="D26" s="6" t="s">
        <v>101</v>
      </c>
      <c r="E26" s="6"/>
      <c r="F26" s="6" t="s">
        <v>58</v>
      </c>
      <c r="G26" s="16" t="s">
        <v>59</v>
      </c>
      <c r="H26" s="6" t="s">
        <v>60</v>
      </c>
      <c r="I26" s="6">
        <v>1.5</v>
      </c>
      <c r="J26" s="20">
        <f t="shared" si="4"/>
        <v>1.2000000000000002</v>
      </c>
      <c r="K26" s="20">
        <f t="shared" ref="K26:K37" si="6">I26*1.2</f>
        <v>1.7999999999999998</v>
      </c>
      <c r="L26" s="6">
        <v>15</v>
      </c>
      <c r="M26" s="6" t="s">
        <v>44</v>
      </c>
      <c r="N26" s="6"/>
      <c r="O26" s="6" t="s">
        <v>103</v>
      </c>
      <c r="P26" s="6" t="s">
        <v>31</v>
      </c>
      <c r="Q26" s="6" t="s">
        <v>87</v>
      </c>
    </row>
    <row r="27" spans="1:17" x14ac:dyDescent="0.2">
      <c r="A27" s="6" t="s">
        <v>17</v>
      </c>
      <c r="B27" s="6" t="s">
        <v>51</v>
      </c>
      <c r="C27" s="6" t="s">
        <v>38</v>
      </c>
      <c r="D27" s="6" t="s">
        <v>101</v>
      </c>
      <c r="E27" s="6"/>
      <c r="F27" s="6" t="s">
        <v>63</v>
      </c>
      <c r="G27" s="16" t="s">
        <v>64</v>
      </c>
      <c r="H27" s="6" t="s">
        <v>65</v>
      </c>
      <c r="I27" s="6">
        <v>410</v>
      </c>
      <c r="J27" s="20">
        <f t="shared" si="4"/>
        <v>328</v>
      </c>
      <c r="K27" s="20">
        <f t="shared" si="6"/>
        <v>492</v>
      </c>
      <c r="L27" s="6">
        <v>2050</v>
      </c>
      <c r="M27" s="6" t="s">
        <v>44</v>
      </c>
      <c r="N27" s="6"/>
      <c r="O27" s="6" t="s">
        <v>104</v>
      </c>
      <c r="P27" s="6" t="s">
        <v>31</v>
      </c>
      <c r="Q27" s="6" t="s">
        <v>105</v>
      </c>
    </row>
    <row r="28" spans="1:17" x14ac:dyDescent="0.2">
      <c r="A28" s="6" t="s">
        <v>17</v>
      </c>
      <c r="B28" s="6" t="s">
        <v>51</v>
      </c>
      <c r="C28" s="6" t="s">
        <v>38</v>
      </c>
      <c r="D28" s="6" t="s">
        <v>101</v>
      </c>
      <c r="E28" s="6"/>
      <c r="F28" s="6" t="s">
        <v>68</v>
      </c>
      <c r="G28" s="16" t="s">
        <v>69</v>
      </c>
      <c r="H28" s="6" t="s">
        <v>70</v>
      </c>
      <c r="I28" s="6">
        <v>36000</v>
      </c>
      <c r="J28" s="20">
        <f t="shared" si="4"/>
        <v>28800</v>
      </c>
      <c r="K28" s="20">
        <f t="shared" si="6"/>
        <v>43200</v>
      </c>
      <c r="L28" s="6">
        <v>60000</v>
      </c>
      <c r="M28" s="6" t="s">
        <v>44</v>
      </c>
      <c r="N28" s="6"/>
      <c r="O28" s="6" t="s">
        <v>106</v>
      </c>
      <c r="P28" s="6" t="s">
        <v>31</v>
      </c>
      <c r="Q28" s="6" t="s">
        <v>87</v>
      </c>
    </row>
    <row r="29" spans="1:17" x14ac:dyDescent="0.2">
      <c r="A29" s="6" t="s">
        <v>17</v>
      </c>
      <c r="B29" s="6" t="s">
        <v>51</v>
      </c>
      <c r="C29" s="6" t="s">
        <v>38</v>
      </c>
      <c r="D29" s="6" t="s">
        <v>101</v>
      </c>
      <c r="E29" s="6"/>
      <c r="F29" s="6" t="s">
        <v>73</v>
      </c>
      <c r="G29" s="16" t="s">
        <v>74</v>
      </c>
      <c r="H29" s="6" t="s">
        <v>43</v>
      </c>
      <c r="I29" s="6">
        <v>99</v>
      </c>
      <c r="J29" s="20">
        <f t="shared" si="4"/>
        <v>79.2</v>
      </c>
      <c r="K29" s="20">
        <f t="shared" si="6"/>
        <v>118.8</v>
      </c>
      <c r="L29" s="6"/>
      <c r="M29" s="6" t="s">
        <v>44</v>
      </c>
      <c r="N29" s="6"/>
      <c r="O29" s="6" t="s">
        <v>107</v>
      </c>
      <c r="P29" s="6" t="s">
        <v>31</v>
      </c>
      <c r="Q29" s="6" t="s">
        <v>108</v>
      </c>
    </row>
    <row r="30" spans="1:17" x14ac:dyDescent="0.2">
      <c r="A30" s="6" t="s">
        <v>17</v>
      </c>
      <c r="B30" s="6" t="s">
        <v>51</v>
      </c>
      <c r="C30" s="6" t="s">
        <v>38</v>
      </c>
      <c r="D30" s="6" t="s">
        <v>101</v>
      </c>
      <c r="E30" s="6"/>
      <c r="F30" s="6" t="s">
        <v>77</v>
      </c>
      <c r="G30" s="16" t="s">
        <v>78</v>
      </c>
      <c r="H30" s="6" t="s">
        <v>23</v>
      </c>
      <c r="I30" s="6" t="s">
        <v>47</v>
      </c>
      <c r="J30" s="20"/>
      <c r="K30" s="20"/>
      <c r="L30" s="6"/>
      <c r="M30" s="6" t="s">
        <v>79</v>
      </c>
      <c r="N30" s="6" t="s">
        <v>80</v>
      </c>
      <c r="O30" s="6" t="s">
        <v>81</v>
      </c>
      <c r="P30" s="6" t="s">
        <v>31</v>
      </c>
      <c r="Q30" s="6" t="s">
        <v>82</v>
      </c>
    </row>
    <row r="31" spans="1:17" x14ac:dyDescent="0.2">
      <c r="A31" s="6" t="s">
        <v>17</v>
      </c>
      <c r="B31" s="6" t="s">
        <v>109</v>
      </c>
      <c r="C31" s="6" t="s">
        <v>110</v>
      </c>
      <c r="D31" s="6" t="s">
        <v>20</v>
      </c>
      <c r="E31" s="6"/>
      <c r="F31" s="6" t="s">
        <v>111</v>
      </c>
      <c r="G31" s="16" t="s">
        <v>112</v>
      </c>
      <c r="H31" s="6" t="s">
        <v>113</v>
      </c>
      <c r="I31" s="6">
        <v>75</v>
      </c>
      <c r="J31" s="20">
        <f t="shared" si="4"/>
        <v>60</v>
      </c>
      <c r="K31" s="20">
        <f t="shared" si="6"/>
        <v>90</v>
      </c>
      <c r="L31" s="6"/>
      <c r="M31" s="6" t="s">
        <v>44</v>
      </c>
      <c r="N31" s="6"/>
      <c r="O31" s="6" t="s">
        <v>114</v>
      </c>
      <c r="P31" s="6" t="s">
        <v>31</v>
      </c>
      <c r="Q31" s="6" t="s">
        <v>115</v>
      </c>
    </row>
    <row r="32" spans="1:17" x14ac:dyDescent="0.2">
      <c r="A32" s="6" t="s">
        <v>17</v>
      </c>
      <c r="B32" s="6" t="s">
        <v>109</v>
      </c>
      <c r="C32" s="6" t="s">
        <v>116</v>
      </c>
      <c r="D32" s="6" t="s">
        <v>117</v>
      </c>
      <c r="E32" s="6" t="s">
        <v>118</v>
      </c>
      <c r="F32" s="6" t="s">
        <v>119</v>
      </c>
      <c r="G32" s="16" t="s">
        <v>120</v>
      </c>
      <c r="H32" s="6" t="s">
        <v>43</v>
      </c>
      <c r="I32" s="6">
        <v>0</v>
      </c>
      <c r="J32" s="20">
        <f t="shared" si="4"/>
        <v>0</v>
      </c>
      <c r="K32" s="20">
        <f t="shared" si="6"/>
        <v>0</v>
      </c>
      <c r="L32" s="6">
        <v>0</v>
      </c>
      <c r="M32" s="6" t="s">
        <v>44</v>
      </c>
      <c r="N32" s="6"/>
      <c r="O32" s="6" t="s">
        <v>121</v>
      </c>
      <c r="P32" s="6" t="s">
        <v>31</v>
      </c>
      <c r="Q32" s="6" t="s">
        <v>122</v>
      </c>
    </row>
    <row r="33" spans="1:17" x14ac:dyDescent="0.2">
      <c r="A33" s="6" t="s">
        <v>17</v>
      </c>
      <c r="B33" s="6" t="s">
        <v>109</v>
      </c>
      <c r="C33" s="6" t="s">
        <v>116</v>
      </c>
      <c r="D33" s="6" t="s">
        <v>117</v>
      </c>
      <c r="E33" s="6" t="s">
        <v>123</v>
      </c>
      <c r="F33" s="6" t="s">
        <v>119</v>
      </c>
      <c r="G33" s="16" t="s">
        <v>124</v>
      </c>
      <c r="H33" s="6" t="s">
        <v>43</v>
      </c>
      <c r="I33" s="6">
        <v>30</v>
      </c>
      <c r="J33" s="20">
        <f t="shared" si="4"/>
        <v>24</v>
      </c>
      <c r="K33" s="20">
        <f t="shared" si="6"/>
        <v>36</v>
      </c>
      <c r="L33" s="6">
        <v>30</v>
      </c>
      <c r="M33" s="6" t="s">
        <v>44</v>
      </c>
      <c r="N33" s="6"/>
      <c r="O33" s="6" t="s">
        <v>121</v>
      </c>
      <c r="P33" s="6" t="s">
        <v>31</v>
      </c>
      <c r="Q33" s="6" t="s">
        <v>125</v>
      </c>
    </row>
    <row r="34" spans="1:17" x14ac:dyDescent="0.2">
      <c r="A34" s="6" t="s">
        <v>17</v>
      </c>
      <c r="B34" s="6" t="s">
        <v>109</v>
      </c>
      <c r="C34" s="6" t="s">
        <v>116</v>
      </c>
      <c r="D34" s="6" t="s">
        <v>117</v>
      </c>
      <c r="E34" s="6" t="s">
        <v>126</v>
      </c>
      <c r="F34" s="6" t="s">
        <v>119</v>
      </c>
      <c r="G34" s="16" t="s">
        <v>127</v>
      </c>
      <c r="H34" s="6" t="s">
        <v>43</v>
      </c>
      <c r="I34" s="6">
        <v>20</v>
      </c>
      <c r="J34" s="20">
        <f t="shared" si="4"/>
        <v>16</v>
      </c>
      <c r="K34" s="20">
        <f t="shared" si="6"/>
        <v>24</v>
      </c>
      <c r="L34" s="6">
        <v>40</v>
      </c>
      <c r="M34" s="6" t="s">
        <v>44</v>
      </c>
      <c r="N34" s="6"/>
      <c r="O34" s="6" t="s">
        <v>121</v>
      </c>
      <c r="P34" s="6" t="s">
        <v>31</v>
      </c>
      <c r="Q34" s="6" t="s">
        <v>128</v>
      </c>
    </row>
    <row r="35" spans="1:17" x14ac:dyDescent="0.2">
      <c r="A35" s="6" t="s">
        <v>17</v>
      </c>
      <c r="B35" s="6" t="s">
        <v>109</v>
      </c>
      <c r="C35" s="6" t="s">
        <v>116</v>
      </c>
      <c r="D35" s="6" t="s">
        <v>117</v>
      </c>
      <c r="E35" s="6" t="s">
        <v>129</v>
      </c>
      <c r="F35" s="6" t="s">
        <v>119</v>
      </c>
      <c r="G35" s="16" t="s">
        <v>130</v>
      </c>
      <c r="H35" s="6" t="s">
        <v>43</v>
      </c>
      <c r="I35" s="6">
        <v>45</v>
      </c>
      <c r="J35" s="20">
        <f t="shared" si="4"/>
        <v>36</v>
      </c>
      <c r="K35" s="20">
        <f t="shared" si="6"/>
        <v>54</v>
      </c>
      <c r="L35" s="6">
        <v>28</v>
      </c>
      <c r="M35" s="6" t="s">
        <v>44</v>
      </c>
      <c r="N35" s="6"/>
      <c r="O35" s="6" t="s">
        <v>121</v>
      </c>
      <c r="P35" s="6" t="s">
        <v>31</v>
      </c>
      <c r="Q35" s="6" t="s">
        <v>131</v>
      </c>
    </row>
    <row r="36" spans="1:17" x14ac:dyDescent="0.2">
      <c r="A36" s="6" t="s">
        <v>17</v>
      </c>
      <c r="B36" s="6" t="s">
        <v>109</v>
      </c>
      <c r="C36" s="6" t="s">
        <v>116</v>
      </c>
      <c r="D36" s="6" t="s">
        <v>117</v>
      </c>
      <c r="E36" s="6" t="s">
        <v>132</v>
      </c>
      <c r="F36" s="6" t="s">
        <v>119</v>
      </c>
      <c r="G36" s="16" t="s">
        <v>133</v>
      </c>
      <c r="H36" s="6" t="s">
        <v>43</v>
      </c>
      <c r="I36" s="6">
        <v>5</v>
      </c>
      <c r="J36" s="20">
        <f t="shared" si="4"/>
        <v>4</v>
      </c>
      <c r="K36" s="20">
        <f t="shared" si="6"/>
        <v>6</v>
      </c>
      <c r="L36" s="6">
        <v>2</v>
      </c>
      <c r="M36" s="6" t="s">
        <v>44</v>
      </c>
      <c r="N36" s="6"/>
      <c r="O36" s="6" t="s">
        <v>121</v>
      </c>
      <c r="P36" s="6" t="s">
        <v>31</v>
      </c>
      <c r="Q36" s="6" t="s">
        <v>134</v>
      </c>
    </row>
    <row r="37" spans="1:17" x14ac:dyDescent="0.2">
      <c r="A37" s="6" t="s">
        <v>17</v>
      </c>
      <c r="B37" s="6" t="s">
        <v>135</v>
      </c>
      <c r="C37" s="6" t="s">
        <v>136</v>
      </c>
      <c r="D37" s="6" t="s">
        <v>20</v>
      </c>
      <c r="E37" s="6"/>
      <c r="F37" s="6" t="s">
        <v>135</v>
      </c>
      <c r="G37" s="16" t="s">
        <v>137</v>
      </c>
      <c r="H37" s="6" t="s">
        <v>138</v>
      </c>
      <c r="I37" s="6" t="s">
        <v>139</v>
      </c>
      <c r="J37" s="20"/>
      <c r="K37" s="20"/>
      <c r="L37" s="6"/>
      <c r="M37" s="6" t="s">
        <v>79</v>
      </c>
      <c r="N37" s="6"/>
      <c r="O37" s="6" t="s">
        <v>140</v>
      </c>
      <c r="P37" s="6" t="s">
        <v>31</v>
      </c>
      <c r="Q37" s="6" t="s">
        <v>141</v>
      </c>
    </row>
  </sheetData>
  <conditionalFormatting sqref="I2:I244">
    <cfRule type="expression" dxfId="42" priority="3">
      <formula>AND($F2&lt;&gt;"",$I2="")</formula>
    </cfRule>
  </conditionalFormatting>
  <conditionalFormatting sqref="I2:P244">
    <cfRule type="expression" dxfId="41" priority="1">
      <formula>$P2="placeholder"</formula>
    </cfRule>
  </conditionalFormatting>
  <conditionalFormatting sqref="J2:K244">
    <cfRule type="expression" dxfId="40" priority="2">
      <formula>AND(OR($M2="triangular",$M2="uniform"),OR($J2="",$K2=""))</formula>
    </cfRule>
  </conditionalFormatting>
  <dataValidations count="4">
    <dataValidation type="list" allowBlank="1" showErrorMessage="1" sqref="B2:B244" xr:uid="{00000000-0002-0000-0A00-000000000000}">
      <formula1>"design,manufacturing,circularity,location"</formula1>
    </dataValidation>
    <dataValidation type="list" allowBlank="1" showErrorMessage="1" sqref="C2:C244" xr:uid="{00000000-0002-0000-0A00-000001000000}">
      <formula1>"product size,production,repair,use,end-of-life,general"</formula1>
    </dataValidation>
    <dataValidation type="list" allowBlank="1" showErrorMessage="1" sqref="M2:M244" xr:uid="{00000000-0002-0000-0A00-000002000000}">
      <formula1>"fixed,triangular,uniform,choice,combination"</formula1>
    </dataValidation>
    <dataValidation type="list" allowBlank="1" showErrorMessage="1" sqref="P2:P244" xr:uid="{00000000-0002-0000-0A00-000003000000}">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9"/>
  <sheetViews>
    <sheetView tabSelected="1" zoomScale="70" zoomScaleNormal="70" workbookViewId="0">
      <pane xSplit="6" ySplit="1" topLeftCell="G2" activePane="bottomRight" state="frozen"/>
      <selection pane="topRight"/>
      <selection pane="bottomLeft"/>
      <selection pane="bottomRight" activeCell="I41" sqref="I41"/>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2">
      <c r="A2" s="6" t="s">
        <v>213</v>
      </c>
      <c r="B2" s="6" t="s">
        <v>18</v>
      </c>
      <c r="C2" s="6" t="s">
        <v>19</v>
      </c>
      <c r="D2" s="6" t="s">
        <v>20</v>
      </c>
      <c r="E2" s="6"/>
      <c r="F2" s="6" t="s">
        <v>530</v>
      </c>
      <c r="G2" s="6" t="s">
        <v>531</v>
      </c>
      <c r="H2" s="6" t="s">
        <v>532</v>
      </c>
      <c r="I2" s="19">
        <v>0.4</v>
      </c>
      <c r="J2" s="19">
        <v>0.32</v>
      </c>
      <c r="K2" s="19">
        <v>0.48</v>
      </c>
      <c r="L2" s="19"/>
      <c r="M2" s="6" t="s">
        <v>24</v>
      </c>
      <c r="N2" s="6"/>
      <c r="O2" s="6" t="s">
        <v>533</v>
      </c>
      <c r="P2" s="6" t="s">
        <v>31</v>
      </c>
      <c r="Q2" s="6" t="s">
        <v>534</v>
      </c>
    </row>
    <row r="3" spans="1:17" x14ac:dyDescent="0.2">
      <c r="A3" s="6" t="s">
        <v>213</v>
      </c>
      <c r="B3" s="6" t="s">
        <v>18</v>
      </c>
      <c r="C3" s="6" t="s">
        <v>38</v>
      </c>
      <c r="D3" s="19" t="s">
        <v>535</v>
      </c>
      <c r="E3" s="19" t="s">
        <v>47</v>
      </c>
      <c r="F3" s="6" t="s">
        <v>41</v>
      </c>
      <c r="G3" s="16" t="s">
        <v>48</v>
      </c>
      <c r="H3" s="6" t="s">
        <v>43</v>
      </c>
      <c r="I3" s="19">
        <v>100</v>
      </c>
      <c r="J3" s="19">
        <v>100</v>
      </c>
      <c r="K3" s="19">
        <v>100</v>
      </c>
      <c r="L3" s="19"/>
      <c r="M3" s="6" t="s">
        <v>44</v>
      </c>
      <c r="N3" s="6"/>
      <c r="O3" s="6" t="s">
        <v>536</v>
      </c>
      <c r="P3" s="6" t="s">
        <v>31</v>
      </c>
      <c r="Q3" s="6" t="s">
        <v>537</v>
      </c>
    </row>
    <row r="4" spans="1:17" x14ac:dyDescent="0.2">
      <c r="A4" s="6" t="s">
        <v>213</v>
      </c>
      <c r="B4" s="6" t="s">
        <v>18</v>
      </c>
      <c r="C4" s="6" t="s">
        <v>447</v>
      </c>
      <c r="D4" s="19" t="s">
        <v>535</v>
      </c>
      <c r="E4" s="19" t="s">
        <v>47</v>
      </c>
      <c r="F4" s="6" t="s">
        <v>41</v>
      </c>
      <c r="G4" s="16" t="s">
        <v>538</v>
      </c>
      <c r="H4" s="6" t="s">
        <v>43</v>
      </c>
      <c r="I4" s="19">
        <v>100</v>
      </c>
      <c r="J4" s="19">
        <v>100</v>
      </c>
      <c r="K4" s="19">
        <v>100</v>
      </c>
      <c r="L4" s="19"/>
      <c r="M4" s="6" t="s">
        <v>44</v>
      </c>
      <c r="N4" s="6"/>
      <c r="O4" s="6" t="s">
        <v>536</v>
      </c>
      <c r="P4" s="6" t="s">
        <v>31</v>
      </c>
      <c r="Q4" s="6" t="s">
        <v>537</v>
      </c>
    </row>
    <row r="5" spans="1:17" x14ac:dyDescent="0.2">
      <c r="A5" s="6" t="s">
        <v>213</v>
      </c>
      <c r="B5" s="6" t="s">
        <v>51</v>
      </c>
      <c r="C5" s="6" t="s">
        <v>38</v>
      </c>
      <c r="D5" s="6" t="s">
        <v>341</v>
      </c>
      <c r="E5" s="6"/>
      <c r="F5" s="6" t="s">
        <v>53</v>
      </c>
      <c r="G5" s="16" t="s">
        <v>54</v>
      </c>
      <c r="H5" s="6" t="s">
        <v>55</v>
      </c>
      <c r="I5" s="19">
        <v>3000</v>
      </c>
      <c r="J5" s="19">
        <v>2400</v>
      </c>
      <c r="K5" s="19">
        <v>3600</v>
      </c>
      <c r="L5" s="19"/>
      <c r="M5" s="6" t="s">
        <v>24</v>
      </c>
      <c r="N5" s="6"/>
      <c r="O5" s="6" t="s">
        <v>539</v>
      </c>
      <c r="P5" s="6" t="s">
        <v>31</v>
      </c>
      <c r="Q5" s="6" t="s">
        <v>540</v>
      </c>
    </row>
    <row r="6" spans="1:17" x14ac:dyDescent="0.2">
      <c r="A6" s="6" t="s">
        <v>213</v>
      </c>
      <c r="B6" s="6" t="s">
        <v>51</v>
      </c>
      <c r="C6" s="6" t="s">
        <v>38</v>
      </c>
      <c r="D6" s="6" t="s">
        <v>341</v>
      </c>
      <c r="E6" s="6"/>
      <c r="F6" s="6" t="s">
        <v>58</v>
      </c>
      <c r="G6" s="16" t="s">
        <v>59</v>
      </c>
      <c r="H6" s="6" t="s">
        <v>60</v>
      </c>
      <c r="I6" s="19">
        <v>12</v>
      </c>
      <c r="J6" s="19">
        <v>9.6</v>
      </c>
      <c r="K6" s="19">
        <v>14.4</v>
      </c>
      <c r="L6" s="19"/>
      <c r="M6" s="6" t="s">
        <v>24</v>
      </c>
      <c r="N6" s="6"/>
      <c r="O6" s="6" t="s">
        <v>541</v>
      </c>
      <c r="P6" s="6" t="s">
        <v>31</v>
      </c>
      <c r="Q6" s="6" t="s">
        <v>542</v>
      </c>
    </row>
    <row r="7" spans="1:17" x14ac:dyDescent="0.2">
      <c r="A7" s="6" t="s">
        <v>213</v>
      </c>
      <c r="B7" s="6" t="s">
        <v>51</v>
      </c>
      <c r="C7" s="6" t="s">
        <v>38</v>
      </c>
      <c r="D7" s="6" t="s">
        <v>341</v>
      </c>
      <c r="E7" s="6"/>
      <c r="F7" s="6" t="s">
        <v>63</v>
      </c>
      <c r="G7" s="16" t="s">
        <v>64</v>
      </c>
      <c r="H7" s="6" t="s">
        <v>65</v>
      </c>
      <c r="I7" s="19">
        <v>15</v>
      </c>
      <c r="J7" s="19">
        <v>10</v>
      </c>
      <c r="K7" s="19">
        <v>25</v>
      </c>
      <c r="L7" s="19"/>
      <c r="M7" s="6" t="s">
        <v>24</v>
      </c>
      <c r="N7" s="6"/>
      <c r="O7" s="6" t="s">
        <v>543</v>
      </c>
      <c r="P7" s="6" t="s">
        <v>31</v>
      </c>
      <c r="Q7" s="6" t="s">
        <v>544</v>
      </c>
    </row>
    <row r="8" spans="1:17" x14ac:dyDescent="0.2">
      <c r="A8" s="6" t="s">
        <v>213</v>
      </c>
      <c r="B8" s="6" t="s">
        <v>51</v>
      </c>
      <c r="C8" s="6" t="s">
        <v>38</v>
      </c>
      <c r="D8" s="6" t="s">
        <v>341</v>
      </c>
      <c r="E8" s="6"/>
      <c r="F8" s="6" t="s">
        <v>68</v>
      </c>
      <c r="G8" s="16" t="s">
        <v>69</v>
      </c>
      <c r="H8" s="6" t="s">
        <v>70</v>
      </c>
      <c r="I8" s="19">
        <v>50000</v>
      </c>
      <c r="J8" s="19">
        <v>40000</v>
      </c>
      <c r="K8" s="19">
        <v>60000</v>
      </c>
      <c r="L8" s="19"/>
      <c r="M8" s="6" t="s">
        <v>24</v>
      </c>
      <c r="N8" s="6"/>
      <c r="O8" s="6" t="s">
        <v>545</v>
      </c>
      <c r="P8" s="6" t="s">
        <v>31</v>
      </c>
      <c r="Q8" s="6" t="s">
        <v>546</v>
      </c>
    </row>
    <row r="9" spans="1:17" x14ac:dyDescent="0.2">
      <c r="A9" s="6" t="s">
        <v>213</v>
      </c>
      <c r="B9" s="6" t="s">
        <v>51</v>
      </c>
      <c r="C9" s="6" t="s">
        <v>38</v>
      </c>
      <c r="D9" s="6" t="s">
        <v>341</v>
      </c>
      <c r="E9" s="6"/>
      <c r="F9" s="6" t="s">
        <v>73</v>
      </c>
      <c r="G9" s="16" t="s">
        <v>74</v>
      </c>
      <c r="H9" s="6" t="s">
        <v>43</v>
      </c>
      <c r="I9" s="19">
        <v>85</v>
      </c>
      <c r="J9" s="19">
        <v>70</v>
      </c>
      <c r="K9" s="19">
        <v>95</v>
      </c>
      <c r="L9" s="19"/>
      <c r="M9" s="6" t="s">
        <v>24</v>
      </c>
      <c r="N9" s="6"/>
      <c r="O9" s="6" t="s">
        <v>547</v>
      </c>
      <c r="P9" s="6" t="s">
        <v>31</v>
      </c>
      <c r="Q9" s="6" t="s">
        <v>548</v>
      </c>
    </row>
    <row r="10" spans="1:17" x14ac:dyDescent="0.2">
      <c r="A10" s="6" t="s">
        <v>213</v>
      </c>
      <c r="B10" s="6" t="s">
        <v>51</v>
      </c>
      <c r="C10" s="6" t="s">
        <v>38</v>
      </c>
      <c r="D10" s="6" t="s">
        <v>341</v>
      </c>
      <c r="E10" s="6"/>
      <c r="F10" s="6" t="s">
        <v>77</v>
      </c>
      <c r="G10" s="16" t="s">
        <v>78</v>
      </c>
      <c r="H10" s="6" t="s">
        <v>23</v>
      </c>
      <c r="I10" s="20" t="s">
        <v>47</v>
      </c>
      <c r="J10" s="20"/>
      <c r="K10" s="20"/>
      <c r="L10" s="20"/>
      <c r="M10" s="6" t="s">
        <v>79</v>
      </c>
      <c r="N10" s="6" t="s">
        <v>80</v>
      </c>
      <c r="O10" s="6" t="s">
        <v>549</v>
      </c>
      <c r="P10" s="6" t="s">
        <v>31</v>
      </c>
      <c r="Q10" s="6" t="s">
        <v>550</v>
      </c>
    </row>
    <row r="11" spans="1:17" x14ac:dyDescent="0.2">
      <c r="A11" s="6" t="s">
        <v>213</v>
      </c>
      <c r="B11" s="6" t="s">
        <v>51</v>
      </c>
      <c r="C11" s="6" t="s">
        <v>38</v>
      </c>
      <c r="D11" s="6" t="s">
        <v>344</v>
      </c>
      <c r="E11" s="6"/>
      <c r="F11" s="6" t="s">
        <v>53</v>
      </c>
      <c r="G11" s="16" t="s">
        <v>54</v>
      </c>
      <c r="H11" s="6" t="s">
        <v>55</v>
      </c>
      <c r="I11" s="19">
        <v>1500</v>
      </c>
      <c r="J11" s="19">
        <v>1200</v>
      </c>
      <c r="K11" s="19">
        <v>1800</v>
      </c>
      <c r="L11" s="19"/>
      <c r="M11" s="6" t="s">
        <v>24</v>
      </c>
      <c r="N11" s="6"/>
      <c r="O11" s="6" t="s">
        <v>551</v>
      </c>
      <c r="P11" s="6" t="s">
        <v>31</v>
      </c>
      <c r="Q11" s="6" t="s">
        <v>552</v>
      </c>
    </row>
    <row r="12" spans="1:17" x14ac:dyDescent="0.2">
      <c r="A12" s="6" t="s">
        <v>213</v>
      </c>
      <c r="B12" s="6" t="s">
        <v>51</v>
      </c>
      <c r="C12" s="6" t="s">
        <v>38</v>
      </c>
      <c r="D12" s="6" t="s">
        <v>344</v>
      </c>
      <c r="E12" s="6"/>
      <c r="F12" s="6" t="s">
        <v>58</v>
      </c>
      <c r="G12" s="16" t="s">
        <v>59</v>
      </c>
      <c r="H12" s="6" t="s">
        <v>60</v>
      </c>
      <c r="I12" s="19">
        <v>5</v>
      </c>
      <c r="J12" s="19">
        <v>4</v>
      </c>
      <c r="K12" s="19">
        <v>6</v>
      </c>
      <c r="L12" s="19"/>
      <c r="M12" s="6" t="s">
        <v>24</v>
      </c>
      <c r="N12" s="6"/>
      <c r="O12" s="6" t="s">
        <v>553</v>
      </c>
      <c r="P12" s="6" t="s">
        <v>31</v>
      </c>
      <c r="Q12" s="6" t="s">
        <v>546</v>
      </c>
    </row>
    <row r="13" spans="1:17" x14ac:dyDescent="0.2">
      <c r="A13" s="6" t="s">
        <v>213</v>
      </c>
      <c r="B13" s="6" t="s">
        <v>51</v>
      </c>
      <c r="C13" s="6" t="s">
        <v>38</v>
      </c>
      <c r="D13" s="6" t="s">
        <v>344</v>
      </c>
      <c r="E13" s="6"/>
      <c r="F13" s="6" t="s">
        <v>63</v>
      </c>
      <c r="G13" s="16" t="s">
        <v>64</v>
      </c>
      <c r="H13" s="6" t="s">
        <v>65</v>
      </c>
      <c r="I13" s="19">
        <v>6</v>
      </c>
      <c r="J13" s="19">
        <v>4</v>
      </c>
      <c r="K13" s="19">
        <v>9</v>
      </c>
      <c r="L13" s="19"/>
      <c r="M13" s="6" t="s">
        <v>24</v>
      </c>
      <c r="N13" s="6"/>
      <c r="O13" s="6" t="s">
        <v>554</v>
      </c>
      <c r="P13" s="6" t="s">
        <v>31</v>
      </c>
      <c r="Q13" s="6" t="s">
        <v>555</v>
      </c>
    </row>
    <row r="14" spans="1:17" x14ac:dyDescent="0.2">
      <c r="A14" s="6" t="s">
        <v>213</v>
      </c>
      <c r="B14" s="6" t="s">
        <v>51</v>
      </c>
      <c r="C14" s="6" t="s">
        <v>38</v>
      </c>
      <c r="D14" s="6" t="s">
        <v>344</v>
      </c>
      <c r="E14" s="6"/>
      <c r="F14" s="6" t="s">
        <v>68</v>
      </c>
      <c r="G14" s="16" t="s">
        <v>69</v>
      </c>
      <c r="H14" s="6" t="s">
        <v>70</v>
      </c>
      <c r="I14" s="19">
        <v>50000</v>
      </c>
      <c r="J14" s="19">
        <v>40000</v>
      </c>
      <c r="K14" s="19">
        <v>60000</v>
      </c>
      <c r="L14" s="19"/>
      <c r="M14" s="6" t="s">
        <v>24</v>
      </c>
      <c r="N14" s="6"/>
      <c r="O14" s="6" t="s">
        <v>556</v>
      </c>
      <c r="P14" s="6" t="s">
        <v>31</v>
      </c>
      <c r="Q14" s="6" t="s">
        <v>546</v>
      </c>
    </row>
    <row r="15" spans="1:17" x14ac:dyDescent="0.2">
      <c r="A15" s="6" t="s">
        <v>213</v>
      </c>
      <c r="B15" s="6" t="s">
        <v>51</v>
      </c>
      <c r="C15" s="6" t="s">
        <v>38</v>
      </c>
      <c r="D15" s="6" t="s">
        <v>344</v>
      </c>
      <c r="E15" s="6"/>
      <c r="F15" s="6" t="s">
        <v>73</v>
      </c>
      <c r="G15" s="16" t="s">
        <v>74</v>
      </c>
      <c r="H15" s="6" t="s">
        <v>43</v>
      </c>
      <c r="I15" s="19">
        <v>95</v>
      </c>
      <c r="J15" s="19">
        <v>88</v>
      </c>
      <c r="K15" s="19">
        <v>100</v>
      </c>
      <c r="L15" s="19"/>
      <c r="M15" s="6" t="s">
        <v>24</v>
      </c>
      <c r="N15" s="6"/>
      <c r="O15" s="6" t="s">
        <v>557</v>
      </c>
      <c r="P15" s="6" t="s">
        <v>31</v>
      </c>
      <c r="Q15" s="6" t="s">
        <v>501</v>
      </c>
    </row>
    <row r="16" spans="1:17" x14ac:dyDescent="0.2">
      <c r="A16" s="6" t="s">
        <v>213</v>
      </c>
      <c r="B16" s="6" t="s">
        <v>51</v>
      </c>
      <c r="C16" s="6" t="s">
        <v>38</v>
      </c>
      <c r="D16" s="6" t="s">
        <v>344</v>
      </c>
      <c r="E16" s="6"/>
      <c r="F16" s="6" t="s">
        <v>77</v>
      </c>
      <c r="G16" s="16" t="s">
        <v>78</v>
      </c>
      <c r="H16" s="6" t="s">
        <v>23</v>
      </c>
      <c r="I16" s="20" t="s">
        <v>47</v>
      </c>
      <c r="J16" s="20"/>
      <c r="K16" s="20"/>
      <c r="L16" s="20"/>
      <c r="M16" s="6" t="s">
        <v>79</v>
      </c>
      <c r="N16" s="6" t="s">
        <v>80</v>
      </c>
      <c r="O16" s="6" t="s">
        <v>549</v>
      </c>
      <c r="P16" s="6" t="s">
        <v>31</v>
      </c>
      <c r="Q16" s="6" t="s">
        <v>550</v>
      </c>
    </row>
    <row r="17" spans="1:17" x14ac:dyDescent="0.2">
      <c r="A17" s="6" t="s">
        <v>213</v>
      </c>
      <c r="B17" s="6" t="s">
        <v>51</v>
      </c>
      <c r="C17" s="6" t="s">
        <v>38</v>
      </c>
      <c r="D17" s="6" t="s">
        <v>346</v>
      </c>
      <c r="E17" s="6"/>
      <c r="F17" s="6" t="s">
        <v>53</v>
      </c>
      <c r="G17" s="16" t="s">
        <v>54</v>
      </c>
      <c r="H17" s="6" t="s">
        <v>55</v>
      </c>
      <c r="I17" s="19">
        <v>1200</v>
      </c>
      <c r="J17" s="19">
        <v>1000</v>
      </c>
      <c r="K17" s="19">
        <v>1500</v>
      </c>
      <c r="L17" s="19">
        <v>1900</v>
      </c>
      <c r="M17" s="6" t="s">
        <v>24</v>
      </c>
      <c r="N17" s="6"/>
      <c r="O17" s="6" t="s">
        <v>558</v>
      </c>
      <c r="P17" s="6" t="s">
        <v>31</v>
      </c>
      <c r="Q17" s="6" t="s">
        <v>559</v>
      </c>
    </row>
    <row r="18" spans="1:17" x14ac:dyDescent="0.2">
      <c r="A18" s="6" t="s">
        <v>213</v>
      </c>
      <c r="B18" s="6" t="s">
        <v>51</v>
      </c>
      <c r="C18" s="6" t="s">
        <v>38</v>
      </c>
      <c r="D18" s="6" t="s">
        <v>346</v>
      </c>
      <c r="E18" s="6"/>
      <c r="F18" s="6" t="s">
        <v>58</v>
      </c>
      <c r="G18" s="16" t="s">
        <v>59</v>
      </c>
      <c r="H18" s="6" t="s">
        <v>60</v>
      </c>
      <c r="I18" s="19">
        <v>2</v>
      </c>
      <c r="J18" s="19">
        <v>1.5</v>
      </c>
      <c r="K18" s="19">
        <v>3</v>
      </c>
      <c r="L18" s="19">
        <v>3</v>
      </c>
      <c r="M18" s="6" t="s">
        <v>24</v>
      </c>
      <c r="N18" s="6"/>
      <c r="O18" s="6" t="s">
        <v>560</v>
      </c>
      <c r="P18" s="6" t="s">
        <v>31</v>
      </c>
      <c r="Q18" s="6" t="s">
        <v>561</v>
      </c>
    </row>
    <row r="19" spans="1:17" x14ac:dyDescent="0.2">
      <c r="A19" s="6" t="s">
        <v>213</v>
      </c>
      <c r="B19" s="6" t="s">
        <v>51</v>
      </c>
      <c r="C19" s="6" t="s">
        <v>38</v>
      </c>
      <c r="D19" s="6" t="s">
        <v>346</v>
      </c>
      <c r="E19" s="6"/>
      <c r="F19" s="6" t="s">
        <v>63</v>
      </c>
      <c r="G19" s="16" t="s">
        <v>64</v>
      </c>
      <c r="H19" s="6" t="s">
        <v>65</v>
      </c>
      <c r="I19" s="19">
        <v>1.5</v>
      </c>
      <c r="J19" s="19">
        <v>1</v>
      </c>
      <c r="K19" s="19">
        <v>2.5</v>
      </c>
      <c r="L19" s="19">
        <v>5</v>
      </c>
      <c r="M19" s="6" t="s">
        <v>24</v>
      </c>
      <c r="N19" s="6"/>
      <c r="O19" s="6" t="s">
        <v>562</v>
      </c>
      <c r="P19" s="6" t="s">
        <v>31</v>
      </c>
      <c r="Q19" s="6" t="s">
        <v>563</v>
      </c>
    </row>
    <row r="20" spans="1:17" x14ac:dyDescent="0.2">
      <c r="A20" s="6" t="s">
        <v>213</v>
      </c>
      <c r="B20" s="6" t="s">
        <v>51</v>
      </c>
      <c r="C20" s="6" t="s">
        <v>38</v>
      </c>
      <c r="D20" s="6" t="s">
        <v>346</v>
      </c>
      <c r="E20" s="6"/>
      <c r="F20" s="6" t="s">
        <v>68</v>
      </c>
      <c r="G20" s="16" t="s">
        <v>69</v>
      </c>
      <c r="H20" s="6" t="s">
        <v>70</v>
      </c>
      <c r="I20" s="19">
        <v>15000</v>
      </c>
      <c r="J20" s="19">
        <v>8000</v>
      </c>
      <c r="K20" s="19">
        <v>25000</v>
      </c>
      <c r="L20" s="19">
        <v>50000</v>
      </c>
      <c r="M20" s="6" t="s">
        <v>24</v>
      </c>
      <c r="N20" s="6"/>
      <c r="O20" s="6" t="s">
        <v>564</v>
      </c>
      <c r="P20" s="6" t="s">
        <v>31</v>
      </c>
      <c r="Q20" s="6" t="s">
        <v>565</v>
      </c>
    </row>
    <row r="21" spans="1:17" x14ac:dyDescent="0.2">
      <c r="A21" s="6" t="s">
        <v>213</v>
      </c>
      <c r="B21" s="6" t="s">
        <v>51</v>
      </c>
      <c r="C21" s="6" t="s">
        <v>38</v>
      </c>
      <c r="D21" s="6" t="s">
        <v>346</v>
      </c>
      <c r="E21" s="6"/>
      <c r="F21" s="6" t="s">
        <v>73</v>
      </c>
      <c r="G21" s="16" t="s">
        <v>74</v>
      </c>
      <c r="H21" s="6" t="s">
        <v>43</v>
      </c>
      <c r="I21" s="19">
        <v>95</v>
      </c>
      <c r="J21" s="19">
        <v>85</v>
      </c>
      <c r="K21" s="19">
        <v>100</v>
      </c>
      <c r="L21" s="19"/>
      <c r="M21" s="6" t="s">
        <v>24</v>
      </c>
      <c r="N21" s="6"/>
      <c r="O21" s="6" t="s">
        <v>566</v>
      </c>
      <c r="P21" s="6" t="s">
        <v>31</v>
      </c>
      <c r="Q21" s="6" t="s">
        <v>501</v>
      </c>
    </row>
    <row r="22" spans="1:17" x14ac:dyDescent="0.2">
      <c r="A22" s="6" t="s">
        <v>213</v>
      </c>
      <c r="B22" s="6" t="s">
        <v>51</v>
      </c>
      <c r="C22" s="6" t="s">
        <v>38</v>
      </c>
      <c r="D22" s="6" t="s">
        <v>346</v>
      </c>
      <c r="E22" s="6"/>
      <c r="F22" s="6" t="s">
        <v>77</v>
      </c>
      <c r="G22" s="16" t="s">
        <v>78</v>
      </c>
      <c r="H22" s="6" t="s">
        <v>23</v>
      </c>
      <c r="I22" s="20" t="s">
        <v>47</v>
      </c>
      <c r="J22" s="20"/>
      <c r="K22" s="20"/>
      <c r="L22" s="20"/>
      <c r="M22" s="6" t="s">
        <v>79</v>
      </c>
      <c r="N22" s="6" t="s">
        <v>80</v>
      </c>
      <c r="O22" s="6" t="s">
        <v>549</v>
      </c>
      <c r="P22" s="6" t="s">
        <v>31</v>
      </c>
      <c r="Q22" s="6" t="s">
        <v>550</v>
      </c>
    </row>
    <row r="23" spans="1:17" x14ac:dyDescent="0.2">
      <c r="A23" s="6" t="s">
        <v>213</v>
      </c>
      <c r="B23" s="6" t="s">
        <v>51</v>
      </c>
      <c r="C23" s="6" t="s">
        <v>447</v>
      </c>
      <c r="D23" s="6" t="s">
        <v>341</v>
      </c>
      <c r="E23" s="6"/>
      <c r="F23" s="6" t="s">
        <v>53</v>
      </c>
      <c r="G23" s="16" t="s">
        <v>54</v>
      </c>
      <c r="H23" s="6" t="s">
        <v>55</v>
      </c>
      <c r="I23" s="19">
        <v>3000</v>
      </c>
      <c r="J23" s="19">
        <v>2400</v>
      </c>
      <c r="K23" s="19">
        <v>3600</v>
      </c>
      <c r="L23" s="19"/>
      <c r="M23" s="6" t="s">
        <v>24</v>
      </c>
      <c r="N23" s="6"/>
      <c r="O23" s="6" t="s">
        <v>567</v>
      </c>
      <c r="P23" s="6" t="s">
        <v>31</v>
      </c>
      <c r="Q23" s="6" t="s">
        <v>568</v>
      </c>
    </row>
    <row r="24" spans="1:17" x14ac:dyDescent="0.2">
      <c r="A24" s="6" t="s">
        <v>213</v>
      </c>
      <c r="B24" s="6" t="s">
        <v>51</v>
      </c>
      <c r="C24" s="6" t="s">
        <v>447</v>
      </c>
      <c r="D24" s="6" t="s">
        <v>341</v>
      </c>
      <c r="E24" s="6"/>
      <c r="F24" s="6" t="s">
        <v>58</v>
      </c>
      <c r="G24" s="16" t="s">
        <v>59</v>
      </c>
      <c r="H24" s="6" t="s">
        <v>60</v>
      </c>
      <c r="I24" s="19">
        <v>12</v>
      </c>
      <c r="J24" s="19">
        <v>9.6</v>
      </c>
      <c r="K24" s="19">
        <v>14.4</v>
      </c>
      <c r="L24" s="19"/>
      <c r="M24" s="6" t="s">
        <v>24</v>
      </c>
      <c r="N24" s="6"/>
      <c r="O24" s="6" t="s">
        <v>569</v>
      </c>
      <c r="P24" s="6" t="s">
        <v>31</v>
      </c>
      <c r="Q24" s="6" t="s">
        <v>570</v>
      </c>
    </row>
    <row r="25" spans="1:17" x14ac:dyDescent="0.2">
      <c r="A25" s="6" t="s">
        <v>213</v>
      </c>
      <c r="B25" s="6" t="s">
        <v>51</v>
      </c>
      <c r="C25" s="6" t="s">
        <v>447</v>
      </c>
      <c r="D25" s="6" t="s">
        <v>341</v>
      </c>
      <c r="E25" s="6"/>
      <c r="F25" s="6" t="s">
        <v>63</v>
      </c>
      <c r="G25" s="16" t="s">
        <v>64</v>
      </c>
      <c r="H25" s="6" t="s">
        <v>65</v>
      </c>
      <c r="I25" s="19">
        <v>15</v>
      </c>
      <c r="J25" s="19">
        <v>10</v>
      </c>
      <c r="K25" s="19">
        <v>25</v>
      </c>
      <c r="L25" s="19"/>
      <c r="M25" s="6" t="s">
        <v>24</v>
      </c>
      <c r="N25" s="6"/>
      <c r="O25" s="6" t="s">
        <v>571</v>
      </c>
      <c r="P25" s="6" t="s">
        <v>31</v>
      </c>
      <c r="Q25" s="6" t="s">
        <v>572</v>
      </c>
    </row>
    <row r="26" spans="1:17" x14ac:dyDescent="0.2">
      <c r="A26" s="6" t="s">
        <v>213</v>
      </c>
      <c r="B26" s="6" t="s">
        <v>51</v>
      </c>
      <c r="C26" s="6" t="s">
        <v>447</v>
      </c>
      <c r="D26" s="6" t="s">
        <v>341</v>
      </c>
      <c r="E26" s="6"/>
      <c r="F26" s="6" t="s">
        <v>68</v>
      </c>
      <c r="G26" s="16" t="s">
        <v>69</v>
      </c>
      <c r="H26" s="6" t="s">
        <v>70</v>
      </c>
      <c r="I26" s="19">
        <v>50000</v>
      </c>
      <c r="J26" s="19">
        <v>40000</v>
      </c>
      <c r="K26" s="19">
        <v>60000</v>
      </c>
      <c r="L26" s="19"/>
      <c r="M26" s="6" t="s">
        <v>24</v>
      </c>
      <c r="N26" s="6"/>
      <c r="O26" s="6" t="s">
        <v>573</v>
      </c>
      <c r="P26" s="6" t="s">
        <v>31</v>
      </c>
      <c r="Q26" s="6" t="s">
        <v>495</v>
      </c>
    </row>
    <row r="27" spans="1:17" x14ac:dyDescent="0.2">
      <c r="A27" s="6" t="s">
        <v>213</v>
      </c>
      <c r="B27" s="6" t="s">
        <v>51</v>
      </c>
      <c r="C27" s="6" t="s">
        <v>447</v>
      </c>
      <c r="D27" s="6" t="s">
        <v>341</v>
      </c>
      <c r="E27" s="6"/>
      <c r="F27" s="6" t="s">
        <v>73</v>
      </c>
      <c r="G27" s="16" t="s">
        <v>74</v>
      </c>
      <c r="H27" s="6" t="s">
        <v>43</v>
      </c>
      <c r="I27" s="19">
        <v>85</v>
      </c>
      <c r="J27" s="19">
        <v>70</v>
      </c>
      <c r="K27" s="19">
        <v>95</v>
      </c>
      <c r="L27" s="19"/>
      <c r="M27" s="6" t="s">
        <v>24</v>
      </c>
      <c r="N27" s="6"/>
      <c r="O27" s="6" t="s">
        <v>574</v>
      </c>
      <c r="P27" s="6" t="s">
        <v>31</v>
      </c>
      <c r="Q27" s="6" t="s">
        <v>548</v>
      </c>
    </row>
    <row r="28" spans="1:17" x14ac:dyDescent="0.2">
      <c r="A28" s="6" t="s">
        <v>213</v>
      </c>
      <c r="B28" s="6" t="s">
        <v>51</v>
      </c>
      <c r="C28" s="6" t="s">
        <v>447</v>
      </c>
      <c r="D28" s="6" t="s">
        <v>341</v>
      </c>
      <c r="E28" s="6"/>
      <c r="F28" s="6" t="s">
        <v>77</v>
      </c>
      <c r="G28" s="16" t="s">
        <v>78</v>
      </c>
      <c r="H28" s="6" t="s">
        <v>23</v>
      </c>
      <c r="I28" s="20" t="s">
        <v>47</v>
      </c>
      <c r="J28" s="20"/>
      <c r="K28" s="20"/>
      <c r="L28" s="20"/>
      <c r="M28" s="6" t="s">
        <v>79</v>
      </c>
      <c r="N28" s="6" t="s">
        <v>80</v>
      </c>
      <c r="O28" s="6" t="s">
        <v>549</v>
      </c>
      <c r="P28" s="6" t="s">
        <v>31</v>
      </c>
      <c r="Q28" s="6" t="s">
        <v>550</v>
      </c>
    </row>
    <row r="29" spans="1:17" x14ac:dyDescent="0.2">
      <c r="A29" s="6" t="s">
        <v>213</v>
      </c>
      <c r="B29" s="6" t="s">
        <v>51</v>
      </c>
      <c r="C29" s="6" t="s">
        <v>447</v>
      </c>
      <c r="D29" s="6" t="s">
        <v>344</v>
      </c>
      <c r="E29" s="6"/>
      <c r="F29" s="6" t="s">
        <v>53</v>
      </c>
      <c r="G29" s="16" t="s">
        <v>54</v>
      </c>
      <c r="H29" s="6" t="s">
        <v>55</v>
      </c>
      <c r="I29" s="19">
        <v>1500</v>
      </c>
      <c r="J29" s="19">
        <v>1200</v>
      </c>
      <c r="K29" s="19">
        <v>1800</v>
      </c>
      <c r="L29" s="19"/>
      <c r="M29" s="6" t="s">
        <v>24</v>
      </c>
      <c r="N29" s="6"/>
      <c r="O29" s="6" t="s">
        <v>575</v>
      </c>
      <c r="P29" s="6" t="s">
        <v>31</v>
      </c>
      <c r="Q29" s="6" t="s">
        <v>576</v>
      </c>
    </row>
    <row r="30" spans="1:17" x14ac:dyDescent="0.2">
      <c r="A30" s="6" t="s">
        <v>213</v>
      </c>
      <c r="B30" s="6" t="s">
        <v>51</v>
      </c>
      <c r="C30" s="6" t="s">
        <v>447</v>
      </c>
      <c r="D30" s="6" t="s">
        <v>344</v>
      </c>
      <c r="E30" s="6"/>
      <c r="F30" s="6" t="s">
        <v>58</v>
      </c>
      <c r="G30" s="16" t="s">
        <v>59</v>
      </c>
      <c r="H30" s="6" t="s">
        <v>60</v>
      </c>
      <c r="I30" s="19">
        <v>5</v>
      </c>
      <c r="J30" s="19">
        <v>4</v>
      </c>
      <c r="K30" s="19">
        <v>6</v>
      </c>
      <c r="L30" s="19"/>
      <c r="M30" s="6" t="s">
        <v>24</v>
      </c>
      <c r="N30" s="6"/>
      <c r="O30" s="6" t="s">
        <v>577</v>
      </c>
      <c r="P30" s="6" t="s">
        <v>31</v>
      </c>
      <c r="Q30" s="6" t="s">
        <v>495</v>
      </c>
    </row>
    <row r="31" spans="1:17" x14ac:dyDescent="0.2">
      <c r="A31" s="6" t="s">
        <v>213</v>
      </c>
      <c r="B31" s="6" t="s">
        <v>51</v>
      </c>
      <c r="C31" s="6" t="s">
        <v>447</v>
      </c>
      <c r="D31" s="6" t="s">
        <v>344</v>
      </c>
      <c r="E31" s="6"/>
      <c r="F31" s="6" t="s">
        <v>63</v>
      </c>
      <c r="G31" s="16" t="s">
        <v>64</v>
      </c>
      <c r="H31" s="6" t="s">
        <v>65</v>
      </c>
      <c r="I31" s="19">
        <v>6</v>
      </c>
      <c r="J31" s="19">
        <v>4</v>
      </c>
      <c r="K31" s="19">
        <v>9</v>
      </c>
      <c r="L31" s="19"/>
      <c r="M31" s="6" t="s">
        <v>24</v>
      </c>
      <c r="N31" s="6"/>
      <c r="O31" s="6" t="s">
        <v>578</v>
      </c>
      <c r="P31" s="6" t="s">
        <v>31</v>
      </c>
      <c r="Q31" s="6" t="s">
        <v>579</v>
      </c>
    </row>
    <row r="32" spans="1:17" x14ac:dyDescent="0.2">
      <c r="A32" s="6" t="s">
        <v>213</v>
      </c>
      <c r="B32" s="6" t="s">
        <v>51</v>
      </c>
      <c r="C32" s="6" t="s">
        <v>447</v>
      </c>
      <c r="D32" s="6" t="s">
        <v>344</v>
      </c>
      <c r="E32" s="6"/>
      <c r="F32" s="6" t="s">
        <v>68</v>
      </c>
      <c r="G32" s="16" t="s">
        <v>69</v>
      </c>
      <c r="H32" s="6" t="s">
        <v>70</v>
      </c>
      <c r="I32" s="19">
        <v>50000</v>
      </c>
      <c r="J32" s="19">
        <v>40000</v>
      </c>
      <c r="K32" s="19">
        <v>60000</v>
      </c>
      <c r="L32" s="19"/>
      <c r="M32" s="6" t="s">
        <v>24</v>
      </c>
      <c r="N32" s="6"/>
      <c r="O32" s="6" t="s">
        <v>580</v>
      </c>
      <c r="P32" s="6" t="s">
        <v>31</v>
      </c>
      <c r="Q32" s="6" t="s">
        <v>495</v>
      </c>
    </row>
    <row r="33" spans="1:17" x14ac:dyDescent="0.2">
      <c r="A33" s="6" t="s">
        <v>213</v>
      </c>
      <c r="B33" s="6" t="s">
        <v>51</v>
      </c>
      <c r="C33" s="6" t="s">
        <v>447</v>
      </c>
      <c r="D33" s="6" t="s">
        <v>344</v>
      </c>
      <c r="E33" s="6"/>
      <c r="F33" s="6" t="s">
        <v>73</v>
      </c>
      <c r="G33" s="16" t="s">
        <v>74</v>
      </c>
      <c r="H33" s="6" t="s">
        <v>43</v>
      </c>
      <c r="I33" s="19">
        <v>95</v>
      </c>
      <c r="J33" s="19">
        <v>88</v>
      </c>
      <c r="K33" s="19">
        <v>100</v>
      </c>
      <c r="L33" s="19"/>
      <c r="M33" s="6" t="s">
        <v>24</v>
      </c>
      <c r="N33" s="6"/>
      <c r="O33" s="6" t="s">
        <v>581</v>
      </c>
      <c r="P33" s="6" t="s">
        <v>31</v>
      </c>
      <c r="Q33" s="6" t="s">
        <v>501</v>
      </c>
    </row>
    <row r="34" spans="1:17" x14ac:dyDescent="0.2">
      <c r="A34" s="6" t="s">
        <v>213</v>
      </c>
      <c r="B34" s="6" t="s">
        <v>51</v>
      </c>
      <c r="C34" s="6" t="s">
        <v>447</v>
      </c>
      <c r="D34" s="6" t="s">
        <v>344</v>
      </c>
      <c r="E34" s="6"/>
      <c r="F34" s="6" t="s">
        <v>77</v>
      </c>
      <c r="G34" s="16" t="s">
        <v>78</v>
      </c>
      <c r="H34" s="6" t="s">
        <v>23</v>
      </c>
      <c r="I34" s="20" t="s">
        <v>47</v>
      </c>
      <c r="J34" s="20"/>
      <c r="K34" s="20"/>
      <c r="L34" s="20"/>
      <c r="M34" s="6" t="s">
        <v>79</v>
      </c>
      <c r="N34" s="6" t="s">
        <v>80</v>
      </c>
      <c r="O34" s="6" t="s">
        <v>549</v>
      </c>
      <c r="P34" s="6" t="s">
        <v>31</v>
      </c>
      <c r="Q34" s="6" t="s">
        <v>550</v>
      </c>
    </row>
    <row r="35" spans="1:17" x14ac:dyDescent="0.2">
      <c r="A35" s="6" t="s">
        <v>213</v>
      </c>
      <c r="B35" s="6" t="s">
        <v>51</v>
      </c>
      <c r="C35" s="6" t="s">
        <v>447</v>
      </c>
      <c r="D35" s="6" t="s">
        <v>346</v>
      </c>
      <c r="E35" s="6"/>
      <c r="F35" s="6" t="s">
        <v>53</v>
      </c>
      <c r="G35" s="16" t="s">
        <v>54</v>
      </c>
      <c r="H35" s="6" t="s">
        <v>55</v>
      </c>
      <c r="I35" s="19">
        <v>1200</v>
      </c>
      <c r="J35" s="19">
        <v>1000</v>
      </c>
      <c r="K35" s="19">
        <v>1500</v>
      </c>
      <c r="L35" s="19"/>
      <c r="M35" s="6" t="s">
        <v>24</v>
      </c>
      <c r="N35" s="6"/>
      <c r="O35" s="6" t="s">
        <v>582</v>
      </c>
      <c r="P35" s="6" t="s">
        <v>31</v>
      </c>
      <c r="Q35" s="6" t="s">
        <v>583</v>
      </c>
    </row>
    <row r="36" spans="1:17" x14ac:dyDescent="0.2">
      <c r="A36" s="6" t="s">
        <v>213</v>
      </c>
      <c r="B36" s="6" t="s">
        <v>51</v>
      </c>
      <c r="C36" s="6" t="s">
        <v>447</v>
      </c>
      <c r="D36" s="6" t="s">
        <v>346</v>
      </c>
      <c r="E36" s="6"/>
      <c r="F36" s="6" t="s">
        <v>58</v>
      </c>
      <c r="G36" s="16" t="s">
        <v>59</v>
      </c>
      <c r="H36" s="6" t="s">
        <v>60</v>
      </c>
      <c r="I36" s="19">
        <v>2</v>
      </c>
      <c r="J36" s="19">
        <v>1.5</v>
      </c>
      <c r="K36" s="19">
        <v>3</v>
      </c>
      <c r="L36" s="19"/>
      <c r="M36" s="6" t="s">
        <v>24</v>
      </c>
      <c r="N36" s="6"/>
      <c r="O36" s="6" t="s">
        <v>584</v>
      </c>
      <c r="P36" s="6" t="s">
        <v>31</v>
      </c>
      <c r="Q36" s="6" t="s">
        <v>585</v>
      </c>
    </row>
    <row r="37" spans="1:17" x14ac:dyDescent="0.2">
      <c r="A37" s="6" t="s">
        <v>213</v>
      </c>
      <c r="B37" s="6" t="s">
        <v>51</v>
      </c>
      <c r="C37" s="6" t="s">
        <v>447</v>
      </c>
      <c r="D37" s="6" t="s">
        <v>346</v>
      </c>
      <c r="E37" s="6"/>
      <c r="F37" s="6" t="s">
        <v>63</v>
      </c>
      <c r="G37" s="16" t="s">
        <v>64</v>
      </c>
      <c r="H37" s="6" t="s">
        <v>65</v>
      </c>
      <c r="I37" s="19">
        <v>1.5</v>
      </c>
      <c r="J37" s="19">
        <v>1</v>
      </c>
      <c r="K37" s="19">
        <v>2.5</v>
      </c>
      <c r="L37" s="19"/>
      <c r="M37" s="6" t="s">
        <v>24</v>
      </c>
      <c r="N37" s="6"/>
      <c r="O37" s="6" t="s">
        <v>586</v>
      </c>
      <c r="P37" s="6" t="s">
        <v>31</v>
      </c>
      <c r="Q37" s="6" t="s">
        <v>587</v>
      </c>
    </row>
    <row r="38" spans="1:17" x14ac:dyDescent="0.2">
      <c r="A38" s="6" t="s">
        <v>213</v>
      </c>
      <c r="B38" s="6" t="s">
        <v>51</v>
      </c>
      <c r="C38" s="6" t="s">
        <v>447</v>
      </c>
      <c r="D38" s="6" t="s">
        <v>346</v>
      </c>
      <c r="E38" s="6"/>
      <c r="F38" s="6" t="s">
        <v>68</v>
      </c>
      <c r="G38" s="16" t="s">
        <v>69</v>
      </c>
      <c r="H38" s="6" t="s">
        <v>70</v>
      </c>
      <c r="I38" s="19">
        <v>15000</v>
      </c>
      <c r="J38" s="19">
        <v>8000</v>
      </c>
      <c r="K38" s="19">
        <v>25000</v>
      </c>
      <c r="L38" s="19"/>
      <c r="M38" s="6" t="s">
        <v>24</v>
      </c>
      <c r="N38" s="6"/>
      <c r="O38" s="6" t="s">
        <v>588</v>
      </c>
      <c r="P38" s="6" t="s">
        <v>31</v>
      </c>
      <c r="Q38" s="6" t="s">
        <v>589</v>
      </c>
    </row>
    <row r="39" spans="1:17" x14ac:dyDescent="0.2">
      <c r="A39" s="6" t="s">
        <v>213</v>
      </c>
      <c r="B39" s="6" t="s">
        <v>51</v>
      </c>
      <c r="C39" s="6" t="s">
        <v>447</v>
      </c>
      <c r="D39" s="6" t="s">
        <v>346</v>
      </c>
      <c r="E39" s="6"/>
      <c r="F39" s="6" t="s">
        <v>73</v>
      </c>
      <c r="G39" s="16" t="s">
        <v>74</v>
      </c>
      <c r="H39" s="6" t="s">
        <v>43</v>
      </c>
      <c r="I39" s="19">
        <v>95</v>
      </c>
      <c r="J39" s="19">
        <v>85</v>
      </c>
      <c r="K39" s="19">
        <v>100</v>
      </c>
      <c r="L39" s="19"/>
      <c r="M39" s="6" t="s">
        <v>24</v>
      </c>
      <c r="N39" s="6"/>
      <c r="O39" s="6" t="s">
        <v>590</v>
      </c>
      <c r="P39" s="6" t="s">
        <v>31</v>
      </c>
      <c r="Q39" s="6" t="s">
        <v>501</v>
      </c>
    </row>
    <row r="40" spans="1:17" x14ac:dyDescent="0.2">
      <c r="A40" s="6" t="s">
        <v>213</v>
      </c>
      <c r="B40" s="6" t="s">
        <v>51</v>
      </c>
      <c r="C40" s="6" t="s">
        <v>447</v>
      </c>
      <c r="D40" s="6" t="s">
        <v>346</v>
      </c>
      <c r="E40" s="6"/>
      <c r="F40" s="6" t="s">
        <v>77</v>
      </c>
      <c r="G40" s="16" t="s">
        <v>78</v>
      </c>
      <c r="H40" s="6" t="s">
        <v>23</v>
      </c>
      <c r="I40" s="20" t="s">
        <v>47</v>
      </c>
      <c r="J40" s="20"/>
      <c r="K40" s="20"/>
      <c r="L40" s="20"/>
      <c r="M40" s="6" t="s">
        <v>79</v>
      </c>
      <c r="N40" s="6" t="s">
        <v>80</v>
      </c>
      <c r="O40" s="6" t="s">
        <v>549</v>
      </c>
      <c r="P40" s="6" t="s">
        <v>31</v>
      </c>
      <c r="Q40" s="6" t="s">
        <v>550</v>
      </c>
    </row>
    <row r="41" spans="1:17" x14ac:dyDescent="0.2">
      <c r="A41" s="6" t="s">
        <v>213</v>
      </c>
      <c r="B41" s="6" t="s">
        <v>109</v>
      </c>
      <c r="C41" s="6" t="s">
        <v>110</v>
      </c>
      <c r="D41" s="6" t="s">
        <v>20</v>
      </c>
      <c r="E41" s="6"/>
      <c r="F41" s="6" t="s">
        <v>111</v>
      </c>
      <c r="G41" s="16" t="s">
        <v>112</v>
      </c>
      <c r="H41" s="6" t="s">
        <v>113</v>
      </c>
      <c r="I41" s="19">
        <v>15</v>
      </c>
      <c r="J41" s="19">
        <v>8</v>
      </c>
      <c r="K41" s="19">
        <v>20</v>
      </c>
      <c r="L41" s="19"/>
      <c r="M41" s="6" t="s">
        <v>24</v>
      </c>
      <c r="N41" s="6"/>
      <c r="O41" s="6" t="s">
        <v>591</v>
      </c>
      <c r="P41" s="6" t="s">
        <v>31</v>
      </c>
      <c r="Q41" s="6" t="s">
        <v>592</v>
      </c>
    </row>
    <row r="42" spans="1:17" x14ac:dyDescent="0.2">
      <c r="A42" s="6" t="s">
        <v>213</v>
      </c>
      <c r="B42" s="6" t="s">
        <v>109</v>
      </c>
      <c r="C42" s="6" t="s">
        <v>110</v>
      </c>
      <c r="D42" s="6" t="s">
        <v>20</v>
      </c>
      <c r="E42" s="6"/>
      <c r="F42" s="6" t="s">
        <v>512</v>
      </c>
      <c r="G42" s="16" t="s">
        <v>513</v>
      </c>
      <c r="H42" s="6" t="s">
        <v>113</v>
      </c>
      <c r="I42" s="19">
        <v>7.5</v>
      </c>
      <c r="J42" s="19">
        <v>5</v>
      </c>
      <c r="K42" s="19">
        <v>10</v>
      </c>
      <c r="L42" s="19"/>
      <c r="M42" s="6" t="s">
        <v>24</v>
      </c>
      <c r="N42" s="6"/>
      <c r="O42" s="6" t="s">
        <v>593</v>
      </c>
      <c r="P42" s="6" t="s">
        <v>31</v>
      </c>
      <c r="Q42" s="6" t="s">
        <v>594</v>
      </c>
    </row>
    <row r="43" spans="1:17" x14ac:dyDescent="0.2">
      <c r="A43" s="6" t="s">
        <v>213</v>
      </c>
      <c r="B43" s="6" t="s">
        <v>109</v>
      </c>
      <c r="C43" s="6" t="s">
        <v>447</v>
      </c>
      <c r="D43" s="6" t="s">
        <v>515</v>
      </c>
      <c r="E43" s="6"/>
      <c r="F43" s="6" t="s">
        <v>516</v>
      </c>
      <c r="G43" s="16" t="s">
        <v>517</v>
      </c>
      <c r="H43" s="6" t="s">
        <v>43</v>
      </c>
      <c r="I43" s="19">
        <v>10</v>
      </c>
      <c r="J43" s="19">
        <v>5</v>
      </c>
      <c r="K43" s="19">
        <v>15</v>
      </c>
      <c r="L43" s="19"/>
      <c r="M43" s="6" t="s">
        <v>24</v>
      </c>
      <c r="N43" s="6"/>
      <c r="O43" s="6" t="s">
        <v>595</v>
      </c>
      <c r="P43" s="6" t="s">
        <v>31</v>
      </c>
      <c r="Q43" s="6" t="s">
        <v>596</v>
      </c>
    </row>
    <row r="44" spans="1:17" x14ac:dyDescent="0.2">
      <c r="A44" s="6" t="s">
        <v>213</v>
      </c>
      <c r="B44" s="6" t="s">
        <v>109</v>
      </c>
      <c r="C44" s="6" t="s">
        <v>116</v>
      </c>
      <c r="D44" s="6" t="s">
        <v>117</v>
      </c>
      <c r="E44" s="6" t="s">
        <v>118</v>
      </c>
      <c r="F44" s="6" t="s">
        <v>119</v>
      </c>
      <c r="G44" s="16" t="s">
        <v>120</v>
      </c>
      <c r="H44" s="6" t="s">
        <v>43</v>
      </c>
      <c r="I44" s="20">
        <v>0</v>
      </c>
      <c r="J44" s="20">
        <v>0</v>
      </c>
      <c r="K44" s="20">
        <v>0</v>
      </c>
      <c r="L44" s="20">
        <v>0</v>
      </c>
      <c r="M44" s="6" t="s">
        <v>44</v>
      </c>
      <c r="N44" s="6"/>
      <c r="O44" s="6" t="s">
        <v>597</v>
      </c>
      <c r="P44" s="6" t="s">
        <v>31</v>
      </c>
      <c r="Q44" s="6" t="s">
        <v>598</v>
      </c>
    </row>
    <row r="45" spans="1:17" x14ac:dyDescent="0.2">
      <c r="A45" s="6" t="s">
        <v>213</v>
      </c>
      <c r="B45" s="6" t="s">
        <v>109</v>
      </c>
      <c r="C45" s="6" t="s">
        <v>116</v>
      </c>
      <c r="D45" s="6" t="s">
        <v>117</v>
      </c>
      <c r="E45" s="6" t="s">
        <v>123</v>
      </c>
      <c r="F45" s="6" t="s">
        <v>119</v>
      </c>
      <c r="G45" s="16" t="s">
        <v>521</v>
      </c>
      <c r="H45" s="6" t="s">
        <v>43</v>
      </c>
      <c r="I45" s="20">
        <v>25</v>
      </c>
      <c r="J45" s="20">
        <v>10</v>
      </c>
      <c r="K45" s="20">
        <v>40</v>
      </c>
      <c r="L45" s="20">
        <v>35</v>
      </c>
      <c r="M45" s="6" t="s">
        <v>24</v>
      </c>
      <c r="N45" s="6"/>
      <c r="O45" s="6" t="s">
        <v>597</v>
      </c>
      <c r="P45" s="6" t="s">
        <v>31</v>
      </c>
      <c r="Q45" s="6" t="s">
        <v>599</v>
      </c>
    </row>
    <row r="46" spans="1:17" x14ac:dyDescent="0.2">
      <c r="A46" s="6" t="s">
        <v>213</v>
      </c>
      <c r="B46" s="6" t="s">
        <v>109</v>
      </c>
      <c r="C46" s="6" t="s">
        <v>116</v>
      </c>
      <c r="D46" s="6" t="s">
        <v>117</v>
      </c>
      <c r="E46" s="6" t="s">
        <v>126</v>
      </c>
      <c r="F46" s="6" t="s">
        <v>119</v>
      </c>
      <c r="G46" s="16" t="s">
        <v>523</v>
      </c>
      <c r="H46" s="6" t="s">
        <v>43</v>
      </c>
      <c r="I46" s="20">
        <v>2</v>
      </c>
      <c r="J46" s="20">
        <v>0</v>
      </c>
      <c r="K46" s="20">
        <v>10</v>
      </c>
      <c r="L46" s="20">
        <v>25</v>
      </c>
      <c r="M46" s="6" t="s">
        <v>24</v>
      </c>
      <c r="N46" s="6"/>
      <c r="O46" s="6" t="s">
        <v>597</v>
      </c>
      <c r="P46" s="6" t="s">
        <v>31</v>
      </c>
      <c r="Q46" s="6" t="s">
        <v>600</v>
      </c>
    </row>
    <row r="47" spans="1:17" x14ac:dyDescent="0.2">
      <c r="A47" s="6" t="s">
        <v>213</v>
      </c>
      <c r="B47" s="6" t="s">
        <v>109</v>
      </c>
      <c r="C47" s="6" t="s">
        <v>116</v>
      </c>
      <c r="D47" s="6" t="s">
        <v>117</v>
      </c>
      <c r="E47" s="6" t="s">
        <v>129</v>
      </c>
      <c r="F47" s="6" t="s">
        <v>119</v>
      </c>
      <c r="G47" s="16" t="s">
        <v>525</v>
      </c>
      <c r="H47" s="6" t="s">
        <v>43</v>
      </c>
      <c r="I47" s="20">
        <v>40</v>
      </c>
      <c r="J47" s="20">
        <v>25</v>
      </c>
      <c r="K47" s="20">
        <v>55</v>
      </c>
      <c r="L47" s="20">
        <v>30</v>
      </c>
      <c r="M47" s="6" t="s">
        <v>24</v>
      </c>
      <c r="N47" s="6"/>
      <c r="O47" s="6" t="s">
        <v>597</v>
      </c>
      <c r="P47" s="6" t="s">
        <v>31</v>
      </c>
      <c r="Q47" s="6" t="s">
        <v>601</v>
      </c>
    </row>
    <row r="48" spans="1:17" x14ac:dyDescent="0.2">
      <c r="A48" s="6" t="s">
        <v>213</v>
      </c>
      <c r="B48" s="6" t="s">
        <v>109</v>
      </c>
      <c r="C48" s="6" t="s">
        <v>116</v>
      </c>
      <c r="D48" s="6" t="s">
        <v>117</v>
      </c>
      <c r="E48" s="6" t="s">
        <v>132</v>
      </c>
      <c r="F48" s="6" t="s">
        <v>119</v>
      </c>
      <c r="G48" s="16" t="s">
        <v>133</v>
      </c>
      <c r="H48" s="6" t="s">
        <v>43</v>
      </c>
      <c r="I48" s="20">
        <v>33</v>
      </c>
      <c r="J48" s="20">
        <v>15</v>
      </c>
      <c r="K48" s="20">
        <v>45</v>
      </c>
      <c r="L48" s="20">
        <v>10</v>
      </c>
      <c r="M48" s="6" t="s">
        <v>24</v>
      </c>
      <c r="N48" s="6"/>
      <c r="O48" s="6" t="s">
        <v>597</v>
      </c>
      <c r="P48" s="6" t="s">
        <v>31</v>
      </c>
      <c r="Q48" s="6" t="s">
        <v>602</v>
      </c>
    </row>
    <row r="49" spans="1:17" x14ac:dyDescent="0.2">
      <c r="A49" s="6" t="s">
        <v>213</v>
      </c>
      <c r="B49" s="6" t="s">
        <v>135</v>
      </c>
      <c r="C49" s="6" t="s">
        <v>136</v>
      </c>
      <c r="D49" s="6" t="s">
        <v>20</v>
      </c>
      <c r="E49" s="6"/>
      <c r="F49" s="6" t="s">
        <v>135</v>
      </c>
      <c r="G49" s="16" t="s">
        <v>137</v>
      </c>
      <c r="H49" s="6" t="s">
        <v>138</v>
      </c>
      <c r="I49" s="20" t="s">
        <v>139</v>
      </c>
      <c r="J49" s="20"/>
      <c r="K49" s="20"/>
      <c r="L49" s="20"/>
      <c r="M49" s="6" t="s">
        <v>79</v>
      </c>
      <c r="N49" s="6"/>
      <c r="O49" s="6" t="s">
        <v>528</v>
      </c>
      <c r="P49" s="6" t="s">
        <v>31</v>
      </c>
      <c r="Q49" s="6" t="s">
        <v>603</v>
      </c>
    </row>
  </sheetData>
  <conditionalFormatting sqref="I2:I256">
    <cfRule type="expression" dxfId="46" priority="3">
      <formula>AND($F2&lt;&gt;"",$I2="")</formula>
    </cfRule>
  </conditionalFormatting>
  <conditionalFormatting sqref="I2:P256">
    <cfRule type="expression" dxfId="45" priority="1">
      <formula>$P2="placeholder"</formula>
    </cfRule>
  </conditionalFormatting>
  <conditionalFormatting sqref="J2:K256">
    <cfRule type="expression" dxfId="44" priority="2">
      <formula>AND(OR($M2="triangular",$M2="uniform"),OR($J2="",$K2=""))</formula>
    </cfRule>
  </conditionalFormatting>
  <dataValidations count="4">
    <dataValidation type="list" allowBlank="1" showErrorMessage="1" sqref="B2:B256" xr:uid="{00000000-0002-0000-0800-000000000000}">
      <formula1>"design,manufacturing,circularity,location"</formula1>
    </dataValidation>
    <dataValidation type="list" allowBlank="1" showErrorMessage="1" sqref="C2:C256" xr:uid="{00000000-0002-0000-0800-000001000000}">
      <formula1>"product size,production,repair,use,end-of-life,general"</formula1>
    </dataValidation>
    <dataValidation type="list" allowBlank="1" showErrorMessage="1" sqref="M2:M256" xr:uid="{00000000-0002-0000-0800-000002000000}">
      <formula1>"fixed,triangular,uniform,choice,combination"</formula1>
    </dataValidation>
    <dataValidation type="list" allowBlank="1" showErrorMessage="1" sqref="P2:P256" xr:uid="{00000000-0002-0000-0800-000003000000}">
      <formula1>"placeholder,partner estimate,measured,literature"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5A6BD"/>
  </sheetPr>
  <dimension ref="A1:Q30"/>
  <sheetViews>
    <sheetView workbookViewId="0">
      <pane xSplit="6" ySplit="1" topLeftCell="G2" activePane="bottomRight" state="frozen"/>
      <selection activeCell="F30" sqref="F30"/>
      <selection pane="topRight" activeCell="F30" sqref="F30"/>
      <selection pane="bottomLeft" activeCell="F30" sqref="F30"/>
      <selection pane="bottomRight" activeCell="F30" sqref="F30"/>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row>
    <row r="2" spans="1:17" x14ac:dyDescent="0.2">
      <c r="A2" s="14" t="s">
        <v>205</v>
      </c>
      <c r="B2" s="14" t="s">
        <v>18</v>
      </c>
      <c r="C2" s="14" t="s">
        <v>19</v>
      </c>
      <c r="D2" s="14" t="s">
        <v>20</v>
      </c>
      <c r="E2" s="14"/>
      <c r="F2" s="14" t="s">
        <v>604</v>
      </c>
      <c r="G2" s="14" t="s">
        <v>605</v>
      </c>
      <c r="H2" s="14" t="s">
        <v>606</v>
      </c>
      <c r="I2" s="14">
        <v>550</v>
      </c>
      <c r="J2" s="14">
        <v>400</v>
      </c>
      <c r="K2" s="14">
        <v>800</v>
      </c>
      <c r="L2" s="14"/>
      <c r="M2" s="14" t="s">
        <v>24</v>
      </c>
      <c r="N2" s="14"/>
      <c r="O2" s="14" t="s">
        <v>660</v>
      </c>
      <c r="P2" s="14" t="s">
        <v>31</v>
      </c>
      <c r="Q2" s="14" t="s">
        <v>661</v>
      </c>
    </row>
    <row r="3" spans="1:17" x14ac:dyDescent="0.2">
      <c r="A3" s="14" t="s">
        <v>205</v>
      </c>
      <c r="B3" s="14" t="s">
        <v>18</v>
      </c>
      <c r="C3" s="14" t="s">
        <v>19</v>
      </c>
      <c r="D3" s="14" t="s">
        <v>20</v>
      </c>
      <c r="E3" s="14"/>
      <c r="F3" s="14" t="s">
        <v>608</v>
      </c>
      <c r="G3" s="14" t="s">
        <v>609</v>
      </c>
      <c r="H3" s="14" t="s">
        <v>610</v>
      </c>
      <c r="I3" s="14">
        <v>5.7000000000000002E-3</v>
      </c>
      <c r="J3" s="14">
        <v>4.7999999999999996E-3</v>
      </c>
      <c r="K3" s="14">
        <v>1.6E-2</v>
      </c>
      <c r="L3" s="14"/>
      <c r="M3" s="14" t="s">
        <v>24</v>
      </c>
      <c r="N3" s="14"/>
      <c r="O3" s="14" t="s">
        <v>662</v>
      </c>
      <c r="P3" s="14" t="s">
        <v>26</v>
      </c>
      <c r="Q3" s="14" t="s">
        <v>663</v>
      </c>
    </row>
    <row r="4" spans="1:17" x14ac:dyDescent="0.2">
      <c r="A4" s="14" t="s">
        <v>205</v>
      </c>
      <c r="B4" s="14" t="s">
        <v>18</v>
      </c>
      <c r="C4" s="14" t="s">
        <v>38</v>
      </c>
      <c r="D4" s="14" t="s">
        <v>664</v>
      </c>
      <c r="E4" s="14" t="s">
        <v>47</v>
      </c>
      <c r="F4" s="14" t="s">
        <v>41</v>
      </c>
      <c r="G4" s="17" t="s">
        <v>48</v>
      </c>
      <c r="H4" s="14" t="s">
        <v>43</v>
      </c>
      <c r="I4" s="14">
        <v>42</v>
      </c>
      <c r="J4" s="14">
        <v>15</v>
      </c>
      <c r="K4" s="14">
        <v>50</v>
      </c>
      <c r="L4" s="14"/>
      <c r="M4" s="14" t="s">
        <v>24</v>
      </c>
      <c r="N4" s="14"/>
      <c r="O4" s="14" t="s">
        <v>665</v>
      </c>
      <c r="P4" s="14" t="s">
        <v>26</v>
      </c>
      <c r="Q4" s="14" t="s">
        <v>666</v>
      </c>
    </row>
    <row r="5" spans="1:17" x14ac:dyDescent="0.2">
      <c r="A5" s="14" t="s">
        <v>205</v>
      </c>
      <c r="B5" s="14" t="s">
        <v>18</v>
      </c>
      <c r="C5" s="14" t="s">
        <v>38</v>
      </c>
      <c r="D5" s="14" t="s">
        <v>615</v>
      </c>
      <c r="E5" s="14" t="s">
        <v>47</v>
      </c>
      <c r="F5" s="14" t="s">
        <v>41</v>
      </c>
      <c r="G5" s="17" t="s">
        <v>48</v>
      </c>
      <c r="H5" s="14" t="s">
        <v>43</v>
      </c>
      <c r="I5" s="14">
        <v>58</v>
      </c>
      <c r="J5" s="14">
        <v>50</v>
      </c>
      <c r="K5" s="14">
        <v>85</v>
      </c>
      <c r="L5" s="14"/>
      <c r="M5" s="14" t="s">
        <v>24</v>
      </c>
      <c r="N5" s="14"/>
      <c r="O5" s="14" t="s">
        <v>667</v>
      </c>
      <c r="P5" s="14" t="s">
        <v>26</v>
      </c>
      <c r="Q5" s="14" t="s">
        <v>668</v>
      </c>
    </row>
    <row r="6" spans="1:17" x14ac:dyDescent="0.2">
      <c r="A6" s="14" t="s">
        <v>205</v>
      </c>
      <c r="B6" s="14" t="s">
        <v>51</v>
      </c>
      <c r="C6" s="14" t="s">
        <v>38</v>
      </c>
      <c r="D6" s="14" t="s">
        <v>669</v>
      </c>
      <c r="E6" s="14"/>
      <c r="F6" s="14" t="s">
        <v>53</v>
      </c>
      <c r="G6" s="17" t="s">
        <v>54</v>
      </c>
      <c r="H6" s="14" t="s">
        <v>55</v>
      </c>
      <c r="I6" s="14">
        <v>100</v>
      </c>
      <c r="J6" s="14">
        <v>50</v>
      </c>
      <c r="K6" s="14">
        <v>200</v>
      </c>
      <c r="L6" s="14"/>
      <c r="M6" s="14" t="s">
        <v>24</v>
      </c>
      <c r="N6" s="14"/>
      <c r="O6" s="14" t="s">
        <v>670</v>
      </c>
      <c r="P6" s="14" t="s">
        <v>31</v>
      </c>
      <c r="Q6" s="14" t="s">
        <v>671</v>
      </c>
    </row>
    <row r="7" spans="1:17" x14ac:dyDescent="0.2">
      <c r="A7" s="14" t="s">
        <v>205</v>
      </c>
      <c r="B7" s="14" t="s">
        <v>51</v>
      </c>
      <c r="C7" s="14" t="s">
        <v>38</v>
      </c>
      <c r="D7" s="14" t="s">
        <v>669</v>
      </c>
      <c r="E7" s="14"/>
      <c r="F7" s="14" t="s">
        <v>58</v>
      </c>
      <c r="G7" s="17" t="s">
        <v>59</v>
      </c>
      <c r="H7" s="14" t="s">
        <v>60</v>
      </c>
      <c r="I7" s="14">
        <v>2.9999999999999997E-4</v>
      </c>
      <c r="J7" s="14">
        <v>1E-4</v>
      </c>
      <c r="K7" s="14">
        <v>0.05</v>
      </c>
      <c r="L7" s="14"/>
      <c r="M7" s="14" t="s">
        <v>24</v>
      </c>
      <c r="N7" s="14"/>
      <c r="O7" s="14" t="s">
        <v>672</v>
      </c>
      <c r="P7" s="14" t="s">
        <v>31</v>
      </c>
      <c r="Q7" s="14" t="s">
        <v>673</v>
      </c>
    </row>
    <row r="8" spans="1:17" x14ac:dyDescent="0.2">
      <c r="A8" s="14" t="s">
        <v>205</v>
      </c>
      <c r="B8" s="14" t="s">
        <v>51</v>
      </c>
      <c r="C8" s="14" t="s">
        <v>38</v>
      </c>
      <c r="D8" s="14" t="s">
        <v>669</v>
      </c>
      <c r="E8" s="14"/>
      <c r="F8" s="14" t="s">
        <v>63</v>
      </c>
      <c r="G8" s="17" t="s">
        <v>64</v>
      </c>
      <c r="H8" s="14" t="s">
        <v>65</v>
      </c>
      <c r="I8" s="14">
        <v>2.5</v>
      </c>
      <c r="J8" s="14">
        <v>1.9</v>
      </c>
      <c r="K8" s="14">
        <v>3.1</v>
      </c>
      <c r="L8" s="14"/>
      <c r="M8" s="14" t="s">
        <v>24</v>
      </c>
      <c r="N8" s="14"/>
      <c r="O8" s="14" t="s">
        <v>674</v>
      </c>
      <c r="P8" s="14" t="s">
        <v>31</v>
      </c>
      <c r="Q8" s="14" t="s">
        <v>675</v>
      </c>
    </row>
    <row r="9" spans="1:17" x14ac:dyDescent="0.2">
      <c r="A9" s="14" t="s">
        <v>205</v>
      </c>
      <c r="B9" s="14" t="s">
        <v>51</v>
      </c>
      <c r="C9" s="14" t="s">
        <v>38</v>
      </c>
      <c r="D9" s="14" t="s">
        <v>669</v>
      </c>
      <c r="E9" s="14"/>
      <c r="F9" s="14" t="s">
        <v>68</v>
      </c>
      <c r="G9" s="17" t="s">
        <v>69</v>
      </c>
      <c r="H9" s="14" t="s">
        <v>70</v>
      </c>
      <c r="I9" s="14">
        <v>20000</v>
      </c>
      <c r="J9" s="14">
        <v>10000</v>
      </c>
      <c r="K9" s="14">
        <v>40000</v>
      </c>
      <c r="L9" s="14"/>
      <c r="M9" s="14" t="s">
        <v>24</v>
      </c>
      <c r="N9" s="14"/>
      <c r="O9" s="14" t="s">
        <v>676</v>
      </c>
      <c r="P9" s="14" t="s">
        <v>31</v>
      </c>
      <c r="Q9" s="14" t="s">
        <v>677</v>
      </c>
    </row>
    <row r="10" spans="1:17" x14ac:dyDescent="0.2">
      <c r="A10" s="14" t="s">
        <v>205</v>
      </c>
      <c r="B10" s="14" t="s">
        <v>51</v>
      </c>
      <c r="C10" s="14" t="s">
        <v>38</v>
      </c>
      <c r="D10" s="14" t="s">
        <v>669</v>
      </c>
      <c r="E10" s="14"/>
      <c r="F10" s="14" t="s">
        <v>73</v>
      </c>
      <c r="G10" s="17" t="s">
        <v>74</v>
      </c>
      <c r="H10" s="14" t="s">
        <v>43</v>
      </c>
      <c r="I10" s="14">
        <v>100</v>
      </c>
      <c r="J10" s="14">
        <v>95</v>
      </c>
      <c r="K10" s="14">
        <v>100</v>
      </c>
      <c r="L10" s="14"/>
      <c r="M10" s="14" t="s">
        <v>24</v>
      </c>
      <c r="N10" s="14"/>
      <c r="O10" s="14" t="s">
        <v>678</v>
      </c>
      <c r="P10" s="14" t="s">
        <v>31</v>
      </c>
      <c r="Q10" s="14" t="s">
        <v>679</v>
      </c>
    </row>
    <row r="11" spans="1:17" x14ac:dyDescent="0.2">
      <c r="A11" s="14" t="s">
        <v>205</v>
      </c>
      <c r="B11" s="14" t="s">
        <v>51</v>
      </c>
      <c r="C11" s="14" t="s">
        <v>38</v>
      </c>
      <c r="D11" s="14" t="s">
        <v>669</v>
      </c>
      <c r="E11" s="14"/>
      <c r="F11" s="14" t="s">
        <v>77</v>
      </c>
      <c r="G11" s="17" t="s">
        <v>78</v>
      </c>
      <c r="H11" s="14" t="s">
        <v>23</v>
      </c>
      <c r="I11" s="14" t="s">
        <v>47</v>
      </c>
      <c r="J11" s="14"/>
      <c r="K11" s="14"/>
      <c r="L11" s="14"/>
      <c r="M11" s="14" t="s">
        <v>79</v>
      </c>
      <c r="N11" s="14" t="s">
        <v>80</v>
      </c>
      <c r="O11" s="14" t="s">
        <v>81</v>
      </c>
      <c r="P11" s="14" t="s">
        <v>31</v>
      </c>
      <c r="Q11" s="14" t="s">
        <v>680</v>
      </c>
    </row>
    <row r="12" spans="1:17" x14ac:dyDescent="0.2">
      <c r="A12" s="14" t="s">
        <v>205</v>
      </c>
      <c r="B12" s="14" t="s">
        <v>51</v>
      </c>
      <c r="C12" s="14" t="s">
        <v>38</v>
      </c>
      <c r="D12" s="14" t="s">
        <v>352</v>
      </c>
      <c r="E12" s="14"/>
      <c r="F12" s="14" t="s">
        <v>53</v>
      </c>
      <c r="G12" s="17" t="s">
        <v>54</v>
      </c>
      <c r="H12" s="14" t="s">
        <v>55</v>
      </c>
      <c r="I12" s="14">
        <v>1150</v>
      </c>
      <c r="J12" s="14">
        <v>1000</v>
      </c>
      <c r="K12" s="14">
        <v>1300</v>
      </c>
      <c r="L12" s="14"/>
      <c r="M12" s="14" t="s">
        <v>24</v>
      </c>
      <c r="N12" s="14"/>
      <c r="O12" s="14" t="s">
        <v>681</v>
      </c>
      <c r="P12" s="14" t="s">
        <v>31</v>
      </c>
      <c r="Q12" s="14" t="s">
        <v>682</v>
      </c>
    </row>
    <row r="13" spans="1:17" x14ac:dyDescent="0.2">
      <c r="A13" s="14" t="s">
        <v>205</v>
      </c>
      <c r="B13" s="14" t="s">
        <v>51</v>
      </c>
      <c r="C13" s="14" t="s">
        <v>38</v>
      </c>
      <c r="D13" s="14" t="s">
        <v>352</v>
      </c>
      <c r="E13" s="14"/>
      <c r="F13" s="14" t="s">
        <v>58</v>
      </c>
      <c r="G13" s="17" t="s">
        <v>59</v>
      </c>
      <c r="H13" s="14" t="s">
        <v>60</v>
      </c>
      <c r="I13" s="14">
        <v>0.85</v>
      </c>
      <c r="J13" s="14">
        <v>0.61</v>
      </c>
      <c r="K13" s="14">
        <v>0.85</v>
      </c>
      <c r="L13" s="14"/>
      <c r="M13" s="14" t="s">
        <v>24</v>
      </c>
      <c r="N13" s="14"/>
      <c r="O13" s="14" t="s">
        <v>683</v>
      </c>
      <c r="P13" s="14" t="s">
        <v>31</v>
      </c>
      <c r="Q13" s="14" t="s">
        <v>684</v>
      </c>
    </row>
    <row r="14" spans="1:17" x14ac:dyDescent="0.2">
      <c r="A14" s="14" t="s">
        <v>205</v>
      </c>
      <c r="B14" s="14" t="s">
        <v>51</v>
      </c>
      <c r="C14" s="14" t="s">
        <v>38</v>
      </c>
      <c r="D14" s="14" t="s">
        <v>352</v>
      </c>
      <c r="E14" s="14"/>
      <c r="F14" s="14" t="s">
        <v>63</v>
      </c>
      <c r="G14" s="17" t="s">
        <v>64</v>
      </c>
      <c r="H14" s="14" t="s">
        <v>65</v>
      </c>
      <c r="I14" s="14">
        <v>20.5</v>
      </c>
      <c r="J14" s="14">
        <v>10.3</v>
      </c>
      <c r="K14" s="14">
        <v>123</v>
      </c>
      <c r="L14" s="14"/>
      <c r="M14" s="14" t="s">
        <v>24</v>
      </c>
      <c r="N14" s="14"/>
      <c r="O14" s="14" t="s">
        <v>685</v>
      </c>
      <c r="P14" s="14" t="s">
        <v>31</v>
      </c>
      <c r="Q14" s="14" t="s">
        <v>686</v>
      </c>
    </row>
    <row r="15" spans="1:17" x14ac:dyDescent="0.2">
      <c r="A15" s="14" t="s">
        <v>205</v>
      </c>
      <c r="B15" s="14" t="s">
        <v>51</v>
      </c>
      <c r="C15" s="14" t="s">
        <v>38</v>
      </c>
      <c r="D15" s="14" t="s">
        <v>352</v>
      </c>
      <c r="E15" s="14"/>
      <c r="F15" s="14" t="s">
        <v>68</v>
      </c>
      <c r="G15" s="17" t="s">
        <v>69</v>
      </c>
      <c r="H15" s="14" t="s">
        <v>70</v>
      </c>
      <c r="I15" s="14">
        <v>36000</v>
      </c>
      <c r="J15" s="14">
        <v>30000</v>
      </c>
      <c r="K15" s="14">
        <v>45000</v>
      </c>
      <c r="L15" s="14"/>
      <c r="M15" s="14" t="s">
        <v>24</v>
      </c>
      <c r="N15" s="14"/>
      <c r="O15" s="14" t="s">
        <v>687</v>
      </c>
      <c r="P15" s="14" t="s">
        <v>31</v>
      </c>
      <c r="Q15" s="14" t="s">
        <v>688</v>
      </c>
    </row>
    <row r="16" spans="1:17" x14ac:dyDescent="0.2">
      <c r="A16" s="14" t="s">
        <v>205</v>
      </c>
      <c r="B16" s="14" t="s">
        <v>51</v>
      </c>
      <c r="C16" s="14" t="s">
        <v>38</v>
      </c>
      <c r="D16" s="14" t="s">
        <v>352</v>
      </c>
      <c r="E16" s="14"/>
      <c r="F16" s="14" t="s">
        <v>73</v>
      </c>
      <c r="G16" s="17" t="s">
        <v>74</v>
      </c>
      <c r="H16" s="14" t="s">
        <v>43</v>
      </c>
      <c r="I16" s="14">
        <v>95</v>
      </c>
      <c r="J16" s="14">
        <v>90</v>
      </c>
      <c r="K16" s="14">
        <v>100</v>
      </c>
      <c r="L16" s="14"/>
      <c r="M16" s="14" t="s">
        <v>24</v>
      </c>
      <c r="N16" s="14"/>
      <c r="O16" s="14" t="s">
        <v>689</v>
      </c>
      <c r="P16" s="14" t="s">
        <v>31</v>
      </c>
      <c r="Q16" s="14" t="s">
        <v>690</v>
      </c>
    </row>
    <row r="17" spans="1:17" x14ac:dyDescent="0.2">
      <c r="A17" s="14" t="s">
        <v>205</v>
      </c>
      <c r="B17" s="14" t="s">
        <v>51</v>
      </c>
      <c r="C17" s="14" t="s">
        <v>38</v>
      </c>
      <c r="D17" s="14" t="s">
        <v>352</v>
      </c>
      <c r="E17" s="14"/>
      <c r="F17" s="14" t="s">
        <v>77</v>
      </c>
      <c r="G17" s="17" t="s">
        <v>78</v>
      </c>
      <c r="H17" s="14" t="s">
        <v>23</v>
      </c>
      <c r="I17" s="14" t="s">
        <v>47</v>
      </c>
      <c r="J17" s="14"/>
      <c r="K17" s="14"/>
      <c r="L17" s="14"/>
      <c r="M17" s="14" t="s">
        <v>79</v>
      </c>
      <c r="N17" s="14" t="s">
        <v>80</v>
      </c>
      <c r="O17" s="14" t="s">
        <v>81</v>
      </c>
      <c r="P17" s="14" t="s">
        <v>31</v>
      </c>
      <c r="Q17" s="14" t="s">
        <v>680</v>
      </c>
    </row>
    <row r="18" spans="1:17" x14ac:dyDescent="0.2">
      <c r="A18" s="14" t="s">
        <v>205</v>
      </c>
      <c r="B18" s="14" t="s">
        <v>51</v>
      </c>
      <c r="C18" s="14" t="s">
        <v>38</v>
      </c>
      <c r="D18" s="14" t="s">
        <v>355</v>
      </c>
      <c r="E18" s="14"/>
      <c r="F18" s="14" t="s">
        <v>53</v>
      </c>
      <c r="G18" s="17" t="s">
        <v>54</v>
      </c>
      <c r="H18" s="14" t="s">
        <v>55</v>
      </c>
      <c r="I18" s="14">
        <v>3000</v>
      </c>
      <c r="J18" s="14">
        <v>2000</v>
      </c>
      <c r="K18" s="14">
        <v>4000</v>
      </c>
      <c r="L18" s="14"/>
      <c r="M18" s="14" t="s">
        <v>24</v>
      </c>
      <c r="N18" s="14"/>
      <c r="O18" s="14" t="s">
        <v>691</v>
      </c>
      <c r="P18" s="14" t="s">
        <v>31</v>
      </c>
      <c r="Q18" s="14" t="s">
        <v>692</v>
      </c>
    </row>
    <row r="19" spans="1:17" x14ac:dyDescent="0.2">
      <c r="A19" s="14" t="s">
        <v>205</v>
      </c>
      <c r="B19" s="14" t="s">
        <v>51</v>
      </c>
      <c r="C19" s="14" t="s">
        <v>38</v>
      </c>
      <c r="D19" s="14" t="s">
        <v>355</v>
      </c>
      <c r="E19" s="14"/>
      <c r="F19" s="14" t="s">
        <v>58</v>
      </c>
      <c r="G19" s="17" t="s">
        <v>59</v>
      </c>
      <c r="H19" s="14" t="s">
        <v>60</v>
      </c>
      <c r="I19" s="14">
        <v>0.61</v>
      </c>
      <c r="J19" s="14">
        <v>0.2</v>
      </c>
      <c r="K19" s="14">
        <v>0.8</v>
      </c>
      <c r="L19" s="14"/>
      <c r="M19" s="14" t="s">
        <v>24</v>
      </c>
      <c r="N19" s="14"/>
      <c r="O19" s="14" t="s">
        <v>693</v>
      </c>
      <c r="P19" s="14" t="s">
        <v>31</v>
      </c>
      <c r="Q19" s="14" t="s">
        <v>688</v>
      </c>
    </row>
    <row r="20" spans="1:17" x14ac:dyDescent="0.2">
      <c r="A20" s="14" t="s">
        <v>205</v>
      </c>
      <c r="B20" s="14" t="s">
        <v>51</v>
      </c>
      <c r="C20" s="14" t="s">
        <v>38</v>
      </c>
      <c r="D20" s="14" t="s">
        <v>355</v>
      </c>
      <c r="E20" s="14"/>
      <c r="F20" s="14" t="s">
        <v>63</v>
      </c>
      <c r="G20" s="17" t="s">
        <v>64</v>
      </c>
      <c r="H20" s="14" t="s">
        <v>65</v>
      </c>
      <c r="I20" s="14">
        <v>1.4</v>
      </c>
      <c r="J20" s="14">
        <v>0.5</v>
      </c>
      <c r="K20" s="14">
        <v>2.8</v>
      </c>
      <c r="L20" s="14"/>
      <c r="M20" s="14" t="s">
        <v>24</v>
      </c>
      <c r="N20" s="14"/>
      <c r="O20" s="14" t="s">
        <v>694</v>
      </c>
      <c r="P20" s="14" t="s">
        <v>31</v>
      </c>
      <c r="Q20" s="14" t="s">
        <v>695</v>
      </c>
    </row>
    <row r="21" spans="1:17" x14ac:dyDescent="0.2">
      <c r="A21" s="14" t="s">
        <v>205</v>
      </c>
      <c r="B21" s="14" t="s">
        <v>51</v>
      </c>
      <c r="C21" s="14" t="s">
        <v>38</v>
      </c>
      <c r="D21" s="14" t="s">
        <v>355</v>
      </c>
      <c r="E21" s="14"/>
      <c r="F21" s="14" t="s">
        <v>68</v>
      </c>
      <c r="G21" s="17" t="s">
        <v>69</v>
      </c>
      <c r="H21" s="14" t="s">
        <v>70</v>
      </c>
      <c r="I21" s="14">
        <v>30000</v>
      </c>
      <c r="J21" s="14">
        <v>20000</v>
      </c>
      <c r="K21" s="14">
        <v>50000</v>
      </c>
      <c r="L21" s="14"/>
      <c r="M21" s="14" t="s">
        <v>24</v>
      </c>
      <c r="N21" s="14"/>
      <c r="O21" s="14" t="s">
        <v>696</v>
      </c>
      <c r="P21" s="14" t="s">
        <v>31</v>
      </c>
      <c r="Q21" s="14" t="s">
        <v>688</v>
      </c>
    </row>
    <row r="22" spans="1:17" x14ac:dyDescent="0.2">
      <c r="A22" s="14" t="s">
        <v>205</v>
      </c>
      <c r="B22" s="14" t="s">
        <v>51</v>
      </c>
      <c r="C22" s="14" t="s">
        <v>38</v>
      </c>
      <c r="D22" s="14" t="s">
        <v>355</v>
      </c>
      <c r="E22" s="14"/>
      <c r="F22" s="14" t="s">
        <v>73</v>
      </c>
      <c r="G22" s="17" t="s">
        <v>74</v>
      </c>
      <c r="H22" s="14" t="s">
        <v>43</v>
      </c>
      <c r="I22" s="14">
        <v>100</v>
      </c>
      <c r="J22" s="14">
        <v>98</v>
      </c>
      <c r="K22" s="14">
        <v>100</v>
      </c>
      <c r="L22" s="14"/>
      <c r="M22" s="14" t="s">
        <v>24</v>
      </c>
      <c r="N22" s="14"/>
      <c r="O22" s="14" t="s">
        <v>697</v>
      </c>
      <c r="P22" s="14" t="s">
        <v>31</v>
      </c>
      <c r="Q22" s="14" t="s">
        <v>688</v>
      </c>
    </row>
    <row r="23" spans="1:17" x14ac:dyDescent="0.2">
      <c r="A23" s="14" t="s">
        <v>205</v>
      </c>
      <c r="B23" s="14" t="s">
        <v>51</v>
      </c>
      <c r="C23" s="14" t="s">
        <v>38</v>
      </c>
      <c r="D23" s="14" t="s">
        <v>355</v>
      </c>
      <c r="E23" s="14"/>
      <c r="F23" s="14" t="s">
        <v>77</v>
      </c>
      <c r="G23" s="17" t="s">
        <v>78</v>
      </c>
      <c r="H23" s="14" t="s">
        <v>23</v>
      </c>
      <c r="I23" s="14" t="s">
        <v>47</v>
      </c>
      <c r="J23" s="14"/>
      <c r="K23" s="14"/>
      <c r="L23" s="14"/>
      <c r="M23" s="14" t="s">
        <v>79</v>
      </c>
      <c r="N23" s="14" t="s">
        <v>80</v>
      </c>
      <c r="O23" s="14" t="s">
        <v>81</v>
      </c>
      <c r="P23" s="14" t="s">
        <v>31</v>
      </c>
      <c r="Q23" s="14" t="s">
        <v>680</v>
      </c>
    </row>
    <row r="24" spans="1:17" x14ac:dyDescent="0.2">
      <c r="A24" s="14" t="s">
        <v>205</v>
      </c>
      <c r="B24" s="14" t="s">
        <v>109</v>
      </c>
      <c r="C24" s="14" t="s">
        <v>110</v>
      </c>
      <c r="D24" s="14" t="s">
        <v>20</v>
      </c>
      <c r="E24" s="14"/>
      <c r="F24" s="14" t="s">
        <v>111</v>
      </c>
      <c r="G24" s="17" t="s">
        <v>112</v>
      </c>
      <c r="H24" s="14" t="s">
        <v>113</v>
      </c>
      <c r="I24" s="14">
        <v>50</v>
      </c>
      <c r="J24" s="14">
        <v>30</v>
      </c>
      <c r="K24" s="14">
        <v>60</v>
      </c>
      <c r="L24" s="14"/>
      <c r="M24" s="14" t="s">
        <v>24</v>
      </c>
      <c r="N24" s="14"/>
      <c r="O24" s="14" t="s">
        <v>698</v>
      </c>
      <c r="P24" s="14" t="s">
        <v>31</v>
      </c>
      <c r="Q24" s="14" t="s">
        <v>699</v>
      </c>
    </row>
    <row r="25" spans="1:17" x14ac:dyDescent="0.2">
      <c r="A25" s="14" t="s">
        <v>205</v>
      </c>
      <c r="B25" s="14" t="s">
        <v>109</v>
      </c>
      <c r="C25" s="14" t="s">
        <v>116</v>
      </c>
      <c r="D25" s="14" t="s">
        <v>117</v>
      </c>
      <c r="E25" s="14" t="s">
        <v>118</v>
      </c>
      <c r="F25" s="14" t="s">
        <v>119</v>
      </c>
      <c r="G25" s="17" t="s">
        <v>120</v>
      </c>
      <c r="H25" s="14" t="s">
        <v>43</v>
      </c>
      <c r="I25" s="14">
        <v>0</v>
      </c>
      <c r="J25" s="14">
        <v>0</v>
      </c>
      <c r="K25" s="14">
        <v>0</v>
      </c>
      <c r="L25" s="14"/>
      <c r="M25" s="14" t="s">
        <v>44</v>
      </c>
      <c r="N25" s="14"/>
      <c r="O25" s="14" t="s">
        <v>700</v>
      </c>
      <c r="P25" s="14" t="s">
        <v>31</v>
      </c>
      <c r="Q25" s="14" t="s">
        <v>701</v>
      </c>
    </row>
    <row r="26" spans="1:17" x14ac:dyDescent="0.2">
      <c r="A26" s="14" t="s">
        <v>205</v>
      </c>
      <c r="B26" s="14" t="s">
        <v>109</v>
      </c>
      <c r="C26" s="14" t="s">
        <v>116</v>
      </c>
      <c r="D26" s="14" t="s">
        <v>117</v>
      </c>
      <c r="E26" s="14" t="s">
        <v>123</v>
      </c>
      <c r="F26" s="14" t="s">
        <v>119</v>
      </c>
      <c r="G26" s="17" t="s">
        <v>521</v>
      </c>
      <c r="H26" s="14" t="s">
        <v>43</v>
      </c>
      <c r="I26" s="14">
        <v>5</v>
      </c>
      <c r="J26" s="14">
        <v>0</v>
      </c>
      <c r="K26" s="14">
        <v>10</v>
      </c>
      <c r="L26" s="14"/>
      <c r="M26" s="14" t="s">
        <v>24</v>
      </c>
      <c r="N26" s="14"/>
      <c r="O26" s="14" t="s">
        <v>700</v>
      </c>
      <c r="P26" s="14" t="s">
        <v>31</v>
      </c>
      <c r="Q26" s="14" t="s">
        <v>702</v>
      </c>
    </row>
    <row r="27" spans="1:17" x14ac:dyDescent="0.2">
      <c r="A27" s="14" t="s">
        <v>205</v>
      </c>
      <c r="B27" s="14" t="s">
        <v>109</v>
      </c>
      <c r="C27" s="14" t="s">
        <v>116</v>
      </c>
      <c r="D27" s="14" t="s">
        <v>117</v>
      </c>
      <c r="E27" s="14" t="s">
        <v>126</v>
      </c>
      <c r="F27" s="14" t="s">
        <v>119</v>
      </c>
      <c r="G27" s="17" t="s">
        <v>523</v>
      </c>
      <c r="H27" s="14" t="s">
        <v>43</v>
      </c>
      <c r="I27" s="14">
        <v>0</v>
      </c>
      <c r="J27" s="14">
        <v>0</v>
      </c>
      <c r="K27" s="14">
        <v>0</v>
      </c>
      <c r="L27" s="14"/>
      <c r="M27" s="14" t="s">
        <v>44</v>
      </c>
      <c r="N27" s="14"/>
      <c r="O27" s="14" t="s">
        <v>700</v>
      </c>
      <c r="P27" s="14" t="s">
        <v>31</v>
      </c>
      <c r="Q27" s="14" t="s">
        <v>703</v>
      </c>
    </row>
    <row r="28" spans="1:17" x14ac:dyDescent="0.2">
      <c r="A28" s="14" t="s">
        <v>205</v>
      </c>
      <c r="B28" s="14" t="s">
        <v>109</v>
      </c>
      <c r="C28" s="14" t="s">
        <v>116</v>
      </c>
      <c r="D28" s="14" t="s">
        <v>117</v>
      </c>
      <c r="E28" s="14" t="s">
        <v>129</v>
      </c>
      <c r="F28" s="14" t="s">
        <v>119</v>
      </c>
      <c r="G28" s="17" t="s">
        <v>525</v>
      </c>
      <c r="H28" s="14" t="s">
        <v>43</v>
      </c>
      <c r="I28" s="14">
        <v>85</v>
      </c>
      <c r="J28" s="14">
        <v>75</v>
      </c>
      <c r="K28" s="14">
        <v>95</v>
      </c>
      <c r="L28" s="14"/>
      <c r="M28" s="14" t="s">
        <v>24</v>
      </c>
      <c r="N28" s="14"/>
      <c r="O28" s="14" t="s">
        <v>700</v>
      </c>
      <c r="P28" s="14" t="s">
        <v>31</v>
      </c>
      <c r="Q28" s="14" t="s">
        <v>704</v>
      </c>
    </row>
    <row r="29" spans="1:17" x14ac:dyDescent="0.2">
      <c r="A29" s="14" t="s">
        <v>205</v>
      </c>
      <c r="B29" s="14" t="s">
        <v>109</v>
      </c>
      <c r="C29" s="14" t="s">
        <v>116</v>
      </c>
      <c r="D29" s="14" t="s">
        <v>117</v>
      </c>
      <c r="E29" s="14" t="s">
        <v>132</v>
      </c>
      <c r="F29" s="14" t="s">
        <v>119</v>
      </c>
      <c r="G29" s="17" t="s">
        <v>133</v>
      </c>
      <c r="H29" s="14" t="s">
        <v>43</v>
      </c>
      <c r="I29" s="14">
        <v>10</v>
      </c>
      <c r="J29" s="14">
        <v>0</v>
      </c>
      <c r="K29" s="14">
        <v>20</v>
      </c>
      <c r="L29" s="14"/>
      <c r="M29" s="14" t="s">
        <v>24</v>
      </c>
      <c r="N29" s="14"/>
      <c r="O29" s="14" t="s">
        <v>700</v>
      </c>
      <c r="P29" s="14" t="s">
        <v>31</v>
      </c>
      <c r="Q29" s="14" t="s">
        <v>705</v>
      </c>
    </row>
    <row r="30" spans="1:17" x14ac:dyDescent="0.2">
      <c r="A30" s="14" t="s">
        <v>205</v>
      </c>
      <c r="B30" s="14" t="s">
        <v>135</v>
      </c>
      <c r="C30" s="14" t="s">
        <v>136</v>
      </c>
      <c r="D30" s="14" t="s">
        <v>20</v>
      </c>
      <c r="E30" s="14"/>
      <c r="F30" s="14" t="s">
        <v>135</v>
      </c>
      <c r="G30" s="17" t="s">
        <v>137</v>
      </c>
      <c r="H30" s="14" t="s">
        <v>138</v>
      </c>
      <c r="I30" s="14" t="s">
        <v>139</v>
      </c>
      <c r="J30" s="14"/>
      <c r="K30" s="14"/>
      <c r="L30" s="14"/>
      <c r="M30" s="14" t="s">
        <v>79</v>
      </c>
      <c r="N30" s="14"/>
      <c r="O30" s="14" t="s">
        <v>706</v>
      </c>
      <c r="P30" s="14" t="s">
        <v>31</v>
      </c>
      <c r="Q30" s="14" t="s">
        <v>707</v>
      </c>
    </row>
  </sheetData>
  <conditionalFormatting sqref="I2:I245">
    <cfRule type="expression" dxfId="39" priority="3">
      <formula>AND($F2&lt;&gt;"",$I2="")</formula>
    </cfRule>
  </conditionalFormatting>
  <conditionalFormatting sqref="I2:P245">
    <cfRule type="expression" dxfId="38" priority="1">
      <formula>$P2="placeholder"</formula>
    </cfRule>
  </conditionalFormatting>
  <conditionalFormatting sqref="J2:K245">
    <cfRule type="expression" dxfId="37" priority="2">
      <formula>AND(OR($M2="triangular",$M2="uniform"),OR($J2="",$K2=""))</formula>
    </cfRule>
  </conditionalFormatting>
  <dataValidations count="4">
    <dataValidation type="list" allowBlank="1" sqref="B2:B245" xr:uid="{00000000-0002-0000-0B00-000000000000}">
      <formula1>"design,manufacturing,circularity,location"</formula1>
    </dataValidation>
    <dataValidation type="list" allowBlank="1" sqref="C2:C245" xr:uid="{00000000-0002-0000-0B00-000001000000}">
      <formula1>"product size,production,repair,use,end-of-life,general"</formula1>
    </dataValidation>
    <dataValidation type="list" allowBlank="1" sqref="M2:M245" xr:uid="{00000000-0002-0000-0B00-000002000000}">
      <formula1>"fixed,triangular,uniform,choice,combination"</formula1>
    </dataValidation>
    <dataValidation type="list" allowBlank="1" sqref="P2:P245" xr:uid="{00000000-0002-0000-0B00-000003000000}">
      <formula1>"placeholder,partner estimate,measured,literature"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5A6BD"/>
  </sheetPr>
  <dimension ref="A1:Q3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row>
    <row r="2" spans="1:17" x14ac:dyDescent="0.2">
      <c r="A2" s="14" t="s">
        <v>206</v>
      </c>
      <c r="B2" s="14" t="s">
        <v>18</v>
      </c>
      <c r="C2" s="14" t="s">
        <v>19</v>
      </c>
      <c r="D2" s="14" t="s">
        <v>20</v>
      </c>
      <c r="E2" s="14"/>
      <c r="F2" s="14" t="s">
        <v>604</v>
      </c>
      <c r="G2" s="14" t="s">
        <v>605</v>
      </c>
      <c r="H2" s="14" t="s">
        <v>606</v>
      </c>
      <c r="I2" s="14">
        <v>275</v>
      </c>
      <c r="J2" s="14">
        <v>150</v>
      </c>
      <c r="K2" s="14">
        <v>550</v>
      </c>
      <c r="L2" s="14"/>
      <c r="M2" s="14" t="s">
        <v>24</v>
      </c>
      <c r="N2" s="14"/>
      <c r="O2" s="14" t="s">
        <v>708</v>
      </c>
      <c r="P2" s="14" t="s">
        <v>31</v>
      </c>
      <c r="Q2" s="14" t="s">
        <v>709</v>
      </c>
    </row>
    <row r="3" spans="1:17" x14ac:dyDescent="0.2">
      <c r="A3" s="14" t="s">
        <v>206</v>
      </c>
      <c r="B3" s="14" t="s">
        <v>18</v>
      </c>
      <c r="C3" s="14" t="s">
        <v>19</v>
      </c>
      <c r="D3" s="14" t="s">
        <v>20</v>
      </c>
      <c r="E3" s="14"/>
      <c r="F3" s="14" t="s">
        <v>608</v>
      </c>
      <c r="G3" s="14" t="s">
        <v>609</v>
      </c>
      <c r="H3" s="14" t="s">
        <v>610</v>
      </c>
      <c r="I3" s="14">
        <v>3.5000000000000001E-3</v>
      </c>
      <c r="J3" s="14">
        <v>3.0999999999999999E-3</v>
      </c>
      <c r="K3" s="14">
        <v>4.0000000000000001E-3</v>
      </c>
      <c r="L3" s="14"/>
      <c r="M3" s="14" t="s">
        <v>24</v>
      </c>
      <c r="N3" s="14"/>
      <c r="O3" s="14" t="s">
        <v>710</v>
      </c>
      <c r="P3" s="14" t="s">
        <v>26</v>
      </c>
      <c r="Q3" s="14" t="s">
        <v>711</v>
      </c>
    </row>
    <row r="4" spans="1:17" x14ac:dyDescent="0.2">
      <c r="A4" s="14" t="s">
        <v>206</v>
      </c>
      <c r="B4" s="14" t="s">
        <v>18</v>
      </c>
      <c r="C4" s="14" t="s">
        <v>38</v>
      </c>
      <c r="D4" s="14" t="s">
        <v>712</v>
      </c>
      <c r="E4" s="14"/>
      <c r="F4" s="14" t="s">
        <v>41</v>
      </c>
      <c r="G4" s="17" t="s">
        <v>48</v>
      </c>
      <c r="H4" s="14" t="s">
        <v>43</v>
      </c>
      <c r="I4" s="14">
        <v>69</v>
      </c>
      <c r="J4" s="14">
        <v>64</v>
      </c>
      <c r="K4" s="14">
        <v>73</v>
      </c>
      <c r="L4" s="14"/>
      <c r="M4" s="14" t="s">
        <v>24</v>
      </c>
      <c r="N4" s="14"/>
      <c r="O4" s="14" t="s">
        <v>713</v>
      </c>
      <c r="P4" s="14" t="s">
        <v>26</v>
      </c>
      <c r="Q4" s="14" t="s">
        <v>714</v>
      </c>
    </row>
    <row r="5" spans="1:17" x14ac:dyDescent="0.2">
      <c r="A5" s="14" t="s">
        <v>206</v>
      </c>
      <c r="B5" s="14" t="s">
        <v>18</v>
      </c>
      <c r="C5" s="14" t="s">
        <v>38</v>
      </c>
      <c r="D5" s="14" t="s">
        <v>615</v>
      </c>
      <c r="E5" s="14" t="s">
        <v>47</v>
      </c>
      <c r="F5" s="14" t="s">
        <v>41</v>
      </c>
      <c r="G5" s="17" t="s">
        <v>48</v>
      </c>
      <c r="H5" s="14" t="s">
        <v>43</v>
      </c>
      <c r="I5" s="14">
        <v>31</v>
      </c>
      <c r="J5" s="14">
        <v>27</v>
      </c>
      <c r="K5" s="14">
        <v>36</v>
      </c>
      <c r="L5" s="14"/>
      <c r="M5" s="14" t="s">
        <v>24</v>
      </c>
      <c r="N5" s="14"/>
      <c r="O5" s="14" t="s">
        <v>715</v>
      </c>
      <c r="P5" s="14" t="s">
        <v>26</v>
      </c>
      <c r="Q5" s="14" t="s">
        <v>716</v>
      </c>
    </row>
    <row r="6" spans="1:17" x14ac:dyDescent="0.2">
      <c r="A6" s="14" t="s">
        <v>206</v>
      </c>
      <c r="B6" s="14" t="s">
        <v>51</v>
      </c>
      <c r="C6" s="14" t="s">
        <v>38</v>
      </c>
      <c r="D6" s="14" t="s">
        <v>717</v>
      </c>
      <c r="E6" s="14"/>
      <c r="F6" s="14" t="s">
        <v>53</v>
      </c>
      <c r="G6" s="17" t="s">
        <v>54</v>
      </c>
      <c r="H6" s="14" t="s">
        <v>55</v>
      </c>
      <c r="I6" s="14">
        <v>20</v>
      </c>
      <c r="J6" s="14">
        <v>10</v>
      </c>
      <c r="K6" s="14">
        <v>40</v>
      </c>
      <c r="L6" s="14"/>
      <c r="M6" s="14" t="s">
        <v>24</v>
      </c>
      <c r="N6" s="14"/>
      <c r="O6" s="14" t="s">
        <v>718</v>
      </c>
      <c r="P6" s="14" t="s">
        <v>31</v>
      </c>
      <c r="Q6" s="14" t="s">
        <v>719</v>
      </c>
    </row>
    <row r="7" spans="1:17" x14ac:dyDescent="0.2">
      <c r="A7" s="14" t="s">
        <v>206</v>
      </c>
      <c r="B7" s="14" t="s">
        <v>51</v>
      </c>
      <c r="C7" s="14" t="s">
        <v>38</v>
      </c>
      <c r="D7" s="14" t="s">
        <v>717</v>
      </c>
      <c r="E7" s="14"/>
      <c r="F7" s="14" t="s">
        <v>58</v>
      </c>
      <c r="G7" s="17" t="s">
        <v>59</v>
      </c>
      <c r="H7" s="14" t="s">
        <v>60</v>
      </c>
      <c r="I7" s="14">
        <v>0</v>
      </c>
      <c r="J7" s="14">
        <v>0</v>
      </c>
      <c r="K7" s="14">
        <v>0.02</v>
      </c>
      <c r="L7" s="14"/>
      <c r="M7" s="14" t="s">
        <v>24</v>
      </c>
      <c r="N7" s="14"/>
      <c r="O7" s="14" t="s">
        <v>720</v>
      </c>
      <c r="P7" s="14" t="s">
        <v>31</v>
      </c>
      <c r="Q7" s="14" t="s">
        <v>721</v>
      </c>
    </row>
    <row r="8" spans="1:17" x14ac:dyDescent="0.2">
      <c r="A8" s="14" t="s">
        <v>206</v>
      </c>
      <c r="B8" s="14" t="s">
        <v>51</v>
      </c>
      <c r="C8" s="14" t="s">
        <v>38</v>
      </c>
      <c r="D8" s="14" t="s">
        <v>717</v>
      </c>
      <c r="E8" s="14"/>
      <c r="F8" s="14" t="s">
        <v>63</v>
      </c>
      <c r="G8" s="17" t="s">
        <v>64</v>
      </c>
      <c r="H8" s="14" t="s">
        <v>65</v>
      </c>
      <c r="I8" s="14">
        <v>5.6</v>
      </c>
      <c r="J8" s="14">
        <v>3</v>
      </c>
      <c r="K8" s="14">
        <v>10</v>
      </c>
      <c r="L8" s="14"/>
      <c r="M8" s="14" t="s">
        <v>24</v>
      </c>
      <c r="N8" s="14"/>
      <c r="O8" s="14" t="s">
        <v>722</v>
      </c>
      <c r="P8" s="14" t="s">
        <v>31</v>
      </c>
      <c r="Q8" s="14" t="s">
        <v>675</v>
      </c>
    </row>
    <row r="9" spans="1:17" x14ac:dyDescent="0.2">
      <c r="A9" s="14" t="s">
        <v>206</v>
      </c>
      <c r="B9" s="14" t="s">
        <v>51</v>
      </c>
      <c r="C9" s="14" t="s">
        <v>38</v>
      </c>
      <c r="D9" s="14" t="s">
        <v>717</v>
      </c>
      <c r="E9" s="14"/>
      <c r="F9" s="14" t="s">
        <v>68</v>
      </c>
      <c r="G9" s="17" t="s">
        <v>69</v>
      </c>
      <c r="H9" s="14" t="s">
        <v>70</v>
      </c>
      <c r="I9" s="14">
        <v>20000</v>
      </c>
      <c r="J9" s="14">
        <v>10000</v>
      </c>
      <c r="K9" s="14">
        <v>40000</v>
      </c>
      <c r="L9" s="14"/>
      <c r="M9" s="14" t="s">
        <v>24</v>
      </c>
      <c r="N9" s="14"/>
      <c r="O9" s="14" t="s">
        <v>723</v>
      </c>
      <c r="P9" s="14" t="s">
        <v>31</v>
      </c>
      <c r="Q9" s="14" t="s">
        <v>724</v>
      </c>
    </row>
    <row r="10" spans="1:17" x14ac:dyDescent="0.2">
      <c r="A10" s="14" t="s">
        <v>206</v>
      </c>
      <c r="B10" s="14" t="s">
        <v>51</v>
      </c>
      <c r="C10" s="14" t="s">
        <v>38</v>
      </c>
      <c r="D10" s="14" t="s">
        <v>717</v>
      </c>
      <c r="E10" s="14"/>
      <c r="F10" s="14" t="s">
        <v>73</v>
      </c>
      <c r="G10" s="17" t="s">
        <v>74</v>
      </c>
      <c r="H10" s="14" t="s">
        <v>43</v>
      </c>
      <c r="I10" s="14">
        <v>95</v>
      </c>
      <c r="J10" s="14">
        <v>90</v>
      </c>
      <c r="K10" s="14">
        <v>100</v>
      </c>
      <c r="L10" s="14"/>
      <c r="M10" s="14" t="s">
        <v>24</v>
      </c>
      <c r="N10" s="14"/>
      <c r="O10" s="14" t="s">
        <v>725</v>
      </c>
      <c r="P10" s="14" t="s">
        <v>31</v>
      </c>
      <c r="Q10" s="14" t="s">
        <v>726</v>
      </c>
    </row>
    <row r="11" spans="1:17" x14ac:dyDescent="0.2">
      <c r="A11" s="14" t="s">
        <v>206</v>
      </c>
      <c r="B11" s="14" t="s">
        <v>51</v>
      </c>
      <c r="C11" s="14" t="s">
        <v>38</v>
      </c>
      <c r="D11" s="14" t="s">
        <v>717</v>
      </c>
      <c r="E11" s="14"/>
      <c r="F11" s="14" t="s">
        <v>77</v>
      </c>
      <c r="G11" s="17" t="s">
        <v>78</v>
      </c>
      <c r="H11" s="14" t="s">
        <v>23</v>
      </c>
      <c r="I11" s="14" t="s">
        <v>47</v>
      </c>
      <c r="J11" s="14"/>
      <c r="K11" s="14"/>
      <c r="L11" s="14"/>
      <c r="M11" s="14" t="s">
        <v>79</v>
      </c>
      <c r="N11" s="14" t="s">
        <v>80</v>
      </c>
      <c r="O11" s="14" t="s">
        <v>81</v>
      </c>
      <c r="P11" s="14" t="s">
        <v>31</v>
      </c>
      <c r="Q11" s="14" t="s">
        <v>680</v>
      </c>
    </row>
    <row r="12" spans="1:17" x14ac:dyDescent="0.2">
      <c r="A12" s="14" t="s">
        <v>206</v>
      </c>
      <c r="B12" s="14" t="s">
        <v>51</v>
      </c>
      <c r="C12" s="14" t="s">
        <v>38</v>
      </c>
      <c r="D12" s="14" t="s">
        <v>352</v>
      </c>
      <c r="E12" s="14"/>
      <c r="F12" s="14" t="s">
        <v>53</v>
      </c>
      <c r="G12" s="17" t="s">
        <v>54</v>
      </c>
      <c r="H12" s="14" t="s">
        <v>55</v>
      </c>
      <c r="I12" s="14">
        <v>1150</v>
      </c>
      <c r="J12" s="14">
        <v>1000</v>
      </c>
      <c r="K12" s="14">
        <v>1300</v>
      </c>
      <c r="L12" s="14"/>
      <c r="M12" s="14" t="s">
        <v>24</v>
      </c>
      <c r="N12" s="14"/>
      <c r="O12" s="14" t="s">
        <v>727</v>
      </c>
      <c r="P12" s="14" t="s">
        <v>31</v>
      </c>
      <c r="Q12" s="14" t="s">
        <v>728</v>
      </c>
    </row>
    <row r="13" spans="1:17" x14ac:dyDescent="0.2">
      <c r="A13" s="14" t="s">
        <v>206</v>
      </c>
      <c r="B13" s="14" t="s">
        <v>51</v>
      </c>
      <c r="C13" s="14" t="s">
        <v>38</v>
      </c>
      <c r="D13" s="14" t="s">
        <v>352</v>
      </c>
      <c r="E13" s="14"/>
      <c r="F13" s="14" t="s">
        <v>58</v>
      </c>
      <c r="G13" s="17" t="s">
        <v>59</v>
      </c>
      <c r="H13" s="14" t="s">
        <v>60</v>
      </c>
      <c r="I13" s="14">
        <v>0.85</v>
      </c>
      <c r="J13" s="14">
        <v>0.61</v>
      </c>
      <c r="K13" s="14">
        <v>0.85</v>
      </c>
      <c r="L13" s="14"/>
      <c r="M13" s="14" t="s">
        <v>24</v>
      </c>
      <c r="N13" s="14"/>
      <c r="O13" s="14" t="s">
        <v>729</v>
      </c>
      <c r="P13" s="14" t="s">
        <v>31</v>
      </c>
      <c r="Q13" s="14" t="s">
        <v>730</v>
      </c>
    </row>
    <row r="14" spans="1:17" x14ac:dyDescent="0.2">
      <c r="A14" s="14" t="s">
        <v>206</v>
      </c>
      <c r="B14" s="14" t="s">
        <v>51</v>
      </c>
      <c r="C14" s="14" t="s">
        <v>38</v>
      </c>
      <c r="D14" s="14" t="s">
        <v>352</v>
      </c>
      <c r="E14" s="14"/>
      <c r="F14" s="14" t="s">
        <v>63</v>
      </c>
      <c r="G14" s="17" t="s">
        <v>64</v>
      </c>
      <c r="H14" s="14" t="s">
        <v>65</v>
      </c>
      <c r="I14" s="14">
        <v>5.6</v>
      </c>
      <c r="J14" s="14">
        <v>3</v>
      </c>
      <c r="K14" s="14">
        <v>10</v>
      </c>
      <c r="L14" s="14"/>
      <c r="M14" s="14" t="s">
        <v>24</v>
      </c>
      <c r="N14" s="14"/>
      <c r="O14" s="14" t="s">
        <v>731</v>
      </c>
      <c r="P14" s="14" t="s">
        <v>31</v>
      </c>
      <c r="Q14" s="14" t="s">
        <v>732</v>
      </c>
    </row>
    <row r="15" spans="1:17" x14ac:dyDescent="0.2">
      <c r="A15" s="14" t="s">
        <v>206</v>
      </c>
      <c r="B15" s="14" t="s">
        <v>51</v>
      </c>
      <c r="C15" s="14" t="s">
        <v>38</v>
      </c>
      <c r="D15" s="14" t="s">
        <v>352</v>
      </c>
      <c r="E15" s="14"/>
      <c r="F15" s="14" t="s">
        <v>68</v>
      </c>
      <c r="G15" s="17" t="s">
        <v>69</v>
      </c>
      <c r="H15" s="14" t="s">
        <v>70</v>
      </c>
      <c r="I15" s="14">
        <v>36000</v>
      </c>
      <c r="J15" s="14">
        <v>30000</v>
      </c>
      <c r="K15" s="14">
        <v>45000</v>
      </c>
      <c r="L15" s="14"/>
      <c r="M15" s="14" t="s">
        <v>24</v>
      </c>
      <c r="N15" s="14"/>
      <c r="O15" s="14" t="s">
        <v>733</v>
      </c>
      <c r="P15" s="14" t="s">
        <v>31</v>
      </c>
      <c r="Q15" s="14" t="s">
        <v>734</v>
      </c>
    </row>
    <row r="16" spans="1:17" x14ac:dyDescent="0.2">
      <c r="A16" s="14" t="s">
        <v>206</v>
      </c>
      <c r="B16" s="14" t="s">
        <v>51</v>
      </c>
      <c r="C16" s="14" t="s">
        <v>38</v>
      </c>
      <c r="D16" s="14" t="s">
        <v>352</v>
      </c>
      <c r="E16" s="14"/>
      <c r="F16" s="14" t="s">
        <v>73</v>
      </c>
      <c r="G16" s="17" t="s">
        <v>74</v>
      </c>
      <c r="H16" s="14" t="s">
        <v>43</v>
      </c>
      <c r="I16" s="14">
        <v>95</v>
      </c>
      <c r="J16" s="14">
        <v>90</v>
      </c>
      <c r="K16" s="14">
        <v>100</v>
      </c>
      <c r="L16" s="14"/>
      <c r="M16" s="14" t="s">
        <v>24</v>
      </c>
      <c r="N16" s="14"/>
      <c r="O16" s="14" t="s">
        <v>735</v>
      </c>
      <c r="P16" s="14" t="s">
        <v>31</v>
      </c>
      <c r="Q16" s="14" t="s">
        <v>736</v>
      </c>
    </row>
    <row r="17" spans="1:17" x14ac:dyDescent="0.2">
      <c r="A17" s="14" t="s">
        <v>206</v>
      </c>
      <c r="B17" s="14" t="s">
        <v>51</v>
      </c>
      <c r="C17" s="14" t="s">
        <v>38</v>
      </c>
      <c r="D17" s="14" t="s">
        <v>352</v>
      </c>
      <c r="E17" s="14"/>
      <c r="F17" s="14" t="s">
        <v>77</v>
      </c>
      <c r="G17" s="17" t="s">
        <v>78</v>
      </c>
      <c r="H17" s="14" t="s">
        <v>23</v>
      </c>
      <c r="I17" s="14" t="s">
        <v>47</v>
      </c>
      <c r="J17" s="14"/>
      <c r="K17" s="14"/>
      <c r="L17" s="14"/>
      <c r="M17" s="14" t="s">
        <v>79</v>
      </c>
      <c r="N17" s="14" t="s">
        <v>80</v>
      </c>
      <c r="O17" s="14" t="s">
        <v>81</v>
      </c>
      <c r="P17" s="14" t="s">
        <v>31</v>
      </c>
      <c r="Q17" s="14" t="s">
        <v>680</v>
      </c>
    </row>
    <row r="18" spans="1:17" x14ac:dyDescent="0.2">
      <c r="A18" s="14" t="s">
        <v>206</v>
      </c>
      <c r="B18" s="14" t="s">
        <v>51</v>
      </c>
      <c r="C18" s="14" t="s">
        <v>38</v>
      </c>
      <c r="D18" s="14" t="s">
        <v>355</v>
      </c>
      <c r="E18" s="14"/>
      <c r="F18" s="14" t="s">
        <v>53</v>
      </c>
      <c r="G18" s="17" t="s">
        <v>54</v>
      </c>
      <c r="H18" s="14" t="s">
        <v>55</v>
      </c>
      <c r="I18" s="14">
        <v>3000</v>
      </c>
      <c r="J18" s="14">
        <v>2000</v>
      </c>
      <c r="K18" s="14">
        <v>4000</v>
      </c>
      <c r="L18" s="14"/>
      <c r="M18" s="14" t="s">
        <v>24</v>
      </c>
      <c r="N18" s="14"/>
      <c r="O18" s="14" t="s">
        <v>737</v>
      </c>
      <c r="P18" s="14" t="s">
        <v>31</v>
      </c>
      <c r="Q18" s="14" t="s">
        <v>738</v>
      </c>
    </row>
    <row r="19" spans="1:17" x14ac:dyDescent="0.2">
      <c r="A19" s="14" t="s">
        <v>206</v>
      </c>
      <c r="B19" s="14" t="s">
        <v>51</v>
      </c>
      <c r="C19" s="14" t="s">
        <v>38</v>
      </c>
      <c r="D19" s="14" t="s">
        <v>355</v>
      </c>
      <c r="E19" s="14"/>
      <c r="F19" s="14" t="s">
        <v>58</v>
      </c>
      <c r="G19" s="17" t="s">
        <v>59</v>
      </c>
      <c r="H19" s="14" t="s">
        <v>60</v>
      </c>
      <c r="I19" s="14">
        <v>0.92</v>
      </c>
      <c r="J19" s="14">
        <v>0.6</v>
      </c>
      <c r="K19" s="14">
        <v>1.2</v>
      </c>
      <c r="L19" s="14"/>
      <c r="M19" s="14" t="s">
        <v>24</v>
      </c>
      <c r="N19" s="14"/>
      <c r="O19" s="14" t="s">
        <v>739</v>
      </c>
      <c r="P19" s="14" t="s">
        <v>31</v>
      </c>
      <c r="Q19" s="14" t="s">
        <v>740</v>
      </c>
    </row>
    <row r="20" spans="1:17" x14ac:dyDescent="0.2">
      <c r="A20" s="14" t="s">
        <v>206</v>
      </c>
      <c r="B20" s="14" t="s">
        <v>51</v>
      </c>
      <c r="C20" s="14" t="s">
        <v>38</v>
      </c>
      <c r="D20" s="14" t="s">
        <v>355</v>
      </c>
      <c r="E20" s="14"/>
      <c r="F20" s="14" t="s">
        <v>63</v>
      </c>
      <c r="G20" s="17" t="s">
        <v>64</v>
      </c>
      <c r="H20" s="14" t="s">
        <v>65</v>
      </c>
      <c r="I20" s="14">
        <v>2.2000000000000002</v>
      </c>
      <c r="J20" s="14">
        <v>1</v>
      </c>
      <c r="K20" s="14">
        <v>4</v>
      </c>
      <c r="L20" s="14"/>
      <c r="M20" s="14" t="s">
        <v>24</v>
      </c>
      <c r="N20" s="14"/>
      <c r="O20" s="14" t="s">
        <v>741</v>
      </c>
      <c r="P20" s="14" t="s">
        <v>31</v>
      </c>
      <c r="Q20" s="14" t="s">
        <v>742</v>
      </c>
    </row>
    <row r="21" spans="1:17" x14ac:dyDescent="0.2">
      <c r="A21" s="14" t="s">
        <v>206</v>
      </c>
      <c r="B21" s="14" t="s">
        <v>51</v>
      </c>
      <c r="C21" s="14" t="s">
        <v>38</v>
      </c>
      <c r="D21" s="14" t="s">
        <v>355</v>
      </c>
      <c r="E21" s="14"/>
      <c r="F21" s="14" t="s">
        <v>68</v>
      </c>
      <c r="G21" s="17" t="s">
        <v>69</v>
      </c>
      <c r="H21" s="14" t="s">
        <v>70</v>
      </c>
      <c r="I21" s="14">
        <v>30000</v>
      </c>
      <c r="J21" s="14">
        <v>20000</v>
      </c>
      <c r="K21" s="14">
        <v>50000</v>
      </c>
      <c r="L21" s="14"/>
      <c r="M21" s="14" t="s">
        <v>24</v>
      </c>
      <c r="N21" s="14"/>
      <c r="O21" s="14" t="s">
        <v>743</v>
      </c>
      <c r="P21" s="14" t="s">
        <v>31</v>
      </c>
      <c r="Q21" s="14" t="s">
        <v>738</v>
      </c>
    </row>
    <row r="22" spans="1:17" x14ac:dyDescent="0.2">
      <c r="A22" s="14" t="s">
        <v>206</v>
      </c>
      <c r="B22" s="14" t="s">
        <v>51</v>
      </c>
      <c r="C22" s="14" t="s">
        <v>38</v>
      </c>
      <c r="D22" s="14" t="s">
        <v>355</v>
      </c>
      <c r="E22" s="14"/>
      <c r="F22" s="14" t="s">
        <v>73</v>
      </c>
      <c r="G22" s="17" t="s">
        <v>74</v>
      </c>
      <c r="H22" s="14" t="s">
        <v>43</v>
      </c>
      <c r="I22" s="14">
        <v>100</v>
      </c>
      <c r="J22" s="14">
        <v>98</v>
      </c>
      <c r="K22" s="14">
        <v>100</v>
      </c>
      <c r="L22" s="14"/>
      <c r="M22" s="14" t="s">
        <v>24</v>
      </c>
      <c r="N22" s="14"/>
      <c r="O22" s="14" t="s">
        <v>744</v>
      </c>
      <c r="P22" s="14" t="s">
        <v>31</v>
      </c>
      <c r="Q22" s="14" t="s">
        <v>734</v>
      </c>
    </row>
    <row r="23" spans="1:17" x14ac:dyDescent="0.2">
      <c r="A23" s="14" t="s">
        <v>206</v>
      </c>
      <c r="B23" s="14" t="s">
        <v>51</v>
      </c>
      <c r="C23" s="14" t="s">
        <v>38</v>
      </c>
      <c r="D23" s="14" t="s">
        <v>355</v>
      </c>
      <c r="E23" s="14"/>
      <c r="F23" s="14" t="s">
        <v>77</v>
      </c>
      <c r="G23" s="17" t="s">
        <v>78</v>
      </c>
      <c r="H23" s="14" t="s">
        <v>23</v>
      </c>
      <c r="I23" s="14" t="s">
        <v>47</v>
      </c>
      <c r="J23" s="14"/>
      <c r="K23" s="14"/>
      <c r="L23" s="14"/>
      <c r="M23" s="14" t="s">
        <v>79</v>
      </c>
      <c r="N23" s="14" t="s">
        <v>80</v>
      </c>
      <c r="O23" s="14" t="s">
        <v>81</v>
      </c>
      <c r="P23" s="14" t="s">
        <v>31</v>
      </c>
      <c r="Q23" s="14" t="s">
        <v>680</v>
      </c>
    </row>
    <row r="24" spans="1:17" x14ac:dyDescent="0.2">
      <c r="A24" s="14" t="s">
        <v>206</v>
      </c>
      <c r="B24" s="14" t="s">
        <v>109</v>
      </c>
      <c r="C24" s="14" t="s">
        <v>110</v>
      </c>
      <c r="D24" s="14" t="s">
        <v>20</v>
      </c>
      <c r="E24" s="14"/>
      <c r="F24" s="14" t="s">
        <v>111</v>
      </c>
      <c r="G24" s="17" t="s">
        <v>112</v>
      </c>
      <c r="H24" s="14" t="s">
        <v>113</v>
      </c>
      <c r="I24" s="14">
        <v>50</v>
      </c>
      <c r="J24" s="14">
        <v>40</v>
      </c>
      <c r="K24" s="14">
        <v>75</v>
      </c>
      <c r="L24" s="14"/>
      <c r="M24" s="14" t="s">
        <v>24</v>
      </c>
      <c r="N24" s="14"/>
      <c r="O24" s="14" t="s">
        <v>745</v>
      </c>
      <c r="P24" s="14" t="s">
        <v>31</v>
      </c>
      <c r="Q24" s="14" t="s">
        <v>746</v>
      </c>
    </row>
    <row r="25" spans="1:17" x14ac:dyDescent="0.2">
      <c r="A25" s="14" t="s">
        <v>206</v>
      </c>
      <c r="B25" s="14" t="s">
        <v>109</v>
      </c>
      <c r="C25" s="14" t="s">
        <v>116</v>
      </c>
      <c r="D25" s="14" t="s">
        <v>117</v>
      </c>
      <c r="E25" s="14" t="s">
        <v>118</v>
      </c>
      <c r="F25" s="14" t="s">
        <v>119</v>
      </c>
      <c r="G25" s="17" t="s">
        <v>120</v>
      </c>
      <c r="H25" s="14" t="s">
        <v>43</v>
      </c>
      <c r="I25" s="14">
        <v>0</v>
      </c>
      <c r="J25" s="14">
        <v>0</v>
      </c>
      <c r="K25" s="14">
        <v>0</v>
      </c>
      <c r="L25" s="14"/>
      <c r="M25" s="14" t="s">
        <v>44</v>
      </c>
      <c r="N25" s="14"/>
      <c r="O25" s="14" t="s">
        <v>747</v>
      </c>
      <c r="P25" s="14" t="s">
        <v>31</v>
      </c>
      <c r="Q25" s="14" t="s">
        <v>748</v>
      </c>
    </row>
    <row r="26" spans="1:17" x14ac:dyDescent="0.2">
      <c r="A26" s="14" t="s">
        <v>206</v>
      </c>
      <c r="B26" s="14" t="s">
        <v>109</v>
      </c>
      <c r="C26" s="14" t="s">
        <v>116</v>
      </c>
      <c r="D26" s="14" t="s">
        <v>117</v>
      </c>
      <c r="E26" s="14" t="s">
        <v>123</v>
      </c>
      <c r="F26" s="14" t="s">
        <v>119</v>
      </c>
      <c r="G26" s="17" t="s">
        <v>521</v>
      </c>
      <c r="H26" s="14" t="s">
        <v>43</v>
      </c>
      <c r="I26" s="14">
        <v>20</v>
      </c>
      <c r="J26" s="14">
        <v>10</v>
      </c>
      <c r="K26" s="14">
        <v>35</v>
      </c>
      <c r="L26" s="14"/>
      <c r="M26" s="14" t="s">
        <v>24</v>
      </c>
      <c r="N26" s="14"/>
      <c r="O26" s="14" t="s">
        <v>747</v>
      </c>
      <c r="P26" s="14" t="s">
        <v>31</v>
      </c>
      <c r="Q26" s="14" t="s">
        <v>749</v>
      </c>
    </row>
    <row r="27" spans="1:17" x14ac:dyDescent="0.2">
      <c r="A27" s="14" t="s">
        <v>206</v>
      </c>
      <c r="B27" s="14" t="s">
        <v>109</v>
      </c>
      <c r="C27" s="14" t="s">
        <v>116</v>
      </c>
      <c r="D27" s="14" t="s">
        <v>117</v>
      </c>
      <c r="E27" s="14" t="s">
        <v>126</v>
      </c>
      <c r="F27" s="14" t="s">
        <v>119</v>
      </c>
      <c r="G27" s="17" t="s">
        <v>523</v>
      </c>
      <c r="H27" s="14" t="s">
        <v>43</v>
      </c>
      <c r="I27" s="14">
        <v>0</v>
      </c>
      <c r="J27" s="14">
        <v>0</v>
      </c>
      <c r="K27" s="14">
        <v>0</v>
      </c>
      <c r="L27" s="14"/>
      <c r="M27" s="14" t="s">
        <v>44</v>
      </c>
      <c r="N27" s="14"/>
      <c r="O27" s="14" t="s">
        <v>747</v>
      </c>
      <c r="P27" s="14" t="s">
        <v>31</v>
      </c>
      <c r="Q27" s="14" t="s">
        <v>750</v>
      </c>
    </row>
    <row r="28" spans="1:17" x14ac:dyDescent="0.2">
      <c r="A28" s="14" t="s">
        <v>206</v>
      </c>
      <c r="B28" s="14" t="s">
        <v>109</v>
      </c>
      <c r="C28" s="14" t="s">
        <v>116</v>
      </c>
      <c r="D28" s="14" t="s">
        <v>117</v>
      </c>
      <c r="E28" s="14" t="s">
        <v>129</v>
      </c>
      <c r="F28" s="14" t="s">
        <v>119</v>
      </c>
      <c r="G28" s="17" t="s">
        <v>525</v>
      </c>
      <c r="H28" s="14" t="s">
        <v>43</v>
      </c>
      <c r="I28" s="14">
        <v>30</v>
      </c>
      <c r="J28" s="14">
        <v>15</v>
      </c>
      <c r="K28" s="14">
        <v>45</v>
      </c>
      <c r="L28" s="14"/>
      <c r="M28" s="14" t="s">
        <v>24</v>
      </c>
      <c r="N28" s="14"/>
      <c r="O28" s="14" t="s">
        <v>747</v>
      </c>
      <c r="P28" s="14" t="s">
        <v>31</v>
      </c>
      <c r="Q28" s="14" t="s">
        <v>751</v>
      </c>
    </row>
    <row r="29" spans="1:17" x14ac:dyDescent="0.2">
      <c r="A29" s="14" t="s">
        <v>206</v>
      </c>
      <c r="B29" s="14" t="s">
        <v>109</v>
      </c>
      <c r="C29" s="14" t="s">
        <v>116</v>
      </c>
      <c r="D29" s="14" t="s">
        <v>117</v>
      </c>
      <c r="E29" s="14" t="s">
        <v>132</v>
      </c>
      <c r="F29" s="14" t="s">
        <v>119</v>
      </c>
      <c r="G29" s="17" t="s">
        <v>133</v>
      </c>
      <c r="H29" s="14" t="s">
        <v>43</v>
      </c>
      <c r="I29" s="14">
        <v>50</v>
      </c>
      <c r="J29" s="14">
        <v>30</v>
      </c>
      <c r="K29" s="14">
        <v>70</v>
      </c>
      <c r="L29" s="14"/>
      <c r="M29" s="14" t="s">
        <v>24</v>
      </c>
      <c r="N29" s="14"/>
      <c r="O29" s="14" t="s">
        <v>747</v>
      </c>
      <c r="P29" s="14" t="s">
        <v>31</v>
      </c>
      <c r="Q29" s="14" t="s">
        <v>752</v>
      </c>
    </row>
    <row r="30" spans="1:17" x14ac:dyDescent="0.2">
      <c r="A30" s="14" t="s">
        <v>206</v>
      </c>
      <c r="B30" s="14" t="s">
        <v>135</v>
      </c>
      <c r="C30" s="14" t="s">
        <v>136</v>
      </c>
      <c r="D30" s="14" t="s">
        <v>20</v>
      </c>
      <c r="E30" s="14"/>
      <c r="F30" s="14" t="s">
        <v>135</v>
      </c>
      <c r="G30" s="17" t="s">
        <v>137</v>
      </c>
      <c r="H30" s="14" t="s">
        <v>138</v>
      </c>
      <c r="I30" s="14" t="s">
        <v>139</v>
      </c>
      <c r="J30" s="14"/>
      <c r="K30" s="14"/>
      <c r="L30" s="14"/>
      <c r="M30" s="14" t="s">
        <v>79</v>
      </c>
      <c r="N30" s="14"/>
      <c r="O30" s="14" t="s">
        <v>706</v>
      </c>
      <c r="P30" s="14" t="s">
        <v>31</v>
      </c>
      <c r="Q30" s="14" t="s">
        <v>707</v>
      </c>
    </row>
  </sheetData>
  <conditionalFormatting sqref="I2:I245">
    <cfRule type="expression" dxfId="36" priority="3">
      <formula>AND($F2&lt;&gt;"",$I2="")</formula>
    </cfRule>
  </conditionalFormatting>
  <conditionalFormatting sqref="I2:P245">
    <cfRule type="expression" dxfId="35" priority="1">
      <formula>$P2="placeholder"</formula>
    </cfRule>
  </conditionalFormatting>
  <conditionalFormatting sqref="J2:K245">
    <cfRule type="expression" dxfId="34" priority="2">
      <formula>AND(OR($M2="triangular",$M2="uniform"),OR($J2="",$K2=""))</formula>
    </cfRule>
  </conditionalFormatting>
  <dataValidations count="4">
    <dataValidation type="list" allowBlank="1" sqref="B2:B245" xr:uid="{00000000-0002-0000-0C00-000000000000}">
      <formula1>"design,manufacturing,circularity,location"</formula1>
    </dataValidation>
    <dataValidation type="list" allowBlank="1" sqref="C2:C245" xr:uid="{00000000-0002-0000-0C00-000001000000}">
      <formula1>"product size,production,repair,use,end-of-life,general"</formula1>
    </dataValidation>
    <dataValidation type="list" allowBlank="1" sqref="M2:M245" xr:uid="{00000000-0002-0000-0C00-000002000000}">
      <formula1>"fixed,triangular,uniform,choice,combination"</formula1>
    </dataValidation>
    <dataValidation type="list" allowBlank="1" sqref="P2:P245" xr:uid="{00000000-0002-0000-0C00-000003000000}">
      <formula1>"placeholder,partner estimate,measured,literature"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5A6BD"/>
  </sheetPr>
  <dimension ref="A1:P10"/>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3" t="s">
        <v>0</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row>
    <row r="2" spans="1:16" x14ac:dyDescent="0.2">
      <c r="A2" s="14" t="s">
        <v>201</v>
      </c>
      <c r="B2" s="14" t="s">
        <v>19</v>
      </c>
      <c r="C2" s="14" t="s">
        <v>20</v>
      </c>
      <c r="D2" s="14"/>
      <c r="E2" s="14" t="s">
        <v>21</v>
      </c>
      <c r="F2" s="14" t="s">
        <v>753</v>
      </c>
      <c r="G2" s="14" t="s">
        <v>23</v>
      </c>
      <c r="H2" s="14">
        <v>20</v>
      </c>
      <c r="I2" s="14">
        <v>16</v>
      </c>
      <c r="J2" s="14">
        <v>24</v>
      </c>
      <c r="K2" s="14"/>
      <c r="L2" s="14" t="s">
        <v>24</v>
      </c>
      <c r="M2" s="14"/>
      <c r="N2" s="14" t="s">
        <v>754</v>
      </c>
      <c r="O2" s="14" t="s">
        <v>26</v>
      </c>
      <c r="P2" s="14" t="s">
        <v>755</v>
      </c>
    </row>
    <row r="3" spans="1:16" x14ac:dyDescent="0.2">
      <c r="A3" s="14" t="s">
        <v>201</v>
      </c>
      <c r="B3" s="14" t="s">
        <v>19</v>
      </c>
      <c r="C3" s="14" t="s">
        <v>20</v>
      </c>
      <c r="D3" s="14"/>
      <c r="E3" s="14" t="s">
        <v>28</v>
      </c>
      <c r="F3" s="14" t="s">
        <v>756</v>
      </c>
      <c r="G3" s="14" t="s">
        <v>23</v>
      </c>
      <c r="H3" s="14">
        <v>3.5</v>
      </c>
      <c r="I3" s="14">
        <v>3</v>
      </c>
      <c r="J3" s="14">
        <v>4</v>
      </c>
      <c r="K3" s="14"/>
      <c r="L3" s="14" t="s">
        <v>24</v>
      </c>
      <c r="M3" s="14"/>
      <c r="N3" s="14" t="s">
        <v>757</v>
      </c>
      <c r="O3" s="14" t="s">
        <v>26</v>
      </c>
      <c r="P3" s="14" t="s">
        <v>758</v>
      </c>
    </row>
    <row r="4" spans="1:16" x14ac:dyDescent="0.2">
      <c r="A4" s="14" t="s">
        <v>201</v>
      </c>
      <c r="B4" s="14" t="s">
        <v>19</v>
      </c>
      <c r="C4" s="14" t="s">
        <v>20</v>
      </c>
      <c r="D4" s="14"/>
      <c r="E4" s="14" t="s">
        <v>33</v>
      </c>
      <c r="F4" s="14" t="s">
        <v>759</v>
      </c>
      <c r="G4" s="14" t="s">
        <v>35</v>
      </c>
      <c r="H4" s="14">
        <v>439</v>
      </c>
      <c r="I4" s="14">
        <v>439</v>
      </c>
      <c r="J4" s="14">
        <v>439</v>
      </c>
      <c r="K4" s="14"/>
      <c r="L4" s="14" t="s">
        <v>44</v>
      </c>
      <c r="M4" s="14"/>
      <c r="N4" s="14" t="s">
        <v>760</v>
      </c>
      <c r="O4" s="14" t="s">
        <v>31</v>
      </c>
      <c r="P4" s="14" t="s">
        <v>761</v>
      </c>
    </row>
    <row r="5" spans="1:16" x14ac:dyDescent="0.2">
      <c r="A5" s="14" t="s">
        <v>201</v>
      </c>
      <c r="B5" s="14" t="s">
        <v>38</v>
      </c>
      <c r="C5" s="14" t="s">
        <v>762</v>
      </c>
      <c r="D5" s="14"/>
      <c r="E5" s="14" t="s">
        <v>763</v>
      </c>
      <c r="F5" s="14" t="s">
        <v>764</v>
      </c>
      <c r="G5" s="14" t="s">
        <v>765</v>
      </c>
      <c r="H5" s="14">
        <v>2.2779043280182231E-3</v>
      </c>
      <c r="I5" s="14">
        <v>2.2779043280182231E-3</v>
      </c>
      <c r="J5" s="14">
        <v>2.2779043280182231E-3</v>
      </c>
      <c r="K5" s="14"/>
      <c r="L5" s="14" t="s">
        <v>44</v>
      </c>
      <c r="M5" s="14"/>
      <c r="N5" s="14" t="s">
        <v>766</v>
      </c>
      <c r="O5" s="14" t="s">
        <v>31</v>
      </c>
      <c r="P5" s="14" t="s">
        <v>767</v>
      </c>
    </row>
    <row r="6" spans="1:16" x14ac:dyDescent="0.2">
      <c r="A6" s="14" t="s">
        <v>201</v>
      </c>
      <c r="B6" s="14" t="s">
        <v>110</v>
      </c>
      <c r="C6" s="14" t="s">
        <v>20</v>
      </c>
      <c r="D6" s="14"/>
      <c r="E6" s="14" t="s">
        <v>768</v>
      </c>
      <c r="F6" s="14" t="s">
        <v>769</v>
      </c>
      <c r="G6" s="14" t="s">
        <v>113</v>
      </c>
      <c r="H6" s="14">
        <v>75</v>
      </c>
      <c r="I6" s="14">
        <v>50</v>
      </c>
      <c r="J6" s="14">
        <v>100</v>
      </c>
      <c r="K6" s="14"/>
      <c r="L6" s="14" t="s">
        <v>24</v>
      </c>
      <c r="M6" s="14"/>
      <c r="N6" s="14" t="s">
        <v>770</v>
      </c>
      <c r="O6" s="14" t="s">
        <v>31</v>
      </c>
      <c r="P6" s="14" t="s">
        <v>771</v>
      </c>
    </row>
    <row r="7" spans="1:16" x14ac:dyDescent="0.2">
      <c r="A7" s="14" t="s">
        <v>201</v>
      </c>
      <c r="B7" s="14" t="s">
        <v>116</v>
      </c>
      <c r="C7" s="14" t="s">
        <v>772</v>
      </c>
      <c r="D7" s="14" t="s">
        <v>762</v>
      </c>
      <c r="E7" s="14" t="s">
        <v>763</v>
      </c>
      <c r="F7" s="14" t="s">
        <v>773</v>
      </c>
      <c r="G7" s="14" t="s">
        <v>774</v>
      </c>
      <c r="H7" s="14">
        <v>0.6</v>
      </c>
      <c r="I7" s="14">
        <v>0.48</v>
      </c>
      <c r="J7" s="14">
        <v>0.72</v>
      </c>
      <c r="K7" s="14"/>
      <c r="L7" s="14" t="s">
        <v>24</v>
      </c>
      <c r="M7" s="14"/>
      <c r="N7" s="14" t="s">
        <v>775</v>
      </c>
      <c r="O7" s="14" t="s">
        <v>31</v>
      </c>
      <c r="P7" s="14" t="s">
        <v>776</v>
      </c>
    </row>
    <row r="8" spans="1:16" x14ac:dyDescent="0.2">
      <c r="A8" s="14" t="s">
        <v>201</v>
      </c>
      <c r="B8" s="14" t="s">
        <v>116</v>
      </c>
      <c r="C8" s="14" t="s">
        <v>777</v>
      </c>
      <c r="D8" s="14" t="s">
        <v>762</v>
      </c>
      <c r="E8" s="14" t="s">
        <v>763</v>
      </c>
      <c r="F8" s="14" t="s">
        <v>778</v>
      </c>
      <c r="G8" s="14" t="s">
        <v>774</v>
      </c>
      <c r="H8" s="14">
        <v>0.3</v>
      </c>
      <c r="I8" s="14">
        <v>0.24</v>
      </c>
      <c r="J8" s="14">
        <v>0.36</v>
      </c>
      <c r="K8" s="14"/>
      <c r="L8" s="14" t="s">
        <v>24</v>
      </c>
      <c r="M8" s="14"/>
      <c r="N8" s="14" t="s">
        <v>775</v>
      </c>
      <c r="O8" s="14" t="s">
        <v>31</v>
      </c>
      <c r="P8" s="14" t="s">
        <v>779</v>
      </c>
    </row>
    <row r="9" spans="1:16" x14ac:dyDescent="0.2">
      <c r="A9" s="14" t="s">
        <v>201</v>
      </c>
      <c r="B9" s="14" t="s">
        <v>116</v>
      </c>
      <c r="C9" s="14" t="s">
        <v>780</v>
      </c>
      <c r="D9" s="14" t="s">
        <v>762</v>
      </c>
      <c r="E9" s="14" t="s">
        <v>763</v>
      </c>
      <c r="F9" s="14" t="s">
        <v>781</v>
      </c>
      <c r="G9" s="14" t="s">
        <v>774</v>
      </c>
      <c r="H9" s="14">
        <v>0.1</v>
      </c>
      <c r="I9" s="14">
        <v>0.08</v>
      </c>
      <c r="J9" s="14">
        <v>0.12</v>
      </c>
      <c r="K9" s="14"/>
      <c r="L9" s="14" t="s">
        <v>24</v>
      </c>
      <c r="M9" s="14"/>
      <c r="N9" s="14" t="s">
        <v>775</v>
      </c>
      <c r="O9" s="14" t="s">
        <v>31</v>
      </c>
      <c r="P9" s="14" t="s">
        <v>782</v>
      </c>
    </row>
    <row r="10" spans="1:16" x14ac:dyDescent="0.2">
      <c r="A10" s="14" t="s">
        <v>201</v>
      </c>
      <c r="B10" s="14" t="s">
        <v>136</v>
      </c>
      <c r="C10" s="14" t="s">
        <v>20</v>
      </c>
      <c r="D10" s="14"/>
      <c r="E10" s="14" t="s">
        <v>135</v>
      </c>
      <c r="F10" s="14" t="s">
        <v>783</v>
      </c>
      <c r="G10" s="14" t="s">
        <v>138</v>
      </c>
      <c r="H10" s="14" t="s">
        <v>139</v>
      </c>
      <c r="I10" s="14"/>
      <c r="J10" s="14"/>
      <c r="K10" s="14"/>
      <c r="L10" s="14" t="s">
        <v>79</v>
      </c>
      <c r="M10" s="14"/>
      <c r="N10" s="14" t="s">
        <v>784</v>
      </c>
      <c r="O10" s="14" t="s">
        <v>31</v>
      </c>
      <c r="P10" s="14" t="s">
        <v>785</v>
      </c>
    </row>
  </sheetData>
  <conditionalFormatting sqref="H2:H247">
    <cfRule type="expression" dxfId="33" priority="1">
      <formula>AND($E2&lt;&gt;"",$H2="")</formula>
    </cfRule>
  </conditionalFormatting>
  <conditionalFormatting sqref="H2:O247">
    <cfRule type="expression" dxfId="32" priority="2">
      <formula>$O2="placeholder"</formula>
    </cfRule>
  </conditionalFormatting>
  <conditionalFormatting sqref="I2:J247">
    <cfRule type="expression" dxfId="31" priority="3">
      <formula>AND(OR($L2="triangular",$L2="uniform"),OR($I2="",$J2=""))</formula>
    </cfRule>
  </conditionalFormatting>
  <dataValidations count="3">
    <dataValidation type="list" allowBlank="1" sqref="B2:B247" xr:uid="{00000000-0002-0000-0D00-000000000000}">
      <formula1>"product size,production,repair,use,end-of-life,general"</formula1>
    </dataValidation>
    <dataValidation type="list" allowBlank="1" sqref="L2:L247" xr:uid="{00000000-0002-0000-0D00-000001000000}">
      <formula1>"fixed,triangular,uniform,choice,combination"</formula1>
    </dataValidation>
    <dataValidation type="list" allowBlank="1" sqref="O2:O247" xr:uid="{00000000-0002-0000-0D00-000002000000}">
      <formula1>"placeholder,partner estimate,measured,literature"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5A6BD"/>
  </sheetPr>
  <dimension ref="A1:P11"/>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3" t="s">
        <v>0</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row>
    <row r="2" spans="1:16" x14ac:dyDescent="0.2">
      <c r="A2" s="14" t="s">
        <v>202</v>
      </c>
      <c r="B2" s="14" t="s">
        <v>19</v>
      </c>
      <c r="C2" s="14" t="s">
        <v>20</v>
      </c>
      <c r="D2" s="14"/>
      <c r="E2" s="14" t="s">
        <v>21</v>
      </c>
      <c r="F2" s="14" t="s">
        <v>753</v>
      </c>
      <c r="G2" s="14" t="s">
        <v>23</v>
      </c>
      <c r="H2" s="14">
        <v>12</v>
      </c>
      <c r="I2" s="14">
        <v>9.6</v>
      </c>
      <c r="J2" s="14">
        <v>20</v>
      </c>
      <c r="K2" s="14"/>
      <c r="L2" s="14" t="s">
        <v>24</v>
      </c>
      <c r="M2" s="14"/>
      <c r="N2" s="14" t="s">
        <v>786</v>
      </c>
      <c r="O2" s="14" t="s">
        <v>26</v>
      </c>
      <c r="P2" s="14" t="s">
        <v>787</v>
      </c>
    </row>
    <row r="3" spans="1:16" x14ac:dyDescent="0.2">
      <c r="A3" s="14" t="s">
        <v>202</v>
      </c>
      <c r="B3" s="14" t="s">
        <v>19</v>
      </c>
      <c r="C3" s="14" t="s">
        <v>20</v>
      </c>
      <c r="D3" s="14"/>
      <c r="E3" s="14" t="s">
        <v>788</v>
      </c>
      <c r="F3" s="14" t="s">
        <v>789</v>
      </c>
      <c r="G3" s="14" t="s">
        <v>23</v>
      </c>
      <c r="H3" s="14">
        <v>0.5</v>
      </c>
      <c r="I3" s="14">
        <v>0.4</v>
      </c>
      <c r="J3" s="14">
        <v>0.6</v>
      </c>
      <c r="K3" s="14"/>
      <c r="L3" s="14" t="s">
        <v>24</v>
      </c>
      <c r="M3" s="14"/>
      <c r="N3" s="14" t="s">
        <v>790</v>
      </c>
      <c r="O3" s="14" t="s">
        <v>31</v>
      </c>
      <c r="P3" s="14" t="s">
        <v>791</v>
      </c>
    </row>
    <row r="4" spans="1:16" x14ac:dyDescent="0.2">
      <c r="A4" s="14" t="s">
        <v>202</v>
      </c>
      <c r="B4" s="14" t="s">
        <v>19</v>
      </c>
      <c r="C4" s="14" t="s">
        <v>20</v>
      </c>
      <c r="D4" s="14"/>
      <c r="E4" s="14" t="s">
        <v>792</v>
      </c>
      <c r="F4" s="14" t="s">
        <v>793</v>
      </c>
      <c r="G4" s="14" t="s">
        <v>35</v>
      </c>
      <c r="H4" s="14">
        <v>2500</v>
      </c>
      <c r="I4" s="14">
        <v>2300</v>
      </c>
      <c r="J4" s="14">
        <v>2600</v>
      </c>
      <c r="K4" s="14"/>
      <c r="L4" s="14" t="s">
        <v>24</v>
      </c>
      <c r="M4" s="14"/>
      <c r="N4" s="14" t="s">
        <v>794</v>
      </c>
      <c r="O4" s="14" t="s">
        <v>26</v>
      </c>
      <c r="P4" s="14" t="s">
        <v>795</v>
      </c>
    </row>
    <row r="5" spans="1:16" x14ac:dyDescent="0.2">
      <c r="A5" s="14" t="s">
        <v>202</v>
      </c>
      <c r="B5" s="14" t="s">
        <v>38</v>
      </c>
      <c r="C5" s="14" t="s">
        <v>796</v>
      </c>
      <c r="D5" s="14"/>
      <c r="E5" s="14" t="s">
        <v>763</v>
      </c>
      <c r="F5" s="14" t="s">
        <v>797</v>
      </c>
      <c r="G5" s="14" t="s">
        <v>774</v>
      </c>
      <c r="H5" s="14">
        <v>0.94</v>
      </c>
      <c r="I5" s="14">
        <v>0.9</v>
      </c>
      <c r="J5" s="14">
        <v>0.96</v>
      </c>
      <c r="K5" s="14"/>
      <c r="L5" s="14" t="s">
        <v>24</v>
      </c>
      <c r="M5" s="14"/>
      <c r="N5" s="14" t="s">
        <v>798</v>
      </c>
      <c r="O5" s="14" t="s">
        <v>31</v>
      </c>
      <c r="P5" s="14" t="s">
        <v>799</v>
      </c>
    </row>
    <row r="6" spans="1:16" x14ac:dyDescent="0.2">
      <c r="A6" s="14" t="s">
        <v>202</v>
      </c>
      <c r="B6" s="14" t="s">
        <v>38</v>
      </c>
      <c r="C6" s="14" t="s">
        <v>800</v>
      </c>
      <c r="D6" s="14"/>
      <c r="E6" s="14" t="s">
        <v>763</v>
      </c>
      <c r="F6" s="14" t="s">
        <v>801</v>
      </c>
      <c r="G6" s="14" t="s">
        <v>774</v>
      </c>
      <c r="H6" s="14">
        <v>0.06</v>
      </c>
      <c r="I6" s="14">
        <v>0.04</v>
      </c>
      <c r="J6" s="14">
        <v>0.1</v>
      </c>
      <c r="K6" s="14"/>
      <c r="L6" s="14" t="s">
        <v>24</v>
      </c>
      <c r="M6" s="14"/>
      <c r="N6" s="14" t="s">
        <v>798</v>
      </c>
      <c r="O6" s="14" t="s">
        <v>31</v>
      </c>
      <c r="P6" s="14" t="s">
        <v>802</v>
      </c>
    </row>
    <row r="7" spans="1:16" x14ac:dyDescent="0.2">
      <c r="A7" s="14" t="s">
        <v>202</v>
      </c>
      <c r="B7" s="14" t="s">
        <v>38</v>
      </c>
      <c r="C7" s="14" t="s">
        <v>803</v>
      </c>
      <c r="D7" s="14"/>
      <c r="E7" s="14" t="s">
        <v>763</v>
      </c>
      <c r="F7" s="14" t="s">
        <v>804</v>
      </c>
      <c r="G7" s="14" t="s">
        <v>774</v>
      </c>
      <c r="H7" s="14">
        <v>4.3200000000000001E-3</v>
      </c>
      <c r="I7" s="14">
        <v>4.3200000000000001E-3</v>
      </c>
      <c r="J7" s="14">
        <v>4.3200000000000001E-3</v>
      </c>
      <c r="K7" s="14"/>
      <c r="L7" s="14" t="s">
        <v>44</v>
      </c>
      <c r="M7" s="14"/>
      <c r="N7" s="14" t="s">
        <v>805</v>
      </c>
      <c r="O7" s="14" t="s">
        <v>31</v>
      </c>
      <c r="P7" s="14" t="s">
        <v>806</v>
      </c>
    </row>
    <row r="8" spans="1:16" x14ac:dyDescent="0.2">
      <c r="A8" s="14" t="s">
        <v>202</v>
      </c>
      <c r="B8" s="14" t="s">
        <v>110</v>
      </c>
      <c r="C8" s="14" t="s">
        <v>20</v>
      </c>
      <c r="D8" s="14"/>
      <c r="E8" s="14" t="s">
        <v>768</v>
      </c>
      <c r="F8" s="14" t="s">
        <v>769</v>
      </c>
      <c r="G8" s="14" t="s">
        <v>113</v>
      </c>
      <c r="H8" s="14">
        <v>75</v>
      </c>
      <c r="I8" s="14">
        <v>50</v>
      </c>
      <c r="J8" s="14">
        <v>100</v>
      </c>
      <c r="K8" s="14"/>
      <c r="L8" s="14" t="s">
        <v>24</v>
      </c>
      <c r="M8" s="14"/>
      <c r="N8" s="14" t="s">
        <v>807</v>
      </c>
      <c r="O8" s="14" t="s">
        <v>26</v>
      </c>
      <c r="P8" s="14" t="s">
        <v>808</v>
      </c>
    </row>
    <row r="9" spans="1:16" x14ac:dyDescent="0.2">
      <c r="A9" s="14" t="s">
        <v>202</v>
      </c>
      <c r="B9" s="14" t="s">
        <v>116</v>
      </c>
      <c r="C9" s="14" t="s">
        <v>809</v>
      </c>
      <c r="D9" s="14" t="s">
        <v>810</v>
      </c>
      <c r="E9" s="14" t="s">
        <v>763</v>
      </c>
      <c r="F9" s="14" t="s">
        <v>811</v>
      </c>
      <c r="G9" s="14" t="s">
        <v>774</v>
      </c>
      <c r="H9" s="14">
        <v>0.9</v>
      </c>
      <c r="I9" s="14">
        <v>0.8</v>
      </c>
      <c r="J9" s="14">
        <v>0.98</v>
      </c>
      <c r="K9" s="14"/>
      <c r="L9" s="14" t="s">
        <v>24</v>
      </c>
      <c r="M9" s="14"/>
      <c r="N9" s="14" t="s">
        <v>812</v>
      </c>
      <c r="O9" s="14" t="s">
        <v>26</v>
      </c>
      <c r="P9" s="14" t="s">
        <v>813</v>
      </c>
    </row>
    <row r="10" spans="1:16" x14ac:dyDescent="0.2">
      <c r="A10" s="14" t="s">
        <v>202</v>
      </c>
      <c r="B10" s="14" t="s">
        <v>116</v>
      </c>
      <c r="C10" s="14" t="s">
        <v>814</v>
      </c>
      <c r="D10" s="14" t="s">
        <v>810</v>
      </c>
      <c r="E10" s="14" t="s">
        <v>763</v>
      </c>
      <c r="F10" s="14" t="s">
        <v>815</v>
      </c>
      <c r="G10" s="14" t="s">
        <v>774</v>
      </c>
      <c r="H10" s="14">
        <v>0.1</v>
      </c>
      <c r="I10" s="14">
        <v>0.02</v>
      </c>
      <c r="J10" s="14">
        <v>0.2</v>
      </c>
      <c r="K10" s="14"/>
      <c r="L10" s="14" t="s">
        <v>24</v>
      </c>
      <c r="M10" s="14"/>
      <c r="N10" s="14" t="s">
        <v>812</v>
      </c>
      <c r="O10" s="14" t="s">
        <v>26</v>
      </c>
      <c r="P10" s="14" t="s">
        <v>816</v>
      </c>
    </row>
    <row r="11" spans="1:16" x14ac:dyDescent="0.2">
      <c r="A11" s="14" t="s">
        <v>202</v>
      </c>
      <c r="B11" s="14" t="s">
        <v>136</v>
      </c>
      <c r="C11" s="14" t="s">
        <v>20</v>
      </c>
      <c r="D11" s="14"/>
      <c r="E11" s="14" t="s">
        <v>135</v>
      </c>
      <c r="F11" s="14" t="s">
        <v>783</v>
      </c>
      <c r="G11" s="14" t="s">
        <v>138</v>
      </c>
      <c r="H11" s="14" t="s">
        <v>139</v>
      </c>
      <c r="I11" s="14"/>
      <c r="J11" s="14"/>
      <c r="K11" s="14"/>
      <c r="L11" s="14" t="s">
        <v>79</v>
      </c>
      <c r="M11" s="14"/>
      <c r="N11" s="14" t="s">
        <v>784</v>
      </c>
      <c r="O11" s="14" t="s">
        <v>31</v>
      </c>
      <c r="P11" s="14" t="s">
        <v>785</v>
      </c>
    </row>
  </sheetData>
  <conditionalFormatting sqref="H2:H247">
    <cfRule type="expression" dxfId="30" priority="1">
      <formula>AND($E2&lt;&gt;"",$H2="")</formula>
    </cfRule>
  </conditionalFormatting>
  <conditionalFormatting sqref="H2:O247">
    <cfRule type="expression" dxfId="29" priority="2">
      <formula>$O2="placeholder"</formula>
    </cfRule>
  </conditionalFormatting>
  <conditionalFormatting sqref="I2:J247">
    <cfRule type="expression" dxfId="28" priority="3">
      <formula>AND(OR($L2="triangular",$L2="uniform"),OR($I2="",$J2=""))</formula>
    </cfRule>
  </conditionalFormatting>
  <dataValidations count="3">
    <dataValidation type="list" allowBlank="1" sqref="B2:B247" xr:uid="{00000000-0002-0000-0E00-000000000000}">
      <formula1>"product size,production,repair,use,end-of-life,general"</formula1>
    </dataValidation>
    <dataValidation type="list" allowBlank="1" sqref="L2:L247" xr:uid="{00000000-0002-0000-0E00-000001000000}">
      <formula1>"fixed,triangular,uniform,choice,combination"</formula1>
    </dataValidation>
    <dataValidation type="list" allowBlank="1" sqref="O2:O247" xr:uid="{00000000-0002-0000-0E00-000002000000}">
      <formula1>"placeholder,partner estimate,measured,literature"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5A6BD"/>
  </sheetPr>
  <dimension ref="A1:P8"/>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3" t="s">
        <v>0</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row>
    <row r="2" spans="1:16" x14ac:dyDescent="0.2">
      <c r="A2" s="14" t="s">
        <v>211</v>
      </c>
      <c r="B2" s="14" t="s">
        <v>19</v>
      </c>
      <c r="C2" s="14" t="s">
        <v>20</v>
      </c>
      <c r="D2" s="14"/>
      <c r="E2" s="14" t="s">
        <v>421</v>
      </c>
      <c r="F2" s="14" t="s">
        <v>422</v>
      </c>
      <c r="G2" s="14" t="s">
        <v>200</v>
      </c>
      <c r="H2" s="14">
        <v>3</v>
      </c>
      <c r="I2" s="14">
        <v>3</v>
      </c>
      <c r="J2" s="14">
        <v>3</v>
      </c>
      <c r="K2" s="14"/>
      <c r="L2" s="14" t="s">
        <v>44</v>
      </c>
      <c r="M2" s="14"/>
      <c r="N2" s="14" t="s">
        <v>817</v>
      </c>
      <c r="O2" s="14" t="s">
        <v>31</v>
      </c>
      <c r="P2" s="14" t="s">
        <v>818</v>
      </c>
    </row>
    <row r="3" spans="1:16" x14ac:dyDescent="0.2">
      <c r="A3" s="14" t="s">
        <v>211</v>
      </c>
      <c r="B3" s="14" t="s">
        <v>19</v>
      </c>
      <c r="C3" s="14" t="s">
        <v>20</v>
      </c>
      <c r="D3" s="14"/>
      <c r="E3" s="14" t="s">
        <v>425</v>
      </c>
      <c r="F3" s="14" t="s">
        <v>426</v>
      </c>
      <c r="G3" s="14" t="s">
        <v>23</v>
      </c>
      <c r="H3" s="14">
        <v>10</v>
      </c>
      <c r="I3" s="14">
        <v>8</v>
      </c>
      <c r="J3" s="14">
        <v>12</v>
      </c>
      <c r="K3" s="14"/>
      <c r="L3" s="14" t="s">
        <v>24</v>
      </c>
      <c r="M3" s="14"/>
      <c r="N3" s="14" t="s">
        <v>819</v>
      </c>
      <c r="O3" s="14" t="s">
        <v>31</v>
      </c>
      <c r="P3" s="14" t="s">
        <v>820</v>
      </c>
    </row>
    <row r="4" spans="1:16" x14ac:dyDescent="0.2">
      <c r="A4" s="14" t="s">
        <v>211</v>
      </c>
      <c r="B4" s="14" t="s">
        <v>19</v>
      </c>
      <c r="C4" s="14" t="s">
        <v>20</v>
      </c>
      <c r="D4" s="14"/>
      <c r="E4" s="14" t="s">
        <v>33</v>
      </c>
      <c r="F4" s="14" t="s">
        <v>821</v>
      </c>
      <c r="G4" s="14" t="s">
        <v>35</v>
      </c>
      <c r="H4" s="14">
        <v>1700</v>
      </c>
      <c r="I4" s="14">
        <v>1300</v>
      </c>
      <c r="J4" s="14">
        <v>1900</v>
      </c>
      <c r="K4" s="14"/>
      <c r="L4" s="14" t="s">
        <v>24</v>
      </c>
      <c r="M4" s="14"/>
      <c r="N4" s="14" t="s">
        <v>822</v>
      </c>
      <c r="O4" s="14" t="s">
        <v>31</v>
      </c>
      <c r="P4" s="14" t="s">
        <v>823</v>
      </c>
    </row>
    <row r="5" spans="1:16" x14ac:dyDescent="0.2">
      <c r="A5" s="14" t="s">
        <v>211</v>
      </c>
      <c r="B5" s="14" t="s">
        <v>38</v>
      </c>
      <c r="C5" s="14" t="s">
        <v>824</v>
      </c>
      <c r="D5" s="14"/>
      <c r="E5" s="14" t="s">
        <v>763</v>
      </c>
      <c r="F5" s="14" t="s">
        <v>825</v>
      </c>
      <c r="G5" s="14" t="s">
        <v>774</v>
      </c>
      <c r="H5" s="14">
        <v>1</v>
      </c>
      <c r="I5" s="14">
        <v>1</v>
      </c>
      <c r="J5" s="14">
        <v>1</v>
      </c>
      <c r="K5" s="14"/>
      <c r="L5" s="14" t="s">
        <v>44</v>
      </c>
      <c r="M5" s="14"/>
      <c r="N5" s="14" t="s">
        <v>826</v>
      </c>
      <c r="O5" s="14" t="s">
        <v>31</v>
      </c>
      <c r="P5" s="14" t="s">
        <v>827</v>
      </c>
    </row>
    <row r="6" spans="1:16" x14ac:dyDescent="0.2">
      <c r="A6" s="14" t="s">
        <v>211</v>
      </c>
      <c r="B6" s="14" t="s">
        <v>110</v>
      </c>
      <c r="C6" s="14" t="s">
        <v>20</v>
      </c>
      <c r="D6" s="14"/>
      <c r="E6" s="14" t="s">
        <v>768</v>
      </c>
      <c r="F6" s="14" t="s">
        <v>769</v>
      </c>
      <c r="G6" s="14" t="s">
        <v>113</v>
      </c>
      <c r="H6" s="14">
        <v>60</v>
      </c>
      <c r="I6" s="14">
        <v>40</v>
      </c>
      <c r="J6" s="14">
        <v>100</v>
      </c>
      <c r="K6" s="14"/>
      <c r="L6" s="14" t="s">
        <v>24</v>
      </c>
      <c r="M6" s="14"/>
      <c r="N6" s="14" t="s">
        <v>828</v>
      </c>
      <c r="O6" s="14" t="s">
        <v>31</v>
      </c>
      <c r="P6" s="14" t="s">
        <v>829</v>
      </c>
    </row>
    <row r="7" spans="1:16" x14ac:dyDescent="0.2">
      <c r="A7" s="14" t="s">
        <v>211</v>
      </c>
      <c r="B7" s="14" t="s">
        <v>116</v>
      </c>
      <c r="C7" s="14" t="s">
        <v>830</v>
      </c>
      <c r="D7" s="14" t="s">
        <v>824</v>
      </c>
      <c r="E7" s="14" t="s">
        <v>763</v>
      </c>
      <c r="F7" s="14" t="s">
        <v>831</v>
      </c>
      <c r="G7" s="14" t="s">
        <v>774</v>
      </c>
      <c r="H7" s="14">
        <v>0.5</v>
      </c>
      <c r="I7" s="14">
        <v>0.25</v>
      </c>
      <c r="J7" s="14">
        <v>0.75</v>
      </c>
      <c r="K7" s="14"/>
      <c r="L7" s="14" t="s">
        <v>24</v>
      </c>
      <c r="M7" s="14"/>
      <c r="N7" s="14" t="s">
        <v>832</v>
      </c>
      <c r="O7" s="14" t="s">
        <v>31</v>
      </c>
      <c r="P7" s="14" t="s">
        <v>833</v>
      </c>
    </row>
    <row r="8" spans="1:16" x14ac:dyDescent="0.2">
      <c r="A8" s="14" t="s">
        <v>211</v>
      </c>
      <c r="B8" s="14" t="s">
        <v>136</v>
      </c>
      <c r="C8" s="14" t="s">
        <v>20</v>
      </c>
      <c r="D8" s="14"/>
      <c r="E8" s="14" t="s">
        <v>135</v>
      </c>
      <c r="F8" s="14" t="s">
        <v>783</v>
      </c>
      <c r="G8" s="14" t="s">
        <v>138</v>
      </c>
      <c r="H8" s="14" t="s">
        <v>139</v>
      </c>
      <c r="I8" s="14"/>
      <c r="J8" s="14"/>
      <c r="K8" s="14"/>
      <c r="L8" s="14" t="s">
        <v>79</v>
      </c>
      <c r="M8" s="14"/>
      <c r="N8" s="14" t="s">
        <v>784</v>
      </c>
      <c r="O8" s="14" t="s">
        <v>31</v>
      </c>
      <c r="P8" s="14" t="s">
        <v>785</v>
      </c>
    </row>
  </sheetData>
  <conditionalFormatting sqref="H2:H247">
    <cfRule type="expression" dxfId="27" priority="1">
      <formula>AND($E2&lt;&gt;"",$H2="")</formula>
    </cfRule>
  </conditionalFormatting>
  <conditionalFormatting sqref="H2:O247">
    <cfRule type="expression" dxfId="26" priority="2">
      <formula>$O2="placeholder"</formula>
    </cfRule>
  </conditionalFormatting>
  <conditionalFormatting sqref="I2:J247">
    <cfRule type="expression" dxfId="25" priority="3">
      <formula>AND(OR($L2="triangular",$L2="uniform"),OR($I2="",$J2=""))</formula>
    </cfRule>
  </conditionalFormatting>
  <dataValidations count="3">
    <dataValidation type="list" allowBlank="1" sqref="B2:B247" xr:uid="{00000000-0002-0000-0F00-000000000000}">
      <formula1>"product size,production,repair,use,end-of-life,general"</formula1>
    </dataValidation>
    <dataValidation type="list" allowBlank="1" sqref="L2:L247" xr:uid="{00000000-0002-0000-0F00-000001000000}">
      <formula1>"fixed,triangular,uniform,choice,combination"</formula1>
    </dataValidation>
    <dataValidation type="list" allowBlank="1" sqref="O2:O247" xr:uid="{00000000-0002-0000-0F00-000002000000}">
      <formula1>"placeholder,partner estimate,measured,literature"</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5A6BD"/>
  </sheetPr>
  <dimension ref="A1:P12"/>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3" t="s">
        <v>0</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row>
    <row r="2" spans="1:16" x14ac:dyDescent="0.2">
      <c r="A2" s="14" t="s">
        <v>212</v>
      </c>
      <c r="B2" s="14" t="s">
        <v>19</v>
      </c>
      <c r="C2" s="14" t="s">
        <v>20</v>
      </c>
      <c r="D2" s="14"/>
      <c r="E2" s="14" t="s">
        <v>421</v>
      </c>
      <c r="F2" s="14" t="s">
        <v>422</v>
      </c>
      <c r="G2" s="14" t="s">
        <v>200</v>
      </c>
      <c r="H2" s="14">
        <v>3</v>
      </c>
      <c r="I2" s="14">
        <v>3</v>
      </c>
      <c r="J2" s="14">
        <v>3</v>
      </c>
      <c r="K2" s="14"/>
      <c r="L2" s="14" t="s">
        <v>44</v>
      </c>
      <c r="M2" s="14"/>
      <c r="N2" s="14" t="s">
        <v>817</v>
      </c>
      <c r="O2" s="14" t="s">
        <v>31</v>
      </c>
      <c r="P2" s="14" t="s">
        <v>834</v>
      </c>
    </row>
    <row r="3" spans="1:16" x14ac:dyDescent="0.2">
      <c r="A3" s="14" t="s">
        <v>212</v>
      </c>
      <c r="B3" s="14" t="s">
        <v>19</v>
      </c>
      <c r="C3" s="14" t="s">
        <v>20</v>
      </c>
      <c r="D3" s="14"/>
      <c r="E3" s="14" t="s">
        <v>835</v>
      </c>
      <c r="F3" s="14" t="s">
        <v>836</v>
      </c>
      <c r="G3" s="14" t="s">
        <v>200</v>
      </c>
      <c r="H3" s="14">
        <v>0.115</v>
      </c>
      <c r="I3" s="14">
        <v>9.1999999999999998E-2</v>
      </c>
      <c r="J3" s="14">
        <v>0.13800000000000001</v>
      </c>
      <c r="K3" s="14"/>
      <c r="L3" s="14" t="s">
        <v>24</v>
      </c>
      <c r="M3" s="14"/>
      <c r="N3" s="14" t="s">
        <v>837</v>
      </c>
      <c r="O3" s="14" t="s">
        <v>31</v>
      </c>
      <c r="P3" s="14" t="s">
        <v>838</v>
      </c>
    </row>
    <row r="4" spans="1:16" x14ac:dyDescent="0.2">
      <c r="A4" s="14" t="s">
        <v>212</v>
      </c>
      <c r="B4" s="14" t="s">
        <v>19</v>
      </c>
      <c r="C4" s="14" t="s">
        <v>20</v>
      </c>
      <c r="D4" s="14"/>
      <c r="E4" s="14" t="s">
        <v>33</v>
      </c>
      <c r="F4" s="14" t="s">
        <v>839</v>
      </c>
      <c r="G4" s="14" t="s">
        <v>35</v>
      </c>
      <c r="H4" s="14">
        <v>1900</v>
      </c>
      <c r="I4" s="14">
        <v>1600</v>
      </c>
      <c r="J4" s="14">
        <v>2100</v>
      </c>
      <c r="K4" s="14"/>
      <c r="L4" s="14" t="s">
        <v>24</v>
      </c>
      <c r="M4" s="14"/>
      <c r="N4" s="14" t="s">
        <v>840</v>
      </c>
      <c r="O4" s="14" t="s">
        <v>31</v>
      </c>
      <c r="P4" s="14" t="s">
        <v>841</v>
      </c>
    </row>
    <row r="5" spans="1:16" x14ac:dyDescent="0.2">
      <c r="A5" s="14" t="s">
        <v>212</v>
      </c>
      <c r="B5" s="14" t="s">
        <v>38</v>
      </c>
      <c r="C5" s="14" t="s">
        <v>842</v>
      </c>
      <c r="D5" s="14"/>
      <c r="E5" s="14" t="s">
        <v>763</v>
      </c>
      <c r="F5" s="14" t="s">
        <v>843</v>
      </c>
      <c r="G5" s="14" t="s">
        <v>774</v>
      </c>
      <c r="H5" s="14">
        <v>0.8</v>
      </c>
      <c r="I5" s="14">
        <v>0.8</v>
      </c>
      <c r="J5" s="14">
        <v>0.8</v>
      </c>
      <c r="K5" s="14"/>
      <c r="L5" s="14" t="s">
        <v>44</v>
      </c>
      <c r="M5" s="14"/>
      <c r="N5" s="14" t="s">
        <v>844</v>
      </c>
      <c r="O5" s="14" t="s">
        <v>31</v>
      </c>
      <c r="P5" s="14" t="s">
        <v>845</v>
      </c>
    </row>
    <row r="6" spans="1:16" x14ac:dyDescent="0.2">
      <c r="A6" s="14" t="s">
        <v>212</v>
      </c>
      <c r="B6" s="14" t="s">
        <v>38</v>
      </c>
      <c r="C6" s="14" t="s">
        <v>846</v>
      </c>
      <c r="D6" s="14"/>
      <c r="E6" s="14" t="s">
        <v>763</v>
      </c>
      <c r="F6" s="14" t="s">
        <v>847</v>
      </c>
      <c r="G6" s="14" t="s">
        <v>774</v>
      </c>
      <c r="H6" s="14">
        <v>0.2</v>
      </c>
      <c r="I6" s="14">
        <v>0.2</v>
      </c>
      <c r="J6" s="14">
        <v>0.2</v>
      </c>
      <c r="K6" s="14"/>
      <c r="L6" s="14" t="s">
        <v>44</v>
      </c>
      <c r="M6" s="14"/>
      <c r="N6" s="14" t="s">
        <v>848</v>
      </c>
      <c r="O6" s="14" t="s">
        <v>31</v>
      </c>
      <c r="P6" s="14" t="s">
        <v>849</v>
      </c>
    </row>
    <row r="7" spans="1:16" x14ac:dyDescent="0.2">
      <c r="A7" s="14" t="s">
        <v>212</v>
      </c>
      <c r="B7" s="14" t="s">
        <v>110</v>
      </c>
      <c r="C7" s="14" t="s">
        <v>20</v>
      </c>
      <c r="D7" s="14"/>
      <c r="E7" s="14" t="s">
        <v>768</v>
      </c>
      <c r="F7" s="14" t="s">
        <v>769</v>
      </c>
      <c r="G7" s="14" t="s">
        <v>113</v>
      </c>
      <c r="H7" s="14">
        <v>75</v>
      </c>
      <c r="I7" s="14">
        <v>60</v>
      </c>
      <c r="J7" s="14">
        <v>100</v>
      </c>
      <c r="K7" s="14"/>
      <c r="L7" s="14" t="s">
        <v>24</v>
      </c>
      <c r="M7" s="14"/>
      <c r="N7" s="14" t="s">
        <v>850</v>
      </c>
      <c r="O7" s="14" t="s">
        <v>26</v>
      </c>
      <c r="P7" s="14" t="s">
        <v>851</v>
      </c>
    </row>
    <row r="8" spans="1:16" x14ac:dyDescent="0.2">
      <c r="A8" s="14" t="s">
        <v>212</v>
      </c>
      <c r="B8" s="14" t="s">
        <v>116</v>
      </c>
      <c r="C8" s="14" t="s">
        <v>852</v>
      </c>
      <c r="D8" s="14" t="s">
        <v>842</v>
      </c>
      <c r="E8" s="14" t="s">
        <v>763</v>
      </c>
      <c r="F8" s="14" t="s">
        <v>853</v>
      </c>
      <c r="G8" s="14" t="s">
        <v>774</v>
      </c>
      <c r="H8" s="14">
        <v>0.72</v>
      </c>
      <c r="I8" s="14">
        <v>0.64</v>
      </c>
      <c r="J8" s="14">
        <v>0.78400000000000003</v>
      </c>
      <c r="K8" s="14"/>
      <c r="L8" s="14" t="s">
        <v>24</v>
      </c>
      <c r="M8" s="14"/>
      <c r="N8" s="14" t="s">
        <v>854</v>
      </c>
      <c r="O8" s="14" t="s">
        <v>26</v>
      </c>
      <c r="P8" s="14" t="s">
        <v>855</v>
      </c>
    </row>
    <row r="9" spans="1:16" x14ac:dyDescent="0.2">
      <c r="A9" s="14" t="s">
        <v>212</v>
      </c>
      <c r="B9" s="14" t="s">
        <v>116</v>
      </c>
      <c r="C9" s="14" t="s">
        <v>830</v>
      </c>
      <c r="D9" s="14" t="s">
        <v>842</v>
      </c>
      <c r="E9" s="14" t="s">
        <v>763</v>
      </c>
      <c r="F9" s="14" t="s">
        <v>856</v>
      </c>
      <c r="G9" s="14" t="s">
        <v>774</v>
      </c>
      <c r="H9" s="14">
        <v>0.08</v>
      </c>
      <c r="I9" s="14">
        <v>1.6E-2</v>
      </c>
      <c r="J9" s="14">
        <v>0.16</v>
      </c>
      <c r="K9" s="14"/>
      <c r="L9" s="14" t="s">
        <v>24</v>
      </c>
      <c r="M9" s="14"/>
      <c r="N9" s="14" t="s">
        <v>854</v>
      </c>
      <c r="O9" s="14" t="s">
        <v>26</v>
      </c>
      <c r="P9" s="14" t="s">
        <v>857</v>
      </c>
    </row>
    <row r="10" spans="1:16" x14ac:dyDescent="0.2">
      <c r="A10" s="14" t="s">
        <v>212</v>
      </c>
      <c r="B10" s="14" t="s">
        <v>116</v>
      </c>
      <c r="C10" s="14" t="s">
        <v>830</v>
      </c>
      <c r="D10" s="14" t="s">
        <v>846</v>
      </c>
      <c r="E10" s="14" t="s">
        <v>763</v>
      </c>
      <c r="F10" s="14" t="s">
        <v>858</v>
      </c>
      <c r="G10" s="14" t="s">
        <v>774</v>
      </c>
      <c r="H10" s="14">
        <v>0.02</v>
      </c>
      <c r="I10" s="14">
        <v>4.0000000000000001E-3</v>
      </c>
      <c r="J10" s="14">
        <v>0.04</v>
      </c>
      <c r="K10" s="14"/>
      <c r="L10" s="14" t="s">
        <v>24</v>
      </c>
      <c r="M10" s="14"/>
      <c r="N10" s="14" t="s">
        <v>854</v>
      </c>
      <c r="O10" s="14" t="s">
        <v>26</v>
      </c>
      <c r="P10" s="14" t="s">
        <v>859</v>
      </c>
    </row>
    <row r="11" spans="1:16" x14ac:dyDescent="0.2">
      <c r="A11" s="14" t="s">
        <v>212</v>
      </c>
      <c r="B11" s="14" t="s">
        <v>116</v>
      </c>
      <c r="C11" s="14" t="s">
        <v>852</v>
      </c>
      <c r="D11" s="14" t="s">
        <v>846</v>
      </c>
      <c r="E11" s="14" t="s">
        <v>763</v>
      </c>
      <c r="F11" s="14" t="s">
        <v>860</v>
      </c>
      <c r="G11" s="14" t="s">
        <v>774</v>
      </c>
      <c r="H11" s="14">
        <v>0.18</v>
      </c>
      <c r="I11" s="14">
        <v>0.16</v>
      </c>
      <c r="J11" s="14">
        <v>0.19600000000000001</v>
      </c>
      <c r="K11" s="14"/>
      <c r="L11" s="14" t="s">
        <v>24</v>
      </c>
      <c r="M11" s="14"/>
      <c r="N11" s="14" t="s">
        <v>854</v>
      </c>
      <c r="O11" s="14" t="s">
        <v>26</v>
      </c>
      <c r="P11" s="14" t="s">
        <v>861</v>
      </c>
    </row>
    <row r="12" spans="1:16" x14ac:dyDescent="0.2">
      <c r="A12" s="14" t="s">
        <v>212</v>
      </c>
      <c r="B12" s="14" t="s">
        <v>136</v>
      </c>
      <c r="C12" s="14" t="s">
        <v>20</v>
      </c>
      <c r="D12" s="14"/>
      <c r="E12" s="14" t="s">
        <v>135</v>
      </c>
      <c r="F12" s="14" t="s">
        <v>783</v>
      </c>
      <c r="G12" s="14" t="s">
        <v>138</v>
      </c>
      <c r="H12" s="14" t="s">
        <v>139</v>
      </c>
      <c r="I12" s="14"/>
      <c r="J12" s="14"/>
      <c r="K12" s="14"/>
      <c r="L12" s="14" t="s">
        <v>79</v>
      </c>
      <c r="M12" s="14"/>
      <c r="N12" s="14" t="s">
        <v>784</v>
      </c>
      <c r="O12" s="14" t="s">
        <v>31</v>
      </c>
      <c r="P12" s="14" t="s">
        <v>785</v>
      </c>
    </row>
  </sheetData>
  <conditionalFormatting sqref="H2:H247">
    <cfRule type="expression" dxfId="24" priority="1">
      <formula>AND($E2&lt;&gt;"",$H2="")</formula>
    </cfRule>
  </conditionalFormatting>
  <conditionalFormatting sqref="H2:O247">
    <cfRule type="expression" dxfId="23" priority="2">
      <formula>$O2="placeholder"</formula>
    </cfRule>
  </conditionalFormatting>
  <conditionalFormatting sqref="I2:J247">
    <cfRule type="expression" dxfId="22" priority="3">
      <formula>AND(OR($L2="triangular",$L2="uniform"),OR($I2="",$J2=""))</formula>
    </cfRule>
  </conditionalFormatting>
  <dataValidations count="3">
    <dataValidation type="list" allowBlank="1" sqref="B2:B247" xr:uid="{00000000-0002-0000-1000-000000000000}">
      <formula1>"product size,production,repair,use,end-of-life,general"</formula1>
    </dataValidation>
    <dataValidation type="list" allowBlank="1" sqref="L2:L247" xr:uid="{00000000-0002-0000-1000-000001000000}">
      <formula1>"fixed,triangular,uniform,choice,combination"</formula1>
    </dataValidation>
    <dataValidation type="list" allowBlank="1" sqref="O2:O247" xr:uid="{00000000-0002-0000-1000-000002000000}">
      <formula1>"placeholder,partner estimate,measured,literature"</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5A6BD"/>
  </sheetPr>
  <dimension ref="A1:P8"/>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3" t="s">
        <v>0</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row>
    <row r="2" spans="1:16" x14ac:dyDescent="0.2">
      <c r="A2" s="14" t="s">
        <v>219</v>
      </c>
      <c r="B2" s="14" t="s">
        <v>19</v>
      </c>
      <c r="C2" s="14" t="s">
        <v>20</v>
      </c>
      <c r="D2" s="14"/>
      <c r="E2" s="14" t="s">
        <v>530</v>
      </c>
      <c r="F2" s="14" t="s">
        <v>862</v>
      </c>
      <c r="G2" s="14" t="s">
        <v>532</v>
      </c>
      <c r="H2" s="14">
        <v>0.3</v>
      </c>
      <c r="I2" s="14">
        <v>0.24</v>
      </c>
      <c r="J2" s="14">
        <v>0.36</v>
      </c>
      <c r="K2" s="14"/>
      <c r="L2" s="14" t="s">
        <v>24</v>
      </c>
      <c r="M2" s="14"/>
      <c r="N2" s="14" t="s">
        <v>863</v>
      </c>
      <c r="O2" s="14" t="s">
        <v>31</v>
      </c>
      <c r="P2" s="14" t="s">
        <v>864</v>
      </c>
    </row>
    <row r="3" spans="1:16" x14ac:dyDescent="0.2">
      <c r="A3" s="14" t="s">
        <v>219</v>
      </c>
      <c r="B3" s="14" t="s">
        <v>38</v>
      </c>
      <c r="C3" s="14" t="s">
        <v>865</v>
      </c>
      <c r="D3" s="14"/>
      <c r="E3" s="14" t="s">
        <v>763</v>
      </c>
      <c r="F3" s="14" t="s">
        <v>866</v>
      </c>
      <c r="G3" s="14" t="s">
        <v>774</v>
      </c>
      <c r="H3" s="14">
        <v>1</v>
      </c>
      <c r="I3" s="14">
        <v>1</v>
      </c>
      <c r="J3" s="14">
        <v>1</v>
      </c>
      <c r="K3" s="14"/>
      <c r="L3" s="14" t="s">
        <v>44</v>
      </c>
      <c r="M3" s="14"/>
      <c r="N3" s="14" t="s">
        <v>826</v>
      </c>
      <c r="O3" s="14" t="s">
        <v>31</v>
      </c>
      <c r="P3" s="14" t="s">
        <v>867</v>
      </c>
    </row>
    <row r="4" spans="1:16" x14ac:dyDescent="0.2">
      <c r="A4" s="14" t="s">
        <v>219</v>
      </c>
      <c r="B4" s="14" t="s">
        <v>38</v>
      </c>
      <c r="C4" s="14" t="s">
        <v>868</v>
      </c>
      <c r="D4" s="14"/>
      <c r="E4" s="14" t="s">
        <v>763</v>
      </c>
      <c r="F4" s="14" t="s">
        <v>869</v>
      </c>
      <c r="G4" s="14" t="s">
        <v>774</v>
      </c>
      <c r="H4" s="14">
        <v>1</v>
      </c>
      <c r="I4" s="14">
        <v>1</v>
      </c>
      <c r="J4" s="14">
        <v>1</v>
      </c>
      <c r="K4" s="14"/>
      <c r="L4" s="14" t="s">
        <v>44</v>
      </c>
      <c r="M4" s="14"/>
      <c r="N4" s="14" t="s">
        <v>826</v>
      </c>
      <c r="O4" s="14" t="s">
        <v>31</v>
      </c>
      <c r="P4" s="14" t="s">
        <v>870</v>
      </c>
    </row>
    <row r="5" spans="1:16" x14ac:dyDescent="0.2">
      <c r="A5" s="14" t="s">
        <v>219</v>
      </c>
      <c r="B5" s="14" t="s">
        <v>110</v>
      </c>
      <c r="C5" s="14" t="s">
        <v>20</v>
      </c>
      <c r="D5" s="14"/>
      <c r="E5" s="14" t="s">
        <v>768</v>
      </c>
      <c r="F5" s="14" t="s">
        <v>769</v>
      </c>
      <c r="G5" s="14" t="s">
        <v>113</v>
      </c>
      <c r="H5" s="14">
        <v>17.5</v>
      </c>
      <c r="I5" s="14">
        <v>10</v>
      </c>
      <c r="J5" s="14">
        <v>20</v>
      </c>
      <c r="K5" s="14"/>
      <c r="L5" s="14" t="s">
        <v>24</v>
      </c>
      <c r="M5" s="14"/>
      <c r="N5" s="14" t="s">
        <v>871</v>
      </c>
      <c r="O5" s="14" t="s">
        <v>26</v>
      </c>
      <c r="P5" s="14" t="s">
        <v>872</v>
      </c>
    </row>
    <row r="6" spans="1:16" x14ac:dyDescent="0.2">
      <c r="A6" s="14" t="s">
        <v>219</v>
      </c>
      <c r="B6" s="14" t="s">
        <v>116</v>
      </c>
      <c r="C6" s="14" t="s">
        <v>873</v>
      </c>
      <c r="D6" s="14" t="s">
        <v>865</v>
      </c>
      <c r="E6" s="14" t="s">
        <v>763</v>
      </c>
      <c r="F6" s="14" t="s">
        <v>874</v>
      </c>
      <c r="G6" s="14" t="s">
        <v>774</v>
      </c>
      <c r="H6" s="14">
        <v>0.57999999999999996</v>
      </c>
      <c r="I6" s="14">
        <v>0.4</v>
      </c>
      <c r="J6" s="14">
        <v>0.95</v>
      </c>
      <c r="K6" s="14"/>
      <c r="L6" s="14" t="s">
        <v>24</v>
      </c>
      <c r="M6" s="14"/>
      <c r="N6" s="14" t="s">
        <v>875</v>
      </c>
      <c r="O6" s="14" t="s">
        <v>26</v>
      </c>
      <c r="P6" s="14" t="s">
        <v>876</v>
      </c>
    </row>
    <row r="7" spans="1:16" x14ac:dyDescent="0.2">
      <c r="A7" s="14" t="s">
        <v>219</v>
      </c>
      <c r="B7" s="14" t="s">
        <v>116</v>
      </c>
      <c r="C7" s="14" t="s">
        <v>877</v>
      </c>
      <c r="D7" s="14" t="s">
        <v>865</v>
      </c>
      <c r="E7" s="14" t="s">
        <v>763</v>
      </c>
      <c r="F7" s="14" t="s">
        <v>878</v>
      </c>
      <c r="G7" s="14" t="s">
        <v>774</v>
      </c>
      <c r="H7" s="14">
        <v>0.42</v>
      </c>
      <c r="I7" s="14">
        <v>0.05</v>
      </c>
      <c r="J7" s="14">
        <v>0.6</v>
      </c>
      <c r="K7" s="14"/>
      <c r="L7" s="14" t="s">
        <v>24</v>
      </c>
      <c r="M7" s="14"/>
      <c r="N7" s="14" t="s">
        <v>875</v>
      </c>
      <c r="O7" s="14" t="s">
        <v>26</v>
      </c>
      <c r="P7" s="14" t="s">
        <v>879</v>
      </c>
    </row>
    <row r="8" spans="1:16" x14ac:dyDescent="0.2">
      <c r="A8" s="14" t="s">
        <v>219</v>
      </c>
      <c r="B8" s="14" t="s">
        <v>136</v>
      </c>
      <c r="C8" s="14" t="s">
        <v>20</v>
      </c>
      <c r="D8" s="14"/>
      <c r="E8" s="14" t="s">
        <v>135</v>
      </c>
      <c r="F8" s="14" t="s">
        <v>783</v>
      </c>
      <c r="G8" s="14" t="s">
        <v>138</v>
      </c>
      <c r="H8" s="14" t="s">
        <v>139</v>
      </c>
      <c r="I8" s="14"/>
      <c r="J8" s="14"/>
      <c r="K8" s="14"/>
      <c r="L8" s="14" t="s">
        <v>79</v>
      </c>
      <c r="M8" s="14"/>
      <c r="N8" s="14" t="s">
        <v>784</v>
      </c>
      <c r="O8" s="14" t="s">
        <v>31</v>
      </c>
      <c r="P8" s="14" t="s">
        <v>785</v>
      </c>
    </row>
  </sheetData>
  <conditionalFormatting sqref="H2:H247">
    <cfRule type="expression" dxfId="21" priority="1">
      <formula>AND($E2&lt;&gt;"",$H2="")</formula>
    </cfRule>
  </conditionalFormatting>
  <conditionalFormatting sqref="H2:O247">
    <cfRule type="expression" dxfId="20" priority="2">
      <formula>$O2="placeholder"</formula>
    </cfRule>
  </conditionalFormatting>
  <conditionalFormatting sqref="I2:J247">
    <cfRule type="expression" dxfId="19" priority="3">
      <formula>AND(OR($L2="triangular",$L2="uniform"),OR($I2="",$J2=""))</formula>
    </cfRule>
  </conditionalFormatting>
  <dataValidations count="3">
    <dataValidation type="list" allowBlank="1" sqref="B2:B247" xr:uid="{00000000-0002-0000-1100-000000000000}">
      <formula1>"product size,production,repair,use,end-of-life,general"</formula1>
    </dataValidation>
    <dataValidation type="list" allowBlank="1" sqref="L2:L247" xr:uid="{00000000-0002-0000-1100-000001000000}">
      <formula1>"fixed,triangular,uniform,choice,combination"</formula1>
    </dataValidation>
    <dataValidation type="list" allowBlank="1" sqref="O2:O247" xr:uid="{00000000-0002-0000-1100-000002000000}">
      <formula1>"placeholder,partner estimate,measured,literature"</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5A6BD"/>
  </sheetPr>
  <dimension ref="A1:Q49"/>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row>
    <row r="2" spans="1:17" x14ac:dyDescent="0.2">
      <c r="A2" s="14" t="s">
        <v>218</v>
      </c>
      <c r="B2" s="14" t="s">
        <v>18</v>
      </c>
      <c r="C2" s="14" t="s">
        <v>19</v>
      </c>
      <c r="D2" s="14" t="s">
        <v>20</v>
      </c>
      <c r="E2" s="14"/>
      <c r="F2" s="14" t="s">
        <v>530</v>
      </c>
      <c r="G2" s="14" t="s">
        <v>531</v>
      </c>
      <c r="H2" s="14" t="s">
        <v>532</v>
      </c>
      <c r="I2" s="14">
        <v>0.48</v>
      </c>
      <c r="J2" s="14">
        <v>0.38400000000000001</v>
      </c>
      <c r="K2" s="14">
        <v>0.57599999999999996</v>
      </c>
      <c r="L2" s="14"/>
      <c r="M2" s="14" t="s">
        <v>24</v>
      </c>
      <c r="N2" s="14"/>
      <c r="O2" s="14" t="s">
        <v>880</v>
      </c>
      <c r="P2" s="14" t="s">
        <v>31</v>
      </c>
      <c r="Q2" s="14" t="s">
        <v>881</v>
      </c>
    </row>
    <row r="3" spans="1:17" x14ac:dyDescent="0.2">
      <c r="A3" s="14" t="s">
        <v>218</v>
      </c>
      <c r="B3" s="14" t="s">
        <v>18</v>
      </c>
      <c r="C3" s="14" t="s">
        <v>38</v>
      </c>
      <c r="D3" s="14" t="s">
        <v>535</v>
      </c>
      <c r="E3" s="14" t="s">
        <v>47</v>
      </c>
      <c r="F3" s="14" t="s">
        <v>41</v>
      </c>
      <c r="G3" s="17" t="s">
        <v>48</v>
      </c>
      <c r="H3" s="14" t="s">
        <v>43</v>
      </c>
      <c r="I3" s="14">
        <v>100</v>
      </c>
      <c r="J3" s="14">
        <v>100</v>
      </c>
      <c r="K3" s="14">
        <v>100</v>
      </c>
      <c r="L3" s="14"/>
      <c r="M3" s="14" t="s">
        <v>44</v>
      </c>
      <c r="N3" s="14"/>
      <c r="O3" s="14" t="s">
        <v>536</v>
      </c>
      <c r="P3" s="14" t="s">
        <v>31</v>
      </c>
      <c r="Q3" s="14" t="s">
        <v>537</v>
      </c>
    </row>
    <row r="4" spans="1:17" x14ac:dyDescent="0.2">
      <c r="A4" s="14" t="s">
        <v>218</v>
      </c>
      <c r="B4" s="14" t="s">
        <v>18</v>
      </c>
      <c r="C4" s="14" t="s">
        <v>447</v>
      </c>
      <c r="D4" s="14" t="s">
        <v>535</v>
      </c>
      <c r="E4" s="14" t="s">
        <v>47</v>
      </c>
      <c r="F4" s="14" t="s">
        <v>41</v>
      </c>
      <c r="G4" s="17" t="s">
        <v>538</v>
      </c>
      <c r="H4" s="14" t="s">
        <v>43</v>
      </c>
      <c r="I4" s="14">
        <v>100</v>
      </c>
      <c r="J4" s="14">
        <v>100</v>
      </c>
      <c r="K4" s="14">
        <v>100</v>
      </c>
      <c r="L4" s="14"/>
      <c r="M4" s="14" t="s">
        <v>44</v>
      </c>
      <c r="N4" s="14"/>
      <c r="O4" s="14" t="s">
        <v>536</v>
      </c>
      <c r="P4" s="14" t="s">
        <v>31</v>
      </c>
      <c r="Q4" s="14" t="s">
        <v>537</v>
      </c>
    </row>
    <row r="5" spans="1:17" x14ac:dyDescent="0.2">
      <c r="A5" s="14" t="s">
        <v>218</v>
      </c>
      <c r="B5" s="14" t="s">
        <v>51</v>
      </c>
      <c r="C5" s="14" t="s">
        <v>38</v>
      </c>
      <c r="D5" s="14" t="s">
        <v>341</v>
      </c>
      <c r="E5" s="14"/>
      <c r="F5" s="14" t="s">
        <v>53</v>
      </c>
      <c r="G5" s="17" t="s">
        <v>54</v>
      </c>
      <c r="H5" s="14" t="s">
        <v>55</v>
      </c>
      <c r="I5" s="14">
        <v>3000</v>
      </c>
      <c r="J5" s="14">
        <v>2400</v>
      </c>
      <c r="K5" s="14">
        <v>3600</v>
      </c>
      <c r="L5" s="14"/>
      <c r="M5" s="14" t="s">
        <v>24</v>
      </c>
      <c r="N5" s="14"/>
      <c r="O5" s="14" t="s">
        <v>539</v>
      </c>
      <c r="P5" s="14" t="s">
        <v>31</v>
      </c>
      <c r="Q5" s="14" t="s">
        <v>540</v>
      </c>
    </row>
    <row r="6" spans="1:17" x14ac:dyDescent="0.2">
      <c r="A6" s="14" t="s">
        <v>218</v>
      </c>
      <c r="B6" s="14" t="s">
        <v>51</v>
      </c>
      <c r="C6" s="14" t="s">
        <v>38</v>
      </c>
      <c r="D6" s="14" t="s">
        <v>341</v>
      </c>
      <c r="E6" s="14"/>
      <c r="F6" s="14" t="s">
        <v>58</v>
      </c>
      <c r="G6" s="17" t="s">
        <v>59</v>
      </c>
      <c r="H6" s="14" t="s">
        <v>60</v>
      </c>
      <c r="I6" s="14">
        <v>12</v>
      </c>
      <c r="J6" s="14">
        <v>9.6</v>
      </c>
      <c r="K6" s="14">
        <v>14.4</v>
      </c>
      <c r="L6" s="14"/>
      <c r="M6" s="14" t="s">
        <v>24</v>
      </c>
      <c r="N6" s="14"/>
      <c r="O6" s="14" t="s">
        <v>541</v>
      </c>
      <c r="P6" s="14" t="s">
        <v>31</v>
      </c>
      <c r="Q6" s="14" t="s">
        <v>542</v>
      </c>
    </row>
    <row r="7" spans="1:17" x14ac:dyDescent="0.2">
      <c r="A7" s="14" t="s">
        <v>218</v>
      </c>
      <c r="B7" s="14" t="s">
        <v>51</v>
      </c>
      <c r="C7" s="14" t="s">
        <v>38</v>
      </c>
      <c r="D7" s="14" t="s">
        <v>341</v>
      </c>
      <c r="E7" s="14"/>
      <c r="F7" s="14" t="s">
        <v>63</v>
      </c>
      <c r="G7" s="17" t="s">
        <v>64</v>
      </c>
      <c r="H7" s="14" t="s">
        <v>65</v>
      </c>
      <c r="I7" s="14">
        <v>15</v>
      </c>
      <c r="J7" s="14">
        <v>10</v>
      </c>
      <c r="K7" s="14">
        <v>25</v>
      </c>
      <c r="L7" s="14"/>
      <c r="M7" s="14" t="s">
        <v>24</v>
      </c>
      <c r="N7" s="14"/>
      <c r="O7" s="14" t="s">
        <v>543</v>
      </c>
      <c r="P7" s="14" t="s">
        <v>31</v>
      </c>
      <c r="Q7" s="14" t="s">
        <v>544</v>
      </c>
    </row>
    <row r="8" spans="1:17" x14ac:dyDescent="0.2">
      <c r="A8" s="14" t="s">
        <v>218</v>
      </c>
      <c r="B8" s="14" t="s">
        <v>51</v>
      </c>
      <c r="C8" s="14" t="s">
        <v>38</v>
      </c>
      <c r="D8" s="14" t="s">
        <v>341</v>
      </c>
      <c r="E8" s="14"/>
      <c r="F8" s="14" t="s">
        <v>68</v>
      </c>
      <c r="G8" s="17" t="s">
        <v>69</v>
      </c>
      <c r="H8" s="14" t="s">
        <v>70</v>
      </c>
      <c r="I8" s="14">
        <v>50000</v>
      </c>
      <c r="J8" s="14">
        <v>40000</v>
      </c>
      <c r="K8" s="14">
        <v>60000</v>
      </c>
      <c r="L8" s="14"/>
      <c r="M8" s="14" t="s">
        <v>24</v>
      </c>
      <c r="N8" s="14"/>
      <c r="O8" s="14" t="s">
        <v>545</v>
      </c>
      <c r="P8" s="14" t="s">
        <v>31</v>
      </c>
      <c r="Q8" s="14" t="s">
        <v>546</v>
      </c>
    </row>
    <row r="9" spans="1:17" x14ac:dyDescent="0.2">
      <c r="A9" s="14" t="s">
        <v>218</v>
      </c>
      <c r="B9" s="14" t="s">
        <v>51</v>
      </c>
      <c r="C9" s="14" t="s">
        <v>38</v>
      </c>
      <c r="D9" s="14" t="s">
        <v>341</v>
      </c>
      <c r="E9" s="14"/>
      <c r="F9" s="14" t="s">
        <v>73</v>
      </c>
      <c r="G9" s="17" t="s">
        <v>74</v>
      </c>
      <c r="H9" s="14" t="s">
        <v>43</v>
      </c>
      <c r="I9" s="14">
        <v>85</v>
      </c>
      <c r="J9" s="14">
        <v>70</v>
      </c>
      <c r="K9" s="14">
        <v>95</v>
      </c>
      <c r="L9" s="14"/>
      <c r="M9" s="14" t="s">
        <v>24</v>
      </c>
      <c r="N9" s="14"/>
      <c r="O9" s="14" t="s">
        <v>547</v>
      </c>
      <c r="P9" s="14" t="s">
        <v>31</v>
      </c>
      <c r="Q9" s="14" t="s">
        <v>548</v>
      </c>
    </row>
    <row r="10" spans="1:17" x14ac:dyDescent="0.2">
      <c r="A10" s="14" t="s">
        <v>218</v>
      </c>
      <c r="B10" s="14" t="s">
        <v>51</v>
      </c>
      <c r="C10" s="14" t="s">
        <v>38</v>
      </c>
      <c r="D10" s="14" t="s">
        <v>341</v>
      </c>
      <c r="E10" s="14"/>
      <c r="F10" s="14" t="s">
        <v>77</v>
      </c>
      <c r="G10" s="17" t="s">
        <v>78</v>
      </c>
      <c r="H10" s="14" t="s">
        <v>23</v>
      </c>
      <c r="I10" s="14" t="s">
        <v>47</v>
      </c>
      <c r="J10" s="14"/>
      <c r="K10" s="14"/>
      <c r="L10" s="14"/>
      <c r="M10" s="14" t="s">
        <v>79</v>
      </c>
      <c r="N10" s="14" t="s">
        <v>80</v>
      </c>
      <c r="O10" s="14" t="s">
        <v>549</v>
      </c>
      <c r="P10" s="14" t="s">
        <v>31</v>
      </c>
      <c r="Q10" s="14" t="s">
        <v>550</v>
      </c>
    </row>
    <row r="11" spans="1:17" x14ac:dyDescent="0.2">
      <c r="A11" s="14" t="s">
        <v>218</v>
      </c>
      <c r="B11" s="14" t="s">
        <v>51</v>
      </c>
      <c r="C11" s="14" t="s">
        <v>38</v>
      </c>
      <c r="D11" s="14" t="s">
        <v>344</v>
      </c>
      <c r="E11" s="14"/>
      <c r="F11" s="14" t="s">
        <v>53</v>
      </c>
      <c r="G11" s="17" t="s">
        <v>54</v>
      </c>
      <c r="H11" s="14" t="s">
        <v>55</v>
      </c>
      <c r="I11" s="14">
        <v>1500</v>
      </c>
      <c r="J11" s="14">
        <v>1200</v>
      </c>
      <c r="K11" s="14">
        <v>1800</v>
      </c>
      <c r="L11" s="14"/>
      <c r="M11" s="14" t="s">
        <v>24</v>
      </c>
      <c r="N11" s="14"/>
      <c r="O11" s="14" t="s">
        <v>551</v>
      </c>
      <c r="P11" s="14" t="s">
        <v>31</v>
      </c>
      <c r="Q11" s="14" t="s">
        <v>552</v>
      </c>
    </row>
    <row r="12" spans="1:17" x14ac:dyDescent="0.2">
      <c r="A12" s="14" t="s">
        <v>218</v>
      </c>
      <c r="B12" s="14" t="s">
        <v>51</v>
      </c>
      <c r="C12" s="14" t="s">
        <v>38</v>
      </c>
      <c r="D12" s="14" t="s">
        <v>344</v>
      </c>
      <c r="E12" s="14"/>
      <c r="F12" s="14" t="s">
        <v>58</v>
      </c>
      <c r="G12" s="17" t="s">
        <v>59</v>
      </c>
      <c r="H12" s="14" t="s">
        <v>60</v>
      </c>
      <c r="I12" s="14">
        <v>5</v>
      </c>
      <c r="J12" s="14">
        <v>4</v>
      </c>
      <c r="K12" s="14">
        <v>6</v>
      </c>
      <c r="L12" s="14"/>
      <c r="M12" s="14" t="s">
        <v>24</v>
      </c>
      <c r="N12" s="14"/>
      <c r="O12" s="14" t="s">
        <v>553</v>
      </c>
      <c r="P12" s="14" t="s">
        <v>31</v>
      </c>
      <c r="Q12" s="14" t="s">
        <v>546</v>
      </c>
    </row>
    <row r="13" spans="1:17" x14ac:dyDescent="0.2">
      <c r="A13" s="14" t="s">
        <v>218</v>
      </c>
      <c r="B13" s="14" t="s">
        <v>51</v>
      </c>
      <c r="C13" s="14" t="s">
        <v>38</v>
      </c>
      <c r="D13" s="14" t="s">
        <v>344</v>
      </c>
      <c r="E13" s="14"/>
      <c r="F13" s="14" t="s">
        <v>63</v>
      </c>
      <c r="G13" s="17" t="s">
        <v>64</v>
      </c>
      <c r="H13" s="14" t="s">
        <v>65</v>
      </c>
      <c r="I13" s="14">
        <v>6</v>
      </c>
      <c r="J13" s="14">
        <v>4</v>
      </c>
      <c r="K13" s="14">
        <v>9</v>
      </c>
      <c r="L13" s="14"/>
      <c r="M13" s="14" t="s">
        <v>24</v>
      </c>
      <c r="N13" s="14"/>
      <c r="O13" s="14" t="s">
        <v>554</v>
      </c>
      <c r="P13" s="14" t="s">
        <v>31</v>
      </c>
      <c r="Q13" s="14" t="s">
        <v>555</v>
      </c>
    </row>
    <row r="14" spans="1:17" x14ac:dyDescent="0.2">
      <c r="A14" s="14" t="s">
        <v>218</v>
      </c>
      <c r="B14" s="14" t="s">
        <v>51</v>
      </c>
      <c r="C14" s="14" t="s">
        <v>38</v>
      </c>
      <c r="D14" s="14" t="s">
        <v>344</v>
      </c>
      <c r="E14" s="14"/>
      <c r="F14" s="14" t="s">
        <v>68</v>
      </c>
      <c r="G14" s="17" t="s">
        <v>69</v>
      </c>
      <c r="H14" s="14" t="s">
        <v>70</v>
      </c>
      <c r="I14" s="14">
        <v>50000</v>
      </c>
      <c r="J14" s="14">
        <v>40000</v>
      </c>
      <c r="K14" s="14">
        <v>60000</v>
      </c>
      <c r="L14" s="14"/>
      <c r="M14" s="14" t="s">
        <v>24</v>
      </c>
      <c r="N14" s="14"/>
      <c r="O14" s="14" t="s">
        <v>556</v>
      </c>
      <c r="P14" s="14" t="s">
        <v>31</v>
      </c>
      <c r="Q14" s="14" t="s">
        <v>546</v>
      </c>
    </row>
    <row r="15" spans="1:17" x14ac:dyDescent="0.2">
      <c r="A15" s="14" t="s">
        <v>218</v>
      </c>
      <c r="B15" s="14" t="s">
        <v>51</v>
      </c>
      <c r="C15" s="14" t="s">
        <v>38</v>
      </c>
      <c r="D15" s="14" t="s">
        <v>344</v>
      </c>
      <c r="E15" s="14"/>
      <c r="F15" s="14" t="s">
        <v>73</v>
      </c>
      <c r="G15" s="17" t="s">
        <v>74</v>
      </c>
      <c r="H15" s="14" t="s">
        <v>43</v>
      </c>
      <c r="I15" s="14">
        <v>95</v>
      </c>
      <c r="J15" s="14">
        <v>88</v>
      </c>
      <c r="K15" s="14">
        <v>100</v>
      </c>
      <c r="L15" s="14"/>
      <c r="M15" s="14" t="s">
        <v>24</v>
      </c>
      <c r="N15" s="14"/>
      <c r="O15" s="14" t="s">
        <v>557</v>
      </c>
      <c r="P15" s="14" t="s">
        <v>31</v>
      </c>
      <c r="Q15" s="14" t="s">
        <v>501</v>
      </c>
    </row>
    <row r="16" spans="1:17" x14ac:dyDescent="0.2">
      <c r="A16" s="14" t="s">
        <v>218</v>
      </c>
      <c r="B16" s="14" t="s">
        <v>51</v>
      </c>
      <c r="C16" s="14" t="s">
        <v>38</v>
      </c>
      <c r="D16" s="14" t="s">
        <v>344</v>
      </c>
      <c r="E16" s="14"/>
      <c r="F16" s="14" t="s">
        <v>77</v>
      </c>
      <c r="G16" s="17" t="s">
        <v>78</v>
      </c>
      <c r="H16" s="14" t="s">
        <v>23</v>
      </c>
      <c r="I16" s="14" t="s">
        <v>47</v>
      </c>
      <c r="J16" s="14"/>
      <c r="K16" s="14"/>
      <c r="L16" s="14"/>
      <c r="M16" s="14" t="s">
        <v>79</v>
      </c>
      <c r="N16" s="14" t="s">
        <v>80</v>
      </c>
      <c r="O16" s="14" t="s">
        <v>549</v>
      </c>
      <c r="P16" s="14" t="s">
        <v>31</v>
      </c>
      <c r="Q16" s="14" t="s">
        <v>550</v>
      </c>
    </row>
    <row r="17" spans="1:17" x14ac:dyDescent="0.2">
      <c r="A17" s="14" t="s">
        <v>218</v>
      </c>
      <c r="B17" s="14" t="s">
        <v>51</v>
      </c>
      <c r="C17" s="14" t="s">
        <v>38</v>
      </c>
      <c r="D17" s="14" t="s">
        <v>346</v>
      </c>
      <c r="E17" s="14"/>
      <c r="F17" s="14" t="s">
        <v>53</v>
      </c>
      <c r="G17" s="17" t="s">
        <v>54</v>
      </c>
      <c r="H17" s="14" t="s">
        <v>55</v>
      </c>
      <c r="I17" s="14">
        <v>1200</v>
      </c>
      <c r="J17" s="14">
        <v>1000</v>
      </c>
      <c r="K17" s="14">
        <v>1500</v>
      </c>
      <c r="L17" s="14"/>
      <c r="M17" s="14" t="s">
        <v>24</v>
      </c>
      <c r="N17" s="14"/>
      <c r="O17" s="14" t="s">
        <v>558</v>
      </c>
      <c r="P17" s="14" t="s">
        <v>31</v>
      </c>
      <c r="Q17" s="14" t="s">
        <v>559</v>
      </c>
    </row>
    <row r="18" spans="1:17" x14ac:dyDescent="0.2">
      <c r="A18" s="14" t="s">
        <v>218</v>
      </c>
      <c r="B18" s="14" t="s">
        <v>51</v>
      </c>
      <c r="C18" s="14" t="s">
        <v>38</v>
      </c>
      <c r="D18" s="14" t="s">
        <v>346</v>
      </c>
      <c r="E18" s="14"/>
      <c r="F18" s="14" t="s">
        <v>58</v>
      </c>
      <c r="G18" s="17" t="s">
        <v>59</v>
      </c>
      <c r="H18" s="14" t="s">
        <v>60</v>
      </c>
      <c r="I18" s="14">
        <v>2</v>
      </c>
      <c r="J18" s="14">
        <v>1.5</v>
      </c>
      <c r="K18" s="14">
        <v>3</v>
      </c>
      <c r="L18" s="14"/>
      <c r="M18" s="14" t="s">
        <v>24</v>
      </c>
      <c r="N18" s="14"/>
      <c r="O18" s="14" t="s">
        <v>560</v>
      </c>
      <c r="P18" s="14" t="s">
        <v>31</v>
      </c>
      <c r="Q18" s="14" t="s">
        <v>561</v>
      </c>
    </row>
    <row r="19" spans="1:17" x14ac:dyDescent="0.2">
      <c r="A19" s="14" t="s">
        <v>218</v>
      </c>
      <c r="B19" s="14" t="s">
        <v>51</v>
      </c>
      <c r="C19" s="14" t="s">
        <v>38</v>
      </c>
      <c r="D19" s="14" t="s">
        <v>346</v>
      </c>
      <c r="E19" s="14"/>
      <c r="F19" s="14" t="s">
        <v>63</v>
      </c>
      <c r="G19" s="17" t="s">
        <v>64</v>
      </c>
      <c r="H19" s="14" t="s">
        <v>65</v>
      </c>
      <c r="I19" s="14">
        <v>1.5</v>
      </c>
      <c r="J19" s="14">
        <v>1</v>
      </c>
      <c r="K19" s="14">
        <v>2.5</v>
      </c>
      <c r="L19" s="14"/>
      <c r="M19" s="14" t="s">
        <v>24</v>
      </c>
      <c r="N19" s="14"/>
      <c r="O19" s="14" t="s">
        <v>562</v>
      </c>
      <c r="P19" s="14" t="s">
        <v>31</v>
      </c>
      <c r="Q19" s="14" t="s">
        <v>563</v>
      </c>
    </row>
    <row r="20" spans="1:17" x14ac:dyDescent="0.2">
      <c r="A20" s="14" t="s">
        <v>218</v>
      </c>
      <c r="B20" s="14" t="s">
        <v>51</v>
      </c>
      <c r="C20" s="14" t="s">
        <v>38</v>
      </c>
      <c r="D20" s="14" t="s">
        <v>346</v>
      </c>
      <c r="E20" s="14"/>
      <c r="F20" s="14" t="s">
        <v>68</v>
      </c>
      <c r="G20" s="17" t="s">
        <v>69</v>
      </c>
      <c r="H20" s="14" t="s">
        <v>70</v>
      </c>
      <c r="I20" s="14">
        <v>15000</v>
      </c>
      <c r="J20" s="14">
        <v>8000</v>
      </c>
      <c r="K20" s="14">
        <v>25000</v>
      </c>
      <c r="L20" s="14"/>
      <c r="M20" s="14" t="s">
        <v>24</v>
      </c>
      <c r="N20" s="14"/>
      <c r="O20" s="14" t="s">
        <v>564</v>
      </c>
      <c r="P20" s="14" t="s">
        <v>31</v>
      </c>
      <c r="Q20" s="14" t="s">
        <v>565</v>
      </c>
    </row>
    <row r="21" spans="1:17" x14ac:dyDescent="0.2">
      <c r="A21" s="14" t="s">
        <v>218</v>
      </c>
      <c r="B21" s="14" t="s">
        <v>51</v>
      </c>
      <c r="C21" s="14" t="s">
        <v>38</v>
      </c>
      <c r="D21" s="14" t="s">
        <v>346</v>
      </c>
      <c r="E21" s="14"/>
      <c r="F21" s="14" t="s">
        <v>73</v>
      </c>
      <c r="G21" s="17" t="s">
        <v>74</v>
      </c>
      <c r="H21" s="14" t="s">
        <v>43</v>
      </c>
      <c r="I21" s="14">
        <v>95</v>
      </c>
      <c r="J21" s="14">
        <v>85</v>
      </c>
      <c r="K21" s="14">
        <v>100</v>
      </c>
      <c r="L21" s="14"/>
      <c r="M21" s="14" t="s">
        <v>24</v>
      </c>
      <c r="N21" s="14"/>
      <c r="O21" s="14" t="s">
        <v>566</v>
      </c>
      <c r="P21" s="14" t="s">
        <v>31</v>
      </c>
      <c r="Q21" s="14" t="s">
        <v>501</v>
      </c>
    </row>
    <row r="22" spans="1:17" x14ac:dyDescent="0.2">
      <c r="A22" s="14" t="s">
        <v>218</v>
      </c>
      <c r="B22" s="14" t="s">
        <v>51</v>
      </c>
      <c r="C22" s="14" t="s">
        <v>38</v>
      </c>
      <c r="D22" s="14" t="s">
        <v>346</v>
      </c>
      <c r="E22" s="14"/>
      <c r="F22" s="14" t="s">
        <v>77</v>
      </c>
      <c r="G22" s="17" t="s">
        <v>78</v>
      </c>
      <c r="H22" s="14" t="s">
        <v>23</v>
      </c>
      <c r="I22" s="14" t="s">
        <v>47</v>
      </c>
      <c r="J22" s="14"/>
      <c r="K22" s="14"/>
      <c r="L22" s="14"/>
      <c r="M22" s="14" t="s">
        <v>79</v>
      </c>
      <c r="N22" s="14" t="s">
        <v>80</v>
      </c>
      <c r="O22" s="14" t="s">
        <v>549</v>
      </c>
      <c r="P22" s="14" t="s">
        <v>31</v>
      </c>
      <c r="Q22" s="14" t="s">
        <v>550</v>
      </c>
    </row>
    <row r="23" spans="1:17" x14ac:dyDescent="0.2">
      <c r="A23" s="14" t="s">
        <v>218</v>
      </c>
      <c r="B23" s="14" t="s">
        <v>51</v>
      </c>
      <c r="C23" s="14" t="s">
        <v>447</v>
      </c>
      <c r="D23" s="14" t="s">
        <v>341</v>
      </c>
      <c r="E23" s="14"/>
      <c r="F23" s="14" t="s">
        <v>53</v>
      </c>
      <c r="G23" s="17" t="s">
        <v>54</v>
      </c>
      <c r="H23" s="14" t="s">
        <v>55</v>
      </c>
      <c r="I23" s="14">
        <v>3000</v>
      </c>
      <c r="J23" s="14">
        <v>2400</v>
      </c>
      <c r="K23" s="14">
        <v>3600</v>
      </c>
      <c r="L23" s="14"/>
      <c r="M23" s="14" t="s">
        <v>24</v>
      </c>
      <c r="N23" s="14"/>
      <c r="O23" s="14" t="s">
        <v>567</v>
      </c>
      <c r="P23" s="14" t="s">
        <v>31</v>
      </c>
      <c r="Q23" s="14" t="s">
        <v>568</v>
      </c>
    </row>
    <row r="24" spans="1:17" x14ac:dyDescent="0.2">
      <c r="A24" s="14" t="s">
        <v>218</v>
      </c>
      <c r="B24" s="14" t="s">
        <v>51</v>
      </c>
      <c r="C24" s="14" t="s">
        <v>447</v>
      </c>
      <c r="D24" s="14" t="s">
        <v>341</v>
      </c>
      <c r="E24" s="14"/>
      <c r="F24" s="14" t="s">
        <v>58</v>
      </c>
      <c r="G24" s="17" t="s">
        <v>59</v>
      </c>
      <c r="H24" s="14" t="s">
        <v>60</v>
      </c>
      <c r="I24" s="14">
        <v>12</v>
      </c>
      <c r="J24" s="14">
        <v>9.6</v>
      </c>
      <c r="K24" s="14">
        <v>14.4</v>
      </c>
      <c r="L24" s="14"/>
      <c r="M24" s="14" t="s">
        <v>24</v>
      </c>
      <c r="N24" s="14"/>
      <c r="O24" s="14" t="s">
        <v>569</v>
      </c>
      <c r="P24" s="14" t="s">
        <v>31</v>
      </c>
      <c r="Q24" s="14" t="s">
        <v>570</v>
      </c>
    </row>
    <row r="25" spans="1:17" x14ac:dyDescent="0.2">
      <c r="A25" s="14" t="s">
        <v>218</v>
      </c>
      <c r="B25" s="14" t="s">
        <v>51</v>
      </c>
      <c r="C25" s="14" t="s">
        <v>447</v>
      </c>
      <c r="D25" s="14" t="s">
        <v>341</v>
      </c>
      <c r="E25" s="14"/>
      <c r="F25" s="14" t="s">
        <v>63</v>
      </c>
      <c r="G25" s="17" t="s">
        <v>64</v>
      </c>
      <c r="H25" s="14" t="s">
        <v>65</v>
      </c>
      <c r="I25" s="14">
        <v>15</v>
      </c>
      <c r="J25" s="14">
        <v>10</v>
      </c>
      <c r="K25" s="14">
        <v>25</v>
      </c>
      <c r="L25" s="14"/>
      <c r="M25" s="14" t="s">
        <v>24</v>
      </c>
      <c r="N25" s="14"/>
      <c r="O25" s="14" t="s">
        <v>571</v>
      </c>
      <c r="P25" s="14" t="s">
        <v>31</v>
      </c>
      <c r="Q25" s="14" t="s">
        <v>572</v>
      </c>
    </row>
    <row r="26" spans="1:17" x14ac:dyDescent="0.2">
      <c r="A26" s="14" t="s">
        <v>218</v>
      </c>
      <c r="B26" s="14" t="s">
        <v>51</v>
      </c>
      <c r="C26" s="14" t="s">
        <v>447</v>
      </c>
      <c r="D26" s="14" t="s">
        <v>341</v>
      </c>
      <c r="E26" s="14"/>
      <c r="F26" s="14" t="s">
        <v>68</v>
      </c>
      <c r="G26" s="17" t="s">
        <v>69</v>
      </c>
      <c r="H26" s="14" t="s">
        <v>70</v>
      </c>
      <c r="I26" s="14">
        <v>50000</v>
      </c>
      <c r="J26" s="14">
        <v>40000</v>
      </c>
      <c r="K26" s="14">
        <v>60000</v>
      </c>
      <c r="L26" s="14"/>
      <c r="M26" s="14" t="s">
        <v>24</v>
      </c>
      <c r="N26" s="14"/>
      <c r="O26" s="14" t="s">
        <v>573</v>
      </c>
      <c r="P26" s="14" t="s">
        <v>31</v>
      </c>
      <c r="Q26" s="14" t="s">
        <v>495</v>
      </c>
    </row>
    <row r="27" spans="1:17" x14ac:dyDescent="0.2">
      <c r="A27" s="14" t="s">
        <v>218</v>
      </c>
      <c r="B27" s="14" t="s">
        <v>51</v>
      </c>
      <c r="C27" s="14" t="s">
        <v>447</v>
      </c>
      <c r="D27" s="14" t="s">
        <v>341</v>
      </c>
      <c r="E27" s="14"/>
      <c r="F27" s="14" t="s">
        <v>73</v>
      </c>
      <c r="G27" s="17" t="s">
        <v>74</v>
      </c>
      <c r="H27" s="14" t="s">
        <v>43</v>
      </c>
      <c r="I27" s="14">
        <v>85</v>
      </c>
      <c r="J27" s="14">
        <v>70</v>
      </c>
      <c r="K27" s="14">
        <v>95</v>
      </c>
      <c r="L27" s="14"/>
      <c r="M27" s="14" t="s">
        <v>24</v>
      </c>
      <c r="N27" s="14"/>
      <c r="O27" s="14" t="s">
        <v>574</v>
      </c>
      <c r="P27" s="14" t="s">
        <v>31</v>
      </c>
      <c r="Q27" s="14" t="s">
        <v>548</v>
      </c>
    </row>
    <row r="28" spans="1:17" x14ac:dyDescent="0.2">
      <c r="A28" s="14" t="s">
        <v>218</v>
      </c>
      <c r="B28" s="14" t="s">
        <v>51</v>
      </c>
      <c r="C28" s="14" t="s">
        <v>447</v>
      </c>
      <c r="D28" s="14" t="s">
        <v>341</v>
      </c>
      <c r="E28" s="14"/>
      <c r="F28" s="14" t="s">
        <v>77</v>
      </c>
      <c r="G28" s="17" t="s">
        <v>78</v>
      </c>
      <c r="H28" s="14" t="s">
        <v>23</v>
      </c>
      <c r="I28" s="14" t="s">
        <v>47</v>
      </c>
      <c r="J28" s="14"/>
      <c r="K28" s="14"/>
      <c r="L28" s="14"/>
      <c r="M28" s="14" t="s">
        <v>79</v>
      </c>
      <c r="N28" s="14" t="s">
        <v>80</v>
      </c>
      <c r="O28" s="14" t="s">
        <v>549</v>
      </c>
      <c r="P28" s="14" t="s">
        <v>31</v>
      </c>
      <c r="Q28" s="14" t="s">
        <v>550</v>
      </c>
    </row>
    <row r="29" spans="1:17" x14ac:dyDescent="0.2">
      <c r="A29" s="14" t="s">
        <v>218</v>
      </c>
      <c r="B29" s="14" t="s">
        <v>51</v>
      </c>
      <c r="C29" s="14" t="s">
        <v>447</v>
      </c>
      <c r="D29" s="14" t="s">
        <v>344</v>
      </c>
      <c r="E29" s="14"/>
      <c r="F29" s="14" t="s">
        <v>53</v>
      </c>
      <c r="G29" s="17" t="s">
        <v>54</v>
      </c>
      <c r="H29" s="14" t="s">
        <v>55</v>
      </c>
      <c r="I29" s="14">
        <v>1500</v>
      </c>
      <c r="J29" s="14">
        <v>1200</v>
      </c>
      <c r="K29" s="14">
        <v>1800</v>
      </c>
      <c r="L29" s="14"/>
      <c r="M29" s="14" t="s">
        <v>24</v>
      </c>
      <c r="N29" s="14"/>
      <c r="O29" s="14" t="s">
        <v>575</v>
      </c>
      <c r="P29" s="14" t="s">
        <v>31</v>
      </c>
      <c r="Q29" s="14" t="s">
        <v>576</v>
      </c>
    </row>
    <row r="30" spans="1:17" x14ac:dyDescent="0.2">
      <c r="A30" s="14" t="s">
        <v>218</v>
      </c>
      <c r="B30" s="14" t="s">
        <v>51</v>
      </c>
      <c r="C30" s="14" t="s">
        <v>447</v>
      </c>
      <c r="D30" s="14" t="s">
        <v>344</v>
      </c>
      <c r="E30" s="14"/>
      <c r="F30" s="14" t="s">
        <v>58</v>
      </c>
      <c r="G30" s="17" t="s">
        <v>59</v>
      </c>
      <c r="H30" s="14" t="s">
        <v>60</v>
      </c>
      <c r="I30" s="14">
        <v>5</v>
      </c>
      <c r="J30" s="14">
        <v>4</v>
      </c>
      <c r="K30" s="14">
        <v>6</v>
      </c>
      <c r="L30" s="14"/>
      <c r="M30" s="14" t="s">
        <v>24</v>
      </c>
      <c r="N30" s="14"/>
      <c r="O30" s="14" t="s">
        <v>577</v>
      </c>
      <c r="P30" s="14" t="s">
        <v>31</v>
      </c>
      <c r="Q30" s="14" t="s">
        <v>495</v>
      </c>
    </row>
    <row r="31" spans="1:17" x14ac:dyDescent="0.2">
      <c r="A31" s="14" t="s">
        <v>218</v>
      </c>
      <c r="B31" s="14" t="s">
        <v>51</v>
      </c>
      <c r="C31" s="14" t="s">
        <v>447</v>
      </c>
      <c r="D31" s="14" t="s">
        <v>344</v>
      </c>
      <c r="E31" s="14"/>
      <c r="F31" s="14" t="s">
        <v>63</v>
      </c>
      <c r="G31" s="17" t="s">
        <v>64</v>
      </c>
      <c r="H31" s="14" t="s">
        <v>65</v>
      </c>
      <c r="I31" s="14">
        <v>6</v>
      </c>
      <c r="J31" s="14">
        <v>4</v>
      </c>
      <c r="K31" s="14">
        <v>9</v>
      </c>
      <c r="L31" s="14"/>
      <c r="M31" s="14" t="s">
        <v>24</v>
      </c>
      <c r="N31" s="14"/>
      <c r="O31" s="14" t="s">
        <v>578</v>
      </c>
      <c r="P31" s="14" t="s">
        <v>31</v>
      </c>
      <c r="Q31" s="14" t="s">
        <v>579</v>
      </c>
    </row>
    <row r="32" spans="1:17" x14ac:dyDescent="0.2">
      <c r="A32" s="14" t="s">
        <v>218</v>
      </c>
      <c r="B32" s="14" t="s">
        <v>51</v>
      </c>
      <c r="C32" s="14" t="s">
        <v>447</v>
      </c>
      <c r="D32" s="14" t="s">
        <v>344</v>
      </c>
      <c r="E32" s="14"/>
      <c r="F32" s="14" t="s">
        <v>68</v>
      </c>
      <c r="G32" s="17" t="s">
        <v>69</v>
      </c>
      <c r="H32" s="14" t="s">
        <v>70</v>
      </c>
      <c r="I32" s="14">
        <v>50000</v>
      </c>
      <c r="J32" s="14">
        <v>40000</v>
      </c>
      <c r="K32" s="14">
        <v>60000</v>
      </c>
      <c r="L32" s="14"/>
      <c r="M32" s="14" t="s">
        <v>24</v>
      </c>
      <c r="N32" s="14"/>
      <c r="O32" s="14" t="s">
        <v>580</v>
      </c>
      <c r="P32" s="14" t="s">
        <v>31</v>
      </c>
      <c r="Q32" s="14" t="s">
        <v>495</v>
      </c>
    </row>
    <row r="33" spans="1:17" x14ac:dyDescent="0.2">
      <c r="A33" s="14" t="s">
        <v>218</v>
      </c>
      <c r="B33" s="14" t="s">
        <v>51</v>
      </c>
      <c r="C33" s="14" t="s">
        <v>447</v>
      </c>
      <c r="D33" s="14" t="s">
        <v>344</v>
      </c>
      <c r="E33" s="14"/>
      <c r="F33" s="14" t="s">
        <v>73</v>
      </c>
      <c r="G33" s="17" t="s">
        <v>74</v>
      </c>
      <c r="H33" s="14" t="s">
        <v>43</v>
      </c>
      <c r="I33" s="14">
        <v>95</v>
      </c>
      <c r="J33" s="14">
        <v>88</v>
      </c>
      <c r="K33" s="14">
        <v>100</v>
      </c>
      <c r="L33" s="14"/>
      <c r="M33" s="14" t="s">
        <v>24</v>
      </c>
      <c r="N33" s="14"/>
      <c r="O33" s="14" t="s">
        <v>581</v>
      </c>
      <c r="P33" s="14" t="s">
        <v>31</v>
      </c>
      <c r="Q33" s="14" t="s">
        <v>501</v>
      </c>
    </row>
    <row r="34" spans="1:17" x14ac:dyDescent="0.2">
      <c r="A34" s="14" t="s">
        <v>218</v>
      </c>
      <c r="B34" s="14" t="s">
        <v>51</v>
      </c>
      <c r="C34" s="14" t="s">
        <v>447</v>
      </c>
      <c r="D34" s="14" t="s">
        <v>344</v>
      </c>
      <c r="E34" s="14"/>
      <c r="F34" s="14" t="s">
        <v>77</v>
      </c>
      <c r="G34" s="17" t="s">
        <v>78</v>
      </c>
      <c r="H34" s="14" t="s">
        <v>23</v>
      </c>
      <c r="I34" s="14" t="s">
        <v>47</v>
      </c>
      <c r="J34" s="14"/>
      <c r="K34" s="14"/>
      <c r="L34" s="14"/>
      <c r="M34" s="14" t="s">
        <v>79</v>
      </c>
      <c r="N34" s="14" t="s">
        <v>80</v>
      </c>
      <c r="O34" s="14" t="s">
        <v>549</v>
      </c>
      <c r="P34" s="14" t="s">
        <v>31</v>
      </c>
      <c r="Q34" s="14" t="s">
        <v>550</v>
      </c>
    </row>
    <row r="35" spans="1:17" x14ac:dyDescent="0.2">
      <c r="A35" s="14" t="s">
        <v>218</v>
      </c>
      <c r="B35" s="14" t="s">
        <v>51</v>
      </c>
      <c r="C35" s="14" t="s">
        <v>447</v>
      </c>
      <c r="D35" s="14" t="s">
        <v>346</v>
      </c>
      <c r="E35" s="14"/>
      <c r="F35" s="14" t="s">
        <v>53</v>
      </c>
      <c r="G35" s="17" t="s">
        <v>54</v>
      </c>
      <c r="H35" s="14" t="s">
        <v>55</v>
      </c>
      <c r="I35" s="14">
        <v>1200</v>
      </c>
      <c r="J35" s="14">
        <v>1000</v>
      </c>
      <c r="K35" s="14">
        <v>1500</v>
      </c>
      <c r="L35" s="14"/>
      <c r="M35" s="14" t="s">
        <v>24</v>
      </c>
      <c r="N35" s="14"/>
      <c r="O35" s="14" t="s">
        <v>582</v>
      </c>
      <c r="P35" s="14" t="s">
        <v>31</v>
      </c>
      <c r="Q35" s="14" t="s">
        <v>583</v>
      </c>
    </row>
    <row r="36" spans="1:17" x14ac:dyDescent="0.2">
      <c r="A36" s="14" t="s">
        <v>218</v>
      </c>
      <c r="B36" s="14" t="s">
        <v>51</v>
      </c>
      <c r="C36" s="14" t="s">
        <v>447</v>
      </c>
      <c r="D36" s="14" t="s">
        <v>346</v>
      </c>
      <c r="E36" s="14"/>
      <c r="F36" s="14" t="s">
        <v>58</v>
      </c>
      <c r="G36" s="17" t="s">
        <v>59</v>
      </c>
      <c r="H36" s="14" t="s">
        <v>60</v>
      </c>
      <c r="I36" s="14">
        <v>2</v>
      </c>
      <c r="J36" s="14">
        <v>1.5</v>
      </c>
      <c r="K36" s="14">
        <v>3</v>
      </c>
      <c r="L36" s="14"/>
      <c r="M36" s="14" t="s">
        <v>24</v>
      </c>
      <c r="N36" s="14"/>
      <c r="O36" s="14" t="s">
        <v>584</v>
      </c>
      <c r="P36" s="14" t="s">
        <v>31</v>
      </c>
      <c r="Q36" s="14" t="s">
        <v>585</v>
      </c>
    </row>
    <row r="37" spans="1:17" x14ac:dyDescent="0.2">
      <c r="A37" s="14" t="s">
        <v>218</v>
      </c>
      <c r="B37" s="14" t="s">
        <v>51</v>
      </c>
      <c r="C37" s="14" t="s">
        <v>447</v>
      </c>
      <c r="D37" s="14" t="s">
        <v>346</v>
      </c>
      <c r="E37" s="14"/>
      <c r="F37" s="14" t="s">
        <v>63</v>
      </c>
      <c r="G37" s="17" t="s">
        <v>64</v>
      </c>
      <c r="H37" s="14" t="s">
        <v>65</v>
      </c>
      <c r="I37" s="14">
        <v>1.5</v>
      </c>
      <c r="J37" s="14">
        <v>1</v>
      </c>
      <c r="K37" s="14">
        <v>2.5</v>
      </c>
      <c r="L37" s="14"/>
      <c r="M37" s="14" t="s">
        <v>24</v>
      </c>
      <c r="N37" s="14"/>
      <c r="O37" s="14" t="s">
        <v>586</v>
      </c>
      <c r="P37" s="14" t="s">
        <v>31</v>
      </c>
      <c r="Q37" s="14" t="s">
        <v>587</v>
      </c>
    </row>
    <row r="38" spans="1:17" x14ac:dyDescent="0.2">
      <c r="A38" s="14" t="s">
        <v>218</v>
      </c>
      <c r="B38" s="14" t="s">
        <v>51</v>
      </c>
      <c r="C38" s="14" t="s">
        <v>447</v>
      </c>
      <c r="D38" s="14" t="s">
        <v>346</v>
      </c>
      <c r="E38" s="14"/>
      <c r="F38" s="14" t="s">
        <v>68</v>
      </c>
      <c r="G38" s="17" t="s">
        <v>69</v>
      </c>
      <c r="H38" s="14" t="s">
        <v>70</v>
      </c>
      <c r="I38" s="14">
        <v>15000</v>
      </c>
      <c r="J38" s="14">
        <v>8000</v>
      </c>
      <c r="K38" s="14">
        <v>25000</v>
      </c>
      <c r="L38" s="14"/>
      <c r="M38" s="14" t="s">
        <v>24</v>
      </c>
      <c r="N38" s="14"/>
      <c r="O38" s="14" t="s">
        <v>588</v>
      </c>
      <c r="P38" s="14" t="s">
        <v>31</v>
      </c>
      <c r="Q38" s="14" t="s">
        <v>589</v>
      </c>
    </row>
    <row r="39" spans="1:17" x14ac:dyDescent="0.2">
      <c r="A39" s="14" t="s">
        <v>218</v>
      </c>
      <c r="B39" s="14" t="s">
        <v>51</v>
      </c>
      <c r="C39" s="14" t="s">
        <v>447</v>
      </c>
      <c r="D39" s="14" t="s">
        <v>346</v>
      </c>
      <c r="E39" s="14"/>
      <c r="F39" s="14" t="s">
        <v>73</v>
      </c>
      <c r="G39" s="17" t="s">
        <v>74</v>
      </c>
      <c r="H39" s="14" t="s">
        <v>43</v>
      </c>
      <c r="I39" s="14">
        <v>95</v>
      </c>
      <c r="J39" s="14">
        <v>85</v>
      </c>
      <c r="K39" s="14">
        <v>100</v>
      </c>
      <c r="L39" s="14"/>
      <c r="M39" s="14" t="s">
        <v>24</v>
      </c>
      <c r="N39" s="14"/>
      <c r="O39" s="14" t="s">
        <v>590</v>
      </c>
      <c r="P39" s="14" t="s">
        <v>31</v>
      </c>
      <c r="Q39" s="14" t="s">
        <v>501</v>
      </c>
    </row>
    <row r="40" spans="1:17" x14ac:dyDescent="0.2">
      <c r="A40" s="14" t="s">
        <v>218</v>
      </c>
      <c r="B40" s="14" t="s">
        <v>51</v>
      </c>
      <c r="C40" s="14" t="s">
        <v>447</v>
      </c>
      <c r="D40" s="14" t="s">
        <v>346</v>
      </c>
      <c r="E40" s="14"/>
      <c r="F40" s="14" t="s">
        <v>77</v>
      </c>
      <c r="G40" s="17" t="s">
        <v>78</v>
      </c>
      <c r="H40" s="14" t="s">
        <v>23</v>
      </c>
      <c r="I40" s="14" t="s">
        <v>47</v>
      </c>
      <c r="J40" s="14"/>
      <c r="K40" s="14"/>
      <c r="L40" s="14"/>
      <c r="M40" s="14" t="s">
        <v>79</v>
      </c>
      <c r="N40" s="14" t="s">
        <v>80</v>
      </c>
      <c r="O40" s="14" t="s">
        <v>549</v>
      </c>
      <c r="P40" s="14" t="s">
        <v>31</v>
      </c>
      <c r="Q40" s="14" t="s">
        <v>550</v>
      </c>
    </row>
    <row r="41" spans="1:17" x14ac:dyDescent="0.2">
      <c r="A41" s="14" t="s">
        <v>218</v>
      </c>
      <c r="B41" s="14" t="s">
        <v>109</v>
      </c>
      <c r="C41" s="14" t="s">
        <v>110</v>
      </c>
      <c r="D41" s="14" t="s">
        <v>20</v>
      </c>
      <c r="E41" s="14"/>
      <c r="F41" s="14" t="s">
        <v>111</v>
      </c>
      <c r="G41" s="17" t="s">
        <v>112</v>
      </c>
      <c r="H41" s="14" t="s">
        <v>113</v>
      </c>
      <c r="I41" s="14">
        <v>15</v>
      </c>
      <c r="J41" s="14">
        <v>8</v>
      </c>
      <c r="K41" s="14">
        <v>20</v>
      </c>
      <c r="L41" s="14"/>
      <c r="M41" s="14" t="s">
        <v>24</v>
      </c>
      <c r="N41" s="14"/>
      <c r="O41" s="14" t="s">
        <v>591</v>
      </c>
      <c r="P41" s="14" t="s">
        <v>31</v>
      </c>
      <c r="Q41" s="14" t="s">
        <v>592</v>
      </c>
    </row>
    <row r="42" spans="1:17" x14ac:dyDescent="0.2">
      <c r="A42" s="14" t="s">
        <v>218</v>
      </c>
      <c r="B42" s="14" t="s">
        <v>109</v>
      </c>
      <c r="C42" s="14" t="s">
        <v>110</v>
      </c>
      <c r="D42" s="14" t="s">
        <v>20</v>
      </c>
      <c r="E42" s="14"/>
      <c r="F42" s="14" t="s">
        <v>512</v>
      </c>
      <c r="G42" s="17" t="s">
        <v>513</v>
      </c>
      <c r="H42" s="14" t="s">
        <v>113</v>
      </c>
      <c r="I42" s="14">
        <v>7.5</v>
      </c>
      <c r="J42" s="14">
        <v>5</v>
      </c>
      <c r="K42" s="14">
        <v>10</v>
      </c>
      <c r="L42" s="14"/>
      <c r="M42" s="14" t="s">
        <v>24</v>
      </c>
      <c r="N42" s="14"/>
      <c r="O42" s="14" t="s">
        <v>593</v>
      </c>
      <c r="P42" s="14" t="s">
        <v>31</v>
      </c>
      <c r="Q42" s="14" t="s">
        <v>594</v>
      </c>
    </row>
    <row r="43" spans="1:17" x14ac:dyDescent="0.2">
      <c r="A43" s="14" t="s">
        <v>218</v>
      </c>
      <c r="B43" s="14" t="s">
        <v>109</v>
      </c>
      <c r="C43" s="14" t="s">
        <v>447</v>
      </c>
      <c r="D43" s="14" t="s">
        <v>515</v>
      </c>
      <c r="E43" s="14"/>
      <c r="F43" s="14" t="s">
        <v>516</v>
      </c>
      <c r="G43" s="17" t="s">
        <v>517</v>
      </c>
      <c r="H43" s="14" t="s">
        <v>43</v>
      </c>
      <c r="I43" s="14">
        <v>10</v>
      </c>
      <c r="J43" s="14">
        <v>5</v>
      </c>
      <c r="K43" s="14">
        <v>15</v>
      </c>
      <c r="L43" s="14"/>
      <c r="M43" s="14" t="s">
        <v>24</v>
      </c>
      <c r="N43" s="14"/>
      <c r="O43" s="14" t="s">
        <v>595</v>
      </c>
      <c r="P43" s="14" t="s">
        <v>31</v>
      </c>
      <c r="Q43" s="14" t="s">
        <v>596</v>
      </c>
    </row>
    <row r="44" spans="1:17" x14ac:dyDescent="0.2">
      <c r="A44" s="14" t="s">
        <v>218</v>
      </c>
      <c r="B44" s="14" t="s">
        <v>109</v>
      </c>
      <c r="C44" s="14" t="s">
        <v>116</v>
      </c>
      <c r="D44" s="14" t="s">
        <v>117</v>
      </c>
      <c r="E44" s="14" t="s">
        <v>118</v>
      </c>
      <c r="F44" s="14" t="s">
        <v>119</v>
      </c>
      <c r="G44" s="17" t="s">
        <v>120</v>
      </c>
      <c r="H44" s="14" t="s">
        <v>43</v>
      </c>
      <c r="I44" s="14">
        <v>0</v>
      </c>
      <c r="J44" s="14">
        <v>0</v>
      </c>
      <c r="K44" s="14">
        <v>0</v>
      </c>
      <c r="L44" s="14"/>
      <c r="M44" s="14" t="s">
        <v>44</v>
      </c>
      <c r="N44" s="14"/>
      <c r="O44" s="14" t="s">
        <v>597</v>
      </c>
      <c r="P44" s="14" t="s">
        <v>31</v>
      </c>
      <c r="Q44" s="14" t="s">
        <v>598</v>
      </c>
    </row>
    <row r="45" spans="1:17" x14ac:dyDescent="0.2">
      <c r="A45" s="14" t="s">
        <v>218</v>
      </c>
      <c r="B45" s="14" t="s">
        <v>109</v>
      </c>
      <c r="C45" s="14" t="s">
        <v>116</v>
      </c>
      <c r="D45" s="14" t="s">
        <v>117</v>
      </c>
      <c r="E45" s="14" t="s">
        <v>123</v>
      </c>
      <c r="F45" s="14" t="s">
        <v>119</v>
      </c>
      <c r="G45" s="17" t="s">
        <v>521</v>
      </c>
      <c r="H45" s="14" t="s">
        <v>43</v>
      </c>
      <c r="I45" s="14">
        <v>25</v>
      </c>
      <c r="J45" s="14">
        <v>10</v>
      </c>
      <c r="K45" s="14">
        <v>40</v>
      </c>
      <c r="L45" s="14"/>
      <c r="M45" s="14" t="s">
        <v>24</v>
      </c>
      <c r="N45" s="14"/>
      <c r="O45" s="14" t="s">
        <v>597</v>
      </c>
      <c r="P45" s="14" t="s">
        <v>31</v>
      </c>
      <c r="Q45" s="14" t="s">
        <v>599</v>
      </c>
    </row>
    <row r="46" spans="1:17" x14ac:dyDescent="0.2">
      <c r="A46" s="14" t="s">
        <v>218</v>
      </c>
      <c r="B46" s="14" t="s">
        <v>109</v>
      </c>
      <c r="C46" s="14" t="s">
        <v>116</v>
      </c>
      <c r="D46" s="14" t="s">
        <v>117</v>
      </c>
      <c r="E46" s="14" t="s">
        <v>126</v>
      </c>
      <c r="F46" s="14" t="s">
        <v>119</v>
      </c>
      <c r="G46" s="17" t="s">
        <v>523</v>
      </c>
      <c r="H46" s="14" t="s">
        <v>43</v>
      </c>
      <c r="I46" s="14">
        <v>2</v>
      </c>
      <c r="J46" s="14">
        <v>0</v>
      </c>
      <c r="K46" s="14">
        <v>10</v>
      </c>
      <c r="L46" s="14"/>
      <c r="M46" s="14" t="s">
        <v>24</v>
      </c>
      <c r="N46" s="14"/>
      <c r="O46" s="14" t="s">
        <v>597</v>
      </c>
      <c r="P46" s="14" t="s">
        <v>31</v>
      </c>
      <c r="Q46" s="14" t="s">
        <v>600</v>
      </c>
    </row>
    <row r="47" spans="1:17" x14ac:dyDescent="0.2">
      <c r="A47" s="14" t="s">
        <v>218</v>
      </c>
      <c r="B47" s="14" t="s">
        <v>109</v>
      </c>
      <c r="C47" s="14" t="s">
        <v>116</v>
      </c>
      <c r="D47" s="14" t="s">
        <v>117</v>
      </c>
      <c r="E47" s="14" t="s">
        <v>129</v>
      </c>
      <c r="F47" s="14" t="s">
        <v>119</v>
      </c>
      <c r="G47" s="17" t="s">
        <v>525</v>
      </c>
      <c r="H47" s="14" t="s">
        <v>43</v>
      </c>
      <c r="I47" s="14">
        <v>40</v>
      </c>
      <c r="J47" s="14">
        <v>25</v>
      </c>
      <c r="K47" s="14">
        <v>55</v>
      </c>
      <c r="L47" s="14"/>
      <c r="M47" s="14" t="s">
        <v>24</v>
      </c>
      <c r="N47" s="14"/>
      <c r="O47" s="14" t="s">
        <v>597</v>
      </c>
      <c r="P47" s="14" t="s">
        <v>31</v>
      </c>
      <c r="Q47" s="14" t="s">
        <v>601</v>
      </c>
    </row>
    <row r="48" spans="1:17" x14ac:dyDescent="0.2">
      <c r="A48" s="14" t="s">
        <v>218</v>
      </c>
      <c r="B48" s="14" t="s">
        <v>109</v>
      </c>
      <c r="C48" s="14" t="s">
        <v>116</v>
      </c>
      <c r="D48" s="14" t="s">
        <v>117</v>
      </c>
      <c r="E48" s="14" t="s">
        <v>132</v>
      </c>
      <c r="F48" s="14" t="s">
        <v>119</v>
      </c>
      <c r="G48" s="17" t="s">
        <v>133</v>
      </c>
      <c r="H48" s="14" t="s">
        <v>43</v>
      </c>
      <c r="I48" s="14">
        <v>33</v>
      </c>
      <c r="J48" s="14">
        <v>15</v>
      </c>
      <c r="K48" s="14">
        <v>45</v>
      </c>
      <c r="L48" s="14"/>
      <c r="M48" s="14" t="s">
        <v>24</v>
      </c>
      <c r="N48" s="14"/>
      <c r="O48" s="14" t="s">
        <v>597</v>
      </c>
      <c r="P48" s="14" t="s">
        <v>31</v>
      </c>
      <c r="Q48" s="14" t="s">
        <v>602</v>
      </c>
    </row>
    <row r="49" spans="1:17" x14ac:dyDescent="0.2">
      <c r="A49" s="14" t="s">
        <v>218</v>
      </c>
      <c r="B49" s="14" t="s">
        <v>135</v>
      </c>
      <c r="C49" s="14" t="s">
        <v>136</v>
      </c>
      <c r="D49" s="14" t="s">
        <v>20</v>
      </c>
      <c r="E49" s="14"/>
      <c r="F49" s="14" t="s">
        <v>135</v>
      </c>
      <c r="G49" s="17" t="s">
        <v>137</v>
      </c>
      <c r="H49" s="14" t="s">
        <v>138</v>
      </c>
      <c r="I49" s="14" t="s">
        <v>139</v>
      </c>
      <c r="J49" s="14"/>
      <c r="K49" s="14"/>
      <c r="L49" s="14"/>
      <c r="M49" s="14" t="s">
        <v>79</v>
      </c>
      <c r="N49" s="14"/>
      <c r="O49" s="14" t="s">
        <v>528</v>
      </c>
      <c r="P49" s="14" t="s">
        <v>31</v>
      </c>
      <c r="Q49" s="14" t="s">
        <v>603</v>
      </c>
    </row>
  </sheetData>
  <conditionalFormatting sqref="I2:I256">
    <cfRule type="expression" dxfId="18" priority="3">
      <formula>AND($F2&lt;&gt;"",$I2="")</formula>
    </cfRule>
  </conditionalFormatting>
  <conditionalFormatting sqref="I2:P256">
    <cfRule type="expression" dxfId="17" priority="1">
      <formula>$P2="placeholder"</formula>
    </cfRule>
  </conditionalFormatting>
  <conditionalFormatting sqref="J2:K256">
    <cfRule type="expression" dxfId="16" priority="2">
      <formula>AND(OR($M2="triangular",$M2="uniform"),OR($J2="",$K2=""))</formula>
    </cfRule>
  </conditionalFormatting>
  <dataValidations count="4">
    <dataValidation type="list" allowBlank="1" sqref="B2:B256" xr:uid="{00000000-0002-0000-1200-000000000000}">
      <formula1>"design,manufacturing,circularity,location"</formula1>
    </dataValidation>
    <dataValidation type="list" allowBlank="1" sqref="C2:C256" xr:uid="{00000000-0002-0000-1200-000001000000}">
      <formula1>"product size,production,repair,use,end-of-life,general"</formula1>
    </dataValidation>
    <dataValidation type="list" allowBlank="1" sqref="M2:M256" xr:uid="{00000000-0002-0000-1200-000002000000}">
      <formula1>"fixed,triangular,uniform,choice,combination"</formula1>
    </dataValidation>
    <dataValidation type="list" allowBlank="1" sqref="P2:P256" xr:uid="{00000000-0002-0000-1200-000003000000}">
      <formula1>"placeholder,partner estimate,measured,literature"</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FC5E8"/>
  </sheetPr>
  <dimension ref="A1:I57"/>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9" t="s">
        <v>373</v>
      </c>
      <c r="B1" s="9" t="s">
        <v>7</v>
      </c>
      <c r="C1" s="9" t="s">
        <v>882</v>
      </c>
      <c r="D1" s="9" t="s">
        <v>883</v>
      </c>
      <c r="E1" s="9" t="s">
        <v>884</v>
      </c>
      <c r="F1" s="9" t="s">
        <v>885</v>
      </c>
      <c r="G1" s="9" t="s">
        <v>886</v>
      </c>
      <c r="H1" s="9" t="s">
        <v>16</v>
      </c>
      <c r="I1" s="9" t="s">
        <v>887</v>
      </c>
    </row>
    <row r="2" spans="1:9" x14ac:dyDescent="0.2">
      <c r="A2" s="10" t="s">
        <v>888</v>
      </c>
      <c r="B2" s="10"/>
      <c r="C2" s="10"/>
      <c r="D2" s="10"/>
      <c r="E2" s="10"/>
      <c r="F2" s="10"/>
      <c r="G2" s="10"/>
      <c r="H2" s="10"/>
      <c r="I2" s="10"/>
    </row>
    <row r="3" spans="1:9" x14ac:dyDescent="0.2">
      <c r="A3" s="10" t="s">
        <v>889</v>
      </c>
      <c r="B3" s="10" t="s">
        <v>55</v>
      </c>
      <c r="C3" s="10" t="s">
        <v>47</v>
      </c>
      <c r="D3" s="10" t="s">
        <v>890</v>
      </c>
      <c r="E3" s="10" t="s">
        <v>891</v>
      </c>
      <c r="F3" s="10" t="s">
        <v>892</v>
      </c>
      <c r="G3" s="10"/>
      <c r="H3" s="10"/>
      <c r="I3" s="10"/>
    </row>
    <row r="4" spans="1:9" x14ac:dyDescent="0.2">
      <c r="A4" s="10" t="s">
        <v>893</v>
      </c>
      <c r="B4" s="10" t="s">
        <v>55</v>
      </c>
      <c r="C4" s="10" t="s">
        <v>47</v>
      </c>
      <c r="D4" s="10" t="s">
        <v>894</v>
      </c>
      <c r="E4" s="10" t="s">
        <v>891</v>
      </c>
      <c r="F4" s="10" t="s">
        <v>895</v>
      </c>
      <c r="G4" s="10"/>
      <c r="H4" s="10"/>
      <c r="I4" s="10"/>
    </row>
    <row r="5" spans="1:9" x14ac:dyDescent="0.2">
      <c r="A5" s="10" t="s">
        <v>535</v>
      </c>
      <c r="B5" s="10" t="s">
        <v>55</v>
      </c>
      <c r="C5" s="10" t="s">
        <v>47</v>
      </c>
      <c r="D5" s="10" t="s">
        <v>896</v>
      </c>
      <c r="E5" s="10" t="s">
        <v>897</v>
      </c>
      <c r="F5" s="10" t="s">
        <v>898</v>
      </c>
      <c r="G5" s="10"/>
      <c r="H5" s="10"/>
      <c r="I5" s="10"/>
    </row>
    <row r="6" spans="1:9" x14ac:dyDescent="0.2">
      <c r="A6" s="10" t="s">
        <v>664</v>
      </c>
      <c r="B6" s="10" t="s">
        <v>55</v>
      </c>
      <c r="C6" s="10" t="s">
        <v>47</v>
      </c>
      <c r="D6" s="10" t="s">
        <v>896</v>
      </c>
      <c r="E6" s="10" t="s">
        <v>897</v>
      </c>
      <c r="F6" s="10" t="s">
        <v>898</v>
      </c>
      <c r="G6" s="10"/>
      <c r="H6" s="10" t="s">
        <v>899</v>
      </c>
      <c r="I6" s="10"/>
    </row>
    <row r="7" spans="1:9" x14ac:dyDescent="0.2">
      <c r="A7" s="10" t="s">
        <v>900</v>
      </c>
      <c r="B7" s="10" t="s">
        <v>55</v>
      </c>
      <c r="C7" s="10" t="s">
        <v>47</v>
      </c>
      <c r="D7" s="10" t="s">
        <v>901</v>
      </c>
      <c r="E7" s="10" t="s">
        <v>902</v>
      </c>
      <c r="F7" s="10" t="s">
        <v>903</v>
      </c>
      <c r="G7" s="10"/>
      <c r="H7" s="10"/>
      <c r="I7" s="10"/>
    </row>
    <row r="8" spans="1:9" x14ac:dyDescent="0.2">
      <c r="A8" s="10" t="s">
        <v>39</v>
      </c>
      <c r="B8" s="10" t="s">
        <v>55</v>
      </c>
      <c r="C8" s="10" t="s">
        <v>47</v>
      </c>
      <c r="D8" s="10" t="s">
        <v>904</v>
      </c>
      <c r="E8" s="10" t="s">
        <v>902</v>
      </c>
      <c r="F8" s="10" t="s">
        <v>905</v>
      </c>
      <c r="G8" s="10"/>
      <c r="H8" s="10"/>
      <c r="I8" s="10"/>
    </row>
    <row r="9" spans="1:9" x14ac:dyDescent="0.2">
      <c r="A9" s="10" t="s">
        <v>432</v>
      </c>
      <c r="B9" s="10" t="s">
        <v>55</v>
      </c>
      <c r="C9" s="10" t="s">
        <v>47</v>
      </c>
      <c r="D9" s="10"/>
      <c r="E9" s="10" t="s">
        <v>906</v>
      </c>
      <c r="F9" s="10"/>
      <c r="G9" s="10" t="s">
        <v>907</v>
      </c>
      <c r="H9" s="10"/>
      <c r="I9" s="10"/>
    </row>
    <row r="10" spans="1:9" x14ac:dyDescent="0.2">
      <c r="A10" s="10" t="s">
        <v>908</v>
      </c>
      <c r="B10" s="10" t="s">
        <v>55</v>
      </c>
      <c r="C10" s="10" t="s">
        <v>909</v>
      </c>
      <c r="D10" s="10" t="s">
        <v>896</v>
      </c>
      <c r="E10" s="10" t="s">
        <v>897</v>
      </c>
      <c r="F10" s="10" t="s">
        <v>910</v>
      </c>
      <c r="G10" s="10"/>
      <c r="H10" s="10"/>
      <c r="I10" s="10"/>
    </row>
    <row r="11" spans="1:9" x14ac:dyDescent="0.2">
      <c r="A11" s="10" t="s">
        <v>911</v>
      </c>
      <c r="B11" s="10" t="s">
        <v>55</v>
      </c>
      <c r="C11" s="10" t="s">
        <v>909</v>
      </c>
      <c r="D11" s="10" t="s">
        <v>912</v>
      </c>
      <c r="E11" s="10" t="s">
        <v>913</v>
      </c>
      <c r="F11" s="10" t="s">
        <v>914</v>
      </c>
      <c r="G11" s="10"/>
      <c r="H11" s="10"/>
      <c r="I11" s="10"/>
    </row>
    <row r="12" spans="1:9" x14ac:dyDescent="0.2">
      <c r="A12" s="10" t="s">
        <v>915</v>
      </c>
      <c r="B12" s="10" t="s">
        <v>55</v>
      </c>
      <c r="C12" s="10" t="s">
        <v>909</v>
      </c>
      <c r="D12" s="10" t="s">
        <v>916</v>
      </c>
      <c r="E12" s="10" t="s">
        <v>913</v>
      </c>
      <c r="F12" s="10" t="s">
        <v>917</v>
      </c>
      <c r="G12" s="10"/>
      <c r="H12" s="10"/>
      <c r="I12" s="10"/>
    </row>
    <row r="13" spans="1:9" x14ac:dyDescent="0.2">
      <c r="A13" s="10" t="s">
        <v>918</v>
      </c>
      <c r="B13" s="10" t="s">
        <v>55</v>
      </c>
      <c r="C13" s="10" t="s">
        <v>909</v>
      </c>
      <c r="D13" s="10"/>
      <c r="E13" s="10" t="s">
        <v>906</v>
      </c>
      <c r="F13" s="10"/>
      <c r="G13" s="10" t="s">
        <v>919</v>
      </c>
      <c r="H13" s="10" t="s">
        <v>920</v>
      </c>
      <c r="I13" s="10"/>
    </row>
    <row r="14" spans="1:9" x14ac:dyDescent="0.2">
      <c r="A14" s="10" t="s">
        <v>889</v>
      </c>
      <c r="B14" s="10" t="s">
        <v>55</v>
      </c>
      <c r="C14" s="10" t="s">
        <v>40</v>
      </c>
      <c r="D14" s="10"/>
      <c r="E14" s="10" t="s">
        <v>906</v>
      </c>
      <c r="F14" s="10"/>
      <c r="G14" s="10" t="s">
        <v>919</v>
      </c>
      <c r="H14" s="10" t="s">
        <v>920</v>
      </c>
      <c r="I14" s="10"/>
    </row>
    <row r="15" spans="1:9" x14ac:dyDescent="0.2">
      <c r="A15" s="10" t="s">
        <v>893</v>
      </c>
      <c r="B15" s="10" t="s">
        <v>55</v>
      </c>
      <c r="C15" s="10" t="s">
        <v>40</v>
      </c>
      <c r="D15" s="10" t="s">
        <v>921</v>
      </c>
      <c r="E15" s="10" t="s">
        <v>922</v>
      </c>
      <c r="F15" s="10" t="s">
        <v>923</v>
      </c>
      <c r="G15" s="10"/>
      <c r="H15" s="10"/>
      <c r="I15" s="10"/>
    </row>
    <row r="16" spans="1:9" x14ac:dyDescent="0.2">
      <c r="A16" s="10" t="s">
        <v>900</v>
      </c>
      <c r="B16" s="10" t="s">
        <v>55</v>
      </c>
      <c r="C16" s="10" t="s">
        <v>40</v>
      </c>
      <c r="D16" s="10" t="s">
        <v>924</v>
      </c>
      <c r="E16" s="10" t="s">
        <v>906</v>
      </c>
      <c r="F16" s="10" t="s">
        <v>925</v>
      </c>
      <c r="G16" s="10"/>
      <c r="H16" s="10"/>
      <c r="I16" s="10"/>
    </row>
    <row r="17" spans="1:9" x14ac:dyDescent="0.2">
      <c r="A17" s="10" t="s">
        <v>39</v>
      </c>
      <c r="B17" s="10" t="s">
        <v>55</v>
      </c>
      <c r="C17" s="10" t="s">
        <v>40</v>
      </c>
      <c r="D17" s="10" t="s">
        <v>924</v>
      </c>
      <c r="E17" s="10" t="s">
        <v>906</v>
      </c>
      <c r="F17" s="10" t="s">
        <v>925</v>
      </c>
      <c r="G17" s="10"/>
      <c r="H17" s="10"/>
      <c r="I17" s="10"/>
    </row>
    <row r="18" spans="1:9" x14ac:dyDescent="0.2">
      <c r="A18" s="10" t="s">
        <v>926</v>
      </c>
      <c r="B18" s="10" t="s">
        <v>55</v>
      </c>
      <c r="C18" s="10" t="s">
        <v>927</v>
      </c>
      <c r="D18" s="10"/>
      <c r="E18" s="10"/>
      <c r="F18" s="10"/>
      <c r="G18" s="10" t="s">
        <v>919</v>
      </c>
      <c r="H18" s="10" t="s">
        <v>920</v>
      </c>
      <c r="I18" s="10"/>
    </row>
    <row r="19" spans="1:9" x14ac:dyDescent="0.2">
      <c r="A19" s="10" t="s">
        <v>928</v>
      </c>
      <c r="B19" s="10"/>
      <c r="C19" s="10"/>
      <c r="D19" s="10"/>
      <c r="E19" s="10"/>
      <c r="F19" s="10"/>
      <c r="G19" s="10"/>
      <c r="H19" s="10"/>
      <c r="I19" s="10"/>
    </row>
    <row r="20" spans="1:9" x14ac:dyDescent="0.2">
      <c r="A20" s="10" t="s">
        <v>762</v>
      </c>
      <c r="B20" s="10" t="s">
        <v>929</v>
      </c>
      <c r="C20" s="10"/>
      <c r="D20" s="10" t="s">
        <v>930</v>
      </c>
      <c r="E20" s="10" t="s">
        <v>931</v>
      </c>
      <c r="F20" s="10" t="s">
        <v>932</v>
      </c>
      <c r="G20" s="10"/>
      <c r="H20" s="10"/>
      <c r="I20" s="10"/>
    </row>
    <row r="21" spans="1:9" x14ac:dyDescent="0.2">
      <c r="A21" s="10" t="s">
        <v>796</v>
      </c>
      <c r="B21" s="10" t="s">
        <v>55</v>
      </c>
      <c r="C21" s="10"/>
      <c r="D21" s="10" t="s">
        <v>933</v>
      </c>
      <c r="E21" s="10" t="s">
        <v>922</v>
      </c>
      <c r="F21" s="10" t="s">
        <v>934</v>
      </c>
      <c r="G21" s="10"/>
      <c r="H21" s="10"/>
      <c r="I21" s="10"/>
    </row>
    <row r="22" spans="1:9" x14ac:dyDescent="0.2">
      <c r="A22" s="10" t="s">
        <v>800</v>
      </c>
      <c r="B22" s="10" t="s">
        <v>55</v>
      </c>
      <c r="C22" s="10"/>
      <c r="D22" s="10" t="s">
        <v>935</v>
      </c>
      <c r="E22" s="10" t="s">
        <v>902</v>
      </c>
      <c r="F22" s="10" t="s">
        <v>936</v>
      </c>
      <c r="G22" s="10"/>
      <c r="H22" s="10"/>
      <c r="I22" s="10"/>
    </row>
    <row r="23" spans="1:9" x14ac:dyDescent="0.2">
      <c r="A23" s="10" t="s">
        <v>803</v>
      </c>
      <c r="B23" s="10" t="s">
        <v>55</v>
      </c>
      <c r="C23" s="10"/>
      <c r="D23" s="10" t="s">
        <v>937</v>
      </c>
      <c r="E23" s="10" t="s">
        <v>906</v>
      </c>
      <c r="F23" s="10" t="s">
        <v>938</v>
      </c>
      <c r="G23" s="10"/>
      <c r="H23" s="10"/>
      <c r="I23" s="10"/>
    </row>
    <row r="24" spans="1:9" x14ac:dyDescent="0.2">
      <c r="A24" s="10" t="s">
        <v>712</v>
      </c>
      <c r="B24" s="10" t="s">
        <v>55</v>
      </c>
      <c r="C24" s="10"/>
      <c r="D24" s="10" t="s">
        <v>939</v>
      </c>
      <c r="E24" s="10" t="s">
        <v>902</v>
      </c>
      <c r="F24" s="10" t="s">
        <v>712</v>
      </c>
      <c r="G24" s="10"/>
      <c r="H24" s="10" t="s">
        <v>940</v>
      </c>
      <c r="I24" s="10"/>
    </row>
    <row r="25" spans="1:9" x14ac:dyDescent="0.2">
      <c r="A25" s="10" t="s">
        <v>824</v>
      </c>
      <c r="B25" s="10" t="s">
        <v>55</v>
      </c>
      <c r="C25" s="10"/>
      <c r="D25" s="10" t="s">
        <v>941</v>
      </c>
      <c r="E25" s="10" t="s">
        <v>922</v>
      </c>
      <c r="F25" s="10" t="s">
        <v>824</v>
      </c>
      <c r="G25" s="10"/>
      <c r="H25" s="10"/>
      <c r="I25" s="10"/>
    </row>
    <row r="26" spans="1:9" x14ac:dyDescent="0.2">
      <c r="A26" s="10" t="s">
        <v>842</v>
      </c>
      <c r="B26" s="10" t="s">
        <v>55</v>
      </c>
      <c r="C26" s="10"/>
      <c r="D26" s="10" t="s">
        <v>942</v>
      </c>
      <c r="E26" s="10" t="s">
        <v>922</v>
      </c>
      <c r="F26" s="10" t="s">
        <v>842</v>
      </c>
      <c r="G26" s="10"/>
      <c r="H26" s="10"/>
      <c r="I26" s="10"/>
    </row>
    <row r="27" spans="1:9" x14ac:dyDescent="0.2">
      <c r="A27" s="10" t="s">
        <v>846</v>
      </c>
      <c r="B27" s="10" t="s">
        <v>55</v>
      </c>
      <c r="C27" s="10"/>
      <c r="D27" s="10" t="s">
        <v>943</v>
      </c>
      <c r="E27" s="10" t="s">
        <v>902</v>
      </c>
      <c r="F27" s="10" t="s">
        <v>846</v>
      </c>
      <c r="G27" s="10"/>
      <c r="H27" s="10"/>
      <c r="I27" s="10"/>
    </row>
    <row r="28" spans="1:9" x14ac:dyDescent="0.2">
      <c r="A28" s="10" t="s">
        <v>865</v>
      </c>
      <c r="B28" s="10" t="s">
        <v>55</v>
      </c>
      <c r="C28" s="10"/>
      <c r="D28" s="10" t="s">
        <v>944</v>
      </c>
      <c r="E28" s="10" t="s">
        <v>902</v>
      </c>
      <c r="F28" s="10" t="s">
        <v>945</v>
      </c>
      <c r="G28" s="10"/>
      <c r="H28" s="10"/>
      <c r="I28" s="10"/>
    </row>
    <row r="29" spans="1:9" x14ac:dyDescent="0.2">
      <c r="A29" s="10" t="s">
        <v>868</v>
      </c>
      <c r="B29" s="10" t="s">
        <v>55</v>
      </c>
      <c r="C29" s="10"/>
      <c r="D29" s="10" t="s">
        <v>946</v>
      </c>
      <c r="E29" s="10" t="s">
        <v>902</v>
      </c>
      <c r="F29" s="10" t="s">
        <v>947</v>
      </c>
      <c r="G29" s="10"/>
      <c r="H29" s="10"/>
      <c r="I29" s="10"/>
    </row>
    <row r="30" spans="1:9" x14ac:dyDescent="0.2">
      <c r="A30" s="10" t="s">
        <v>948</v>
      </c>
      <c r="B30" s="10"/>
      <c r="C30" s="10"/>
      <c r="D30" s="10"/>
      <c r="E30" s="10"/>
      <c r="F30" s="10"/>
      <c r="G30" s="10"/>
      <c r="H30" s="10"/>
      <c r="I30" s="10"/>
    </row>
    <row r="31" spans="1:9" x14ac:dyDescent="0.2">
      <c r="A31" s="10" t="s">
        <v>949</v>
      </c>
      <c r="B31" s="10" t="s">
        <v>55</v>
      </c>
      <c r="C31" s="10" t="s">
        <v>47</v>
      </c>
      <c r="D31" s="10" t="s">
        <v>950</v>
      </c>
      <c r="E31" s="10" t="s">
        <v>902</v>
      </c>
      <c r="F31" s="10" t="s">
        <v>951</v>
      </c>
      <c r="G31" s="10"/>
      <c r="H31" s="10"/>
      <c r="I31" s="10"/>
    </row>
    <row r="32" spans="1:9" x14ac:dyDescent="0.2">
      <c r="A32" s="10" t="s">
        <v>952</v>
      </c>
      <c r="B32" s="10" t="s">
        <v>55</v>
      </c>
      <c r="C32" s="10" t="s">
        <v>47</v>
      </c>
      <c r="D32" s="10" t="s">
        <v>953</v>
      </c>
      <c r="E32" s="10" t="s">
        <v>902</v>
      </c>
      <c r="F32" s="10" t="s">
        <v>954</v>
      </c>
      <c r="G32" s="10"/>
      <c r="H32" s="10" t="s">
        <v>955</v>
      </c>
      <c r="I32" s="10"/>
    </row>
    <row r="33" spans="1:9" x14ac:dyDescent="0.2">
      <c r="A33" s="10" t="s">
        <v>615</v>
      </c>
      <c r="B33" s="10" t="s">
        <v>55</v>
      </c>
      <c r="C33" s="10" t="s">
        <v>47</v>
      </c>
      <c r="D33" s="10" t="s">
        <v>956</v>
      </c>
      <c r="E33" s="10" t="s">
        <v>906</v>
      </c>
      <c r="F33" s="10" t="s">
        <v>957</v>
      </c>
      <c r="G33" s="10"/>
      <c r="H33" s="10" t="s">
        <v>958</v>
      </c>
      <c r="I33" s="10"/>
    </row>
    <row r="34" spans="1:9" x14ac:dyDescent="0.2">
      <c r="A34" s="10" t="s">
        <v>959</v>
      </c>
      <c r="B34" s="10" t="s">
        <v>55</v>
      </c>
      <c r="C34" s="10" t="s">
        <v>47</v>
      </c>
      <c r="D34" s="10" t="s">
        <v>960</v>
      </c>
      <c r="E34" s="10" t="s">
        <v>913</v>
      </c>
      <c r="F34" s="10" t="s">
        <v>961</v>
      </c>
      <c r="G34" s="10"/>
      <c r="H34" s="10"/>
      <c r="I34" s="10"/>
    </row>
    <row r="35" spans="1:9" x14ac:dyDescent="0.2">
      <c r="A35" s="10" t="s">
        <v>962</v>
      </c>
      <c r="B35" s="10" t="s">
        <v>55</v>
      </c>
      <c r="C35" s="10" t="s">
        <v>47</v>
      </c>
      <c r="D35" s="10" t="s">
        <v>963</v>
      </c>
      <c r="E35" s="10" t="s">
        <v>906</v>
      </c>
      <c r="F35" s="10" t="s">
        <v>964</v>
      </c>
      <c r="G35" s="10"/>
      <c r="H35" s="10"/>
      <c r="I35" s="10"/>
    </row>
    <row r="36" spans="1:9" x14ac:dyDescent="0.2">
      <c r="A36" s="10" t="s">
        <v>965</v>
      </c>
      <c r="B36" s="10"/>
      <c r="C36" s="10"/>
      <c r="D36" s="10"/>
      <c r="E36" s="10"/>
      <c r="F36" s="10"/>
      <c r="G36" s="10"/>
      <c r="H36" s="10"/>
      <c r="I36" s="10"/>
    </row>
    <row r="37" spans="1:9" x14ac:dyDescent="0.2">
      <c r="A37" s="10" t="s">
        <v>966</v>
      </c>
      <c r="B37" s="10" t="s">
        <v>967</v>
      </c>
      <c r="C37" s="10"/>
      <c r="D37" s="10" t="s">
        <v>968</v>
      </c>
      <c r="E37" s="10" t="s">
        <v>906</v>
      </c>
      <c r="F37" s="10" t="s">
        <v>969</v>
      </c>
      <c r="G37" s="10"/>
      <c r="H37" s="10"/>
      <c r="I37" s="10"/>
    </row>
    <row r="38" spans="1:9" x14ac:dyDescent="0.2">
      <c r="A38" s="10" t="s">
        <v>970</v>
      </c>
      <c r="B38" s="10"/>
      <c r="C38" s="10"/>
      <c r="D38" s="10"/>
      <c r="E38" s="10"/>
      <c r="F38" s="10"/>
      <c r="G38" s="10"/>
      <c r="H38" s="10"/>
      <c r="I38" s="10"/>
    </row>
    <row r="39" spans="1:9" x14ac:dyDescent="0.2">
      <c r="A39" s="10" t="s">
        <v>971</v>
      </c>
      <c r="B39" s="10" t="s">
        <v>972</v>
      </c>
      <c r="C39" s="10"/>
      <c r="D39" s="10" t="s">
        <v>973</v>
      </c>
      <c r="E39" s="10" t="s">
        <v>974</v>
      </c>
      <c r="F39" s="10" t="s">
        <v>975</v>
      </c>
      <c r="G39" s="10"/>
      <c r="H39" s="10"/>
      <c r="I39" s="10"/>
    </row>
    <row r="40" spans="1:9" x14ac:dyDescent="0.2">
      <c r="A40" s="10" t="s">
        <v>976</v>
      </c>
      <c r="B40" s="10" t="s">
        <v>55</v>
      </c>
      <c r="C40" s="10" t="s">
        <v>47</v>
      </c>
      <c r="D40" s="10" t="s">
        <v>977</v>
      </c>
      <c r="E40" s="10" t="s">
        <v>906</v>
      </c>
      <c r="F40" s="10" t="s">
        <v>978</v>
      </c>
      <c r="G40" s="10"/>
      <c r="H40" s="10"/>
      <c r="I40" s="10"/>
    </row>
    <row r="41" spans="1:9" x14ac:dyDescent="0.2">
      <c r="A41" s="10" t="s">
        <v>976</v>
      </c>
      <c r="B41" s="10" t="s">
        <v>55</v>
      </c>
      <c r="C41" s="10" t="s">
        <v>40</v>
      </c>
      <c r="D41" s="10"/>
      <c r="E41" s="10" t="s">
        <v>906</v>
      </c>
      <c r="F41" s="10"/>
      <c r="G41" s="10" t="s">
        <v>919</v>
      </c>
      <c r="H41" s="10" t="s">
        <v>920</v>
      </c>
      <c r="I41" s="10"/>
    </row>
    <row r="42" spans="1:9" x14ac:dyDescent="0.2">
      <c r="A42" s="10" t="s">
        <v>979</v>
      </c>
      <c r="B42" s="10" t="s">
        <v>55</v>
      </c>
      <c r="C42" s="10"/>
      <c r="D42" s="10" t="s">
        <v>980</v>
      </c>
      <c r="E42" s="10" t="s">
        <v>922</v>
      </c>
      <c r="F42" s="10" t="s">
        <v>981</v>
      </c>
      <c r="G42" s="10"/>
      <c r="H42" s="10"/>
      <c r="I42" s="10" t="s">
        <v>982</v>
      </c>
    </row>
    <row r="43" spans="1:9" x14ac:dyDescent="0.2">
      <c r="A43" s="10" t="s">
        <v>777</v>
      </c>
      <c r="B43" s="10" t="s">
        <v>55</v>
      </c>
      <c r="C43" s="10"/>
      <c r="D43" s="10" t="s">
        <v>983</v>
      </c>
      <c r="E43" s="10" t="s">
        <v>922</v>
      </c>
      <c r="F43" s="10" t="s">
        <v>984</v>
      </c>
      <c r="G43" s="10"/>
      <c r="H43" s="10"/>
      <c r="I43" s="10" t="s">
        <v>985</v>
      </c>
    </row>
    <row r="44" spans="1:9" x14ac:dyDescent="0.2">
      <c r="A44" s="10" t="s">
        <v>772</v>
      </c>
      <c r="B44" s="10" t="s">
        <v>55</v>
      </c>
      <c r="C44" s="10"/>
      <c r="D44" s="10" t="s">
        <v>986</v>
      </c>
      <c r="E44" s="10" t="s">
        <v>902</v>
      </c>
      <c r="F44" s="10" t="s">
        <v>981</v>
      </c>
      <c r="G44" s="10"/>
      <c r="H44" s="10"/>
      <c r="I44" s="10" t="s">
        <v>987</v>
      </c>
    </row>
    <row r="45" spans="1:9" x14ac:dyDescent="0.2">
      <c r="A45" s="10" t="s">
        <v>780</v>
      </c>
      <c r="B45" s="10" t="s">
        <v>55</v>
      </c>
      <c r="C45" s="10"/>
      <c r="D45" s="10" t="s">
        <v>988</v>
      </c>
      <c r="E45" s="10" t="s">
        <v>922</v>
      </c>
      <c r="F45" s="10" t="s">
        <v>981</v>
      </c>
      <c r="G45" s="10"/>
      <c r="H45" s="10"/>
      <c r="I45" s="10" t="s">
        <v>989</v>
      </c>
    </row>
    <row r="46" spans="1:9" x14ac:dyDescent="0.2">
      <c r="A46" s="10" t="s">
        <v>990</v>
      </c>
      <c r="B46" s="10"/>
      <c r="C46" s="10"/>
      <c r="D46" s="10"/>
      <c r="E46" s="10"/>
      <c r="F46" s="10"/>
      <c r="G46" s="10"/>
      <c r="H46" s="10"/>
      <c r="I46" s="10"/>
    </row>
    <row r="47" spans="1:9" x14ac:dyDescent="0.2">
      <c r="A47" s="10" t="s">
        <v>991</v>
      </c>
      <c r="B47" s="10" t="s">
        <v>55</v>
      </c>
      <c r="C47" s="10"/>
      <c r="D47" s="10" t="s">
        <v>992</v>
      </c>
      <c r="E47" s="10" t="s">
        <v>902</v>
      </c>
      <c r="F47" s="10" t="s">
        <v>993</v>
      </c>
      <c r="G47" s="10"/>
      <c r="H47" s="10"/>
      <c r="I47" s="10"/>
    </row>
    <row r="48" spans="1:9" x14ac:dyDescent="0.2">
      <c r="A48" s="10" t="s">
        <v>994</v>
      </c>
      <c r="B48" s="10" t="s">
        <v>55</v>
      </c>
      <c r="C48" s="10"/>
      <c r="D48" s="10" t="s">
        <v>995</v>
      </c>
      <c r="E48" s="10" t="s">
        <v>906</v>
      </c>
      <c r="F48" s="10" t="s">
        <v>996</v>
      </c>
      <c r="G48" s="10"/>
      <c r="H48" s="10"/>
      <c r="I48" s="10"/>
    </row>
    <row r="49" spans="1:9" x14ac:dyDescent="0.2">
      <c r="A49" s="10" t="s">
        <v>997</v>
      </c>
      <c r="B49" s="10" t="s">
        <v>294</v>
      </c>
      <c r="C49" s="10"/>
      <c r="D49" s="10" t="s">
        <v>998</v>
      </c>
      <c r="E49" s="10" t="s">
        <v>906</v>
      </c>
      <c r="F49" s="10" t="s">
        <v>999</v>
      </c>
      <c r="G49" s="10"/>
      <c r="H49" s="10"/>
      <c r="I49" s="10"/>
    </row>
    <row r="50" spans="1:9" x14ac:dyDescent="0.2">
      <c r="A50" s="10" t="s">
        <v>1000</v>
      </c>
      <c r="B50" s="10" t="s">
        <v>972</v>
      </c>
      <c r="C50" s="10"/>
      <c r="D50" s="10" t="s">
        <v>973</v>
      </c>
      <c r="E50" s="10" t="s">
        <v>974</v>
      </c>
      <c r="F50" s="10" t="s">
        <v>975</v>
      </c>
      <c r="G50" s="10"/>
      <c r="H50" s="10"/>
      <c r="I50" s="10"/>
    </row>
    <row r="51" spans="1:9" x14ac:dyDescent="0.2">
      <c r="A51" s="10" t="s">
        <v>1001</v>
      </c>
      <c r="B51" s="10"/>
      <c r="C51" s="10"/>
      <c r="D51" s="10"/>
      <c r="E51" s="10"/>
      <c r="F51" s="10"/>
      <c r="G51" s="10"/>
      <c r="H51" s="10"/>
      <c r="I51" s="10"/>
    </row>
    <row r="52" spans="1:9" x14ac:dyDescent="0.2">
      <c r="A52" s="10" t="s">
        <v>830</v>
      </c>
      <c r="B52" s="10" t="s">
        <v>55</v>
      </c>
      <c r="C52" s="10"/>
      <c r="D52" s="10" t="s">
        <v>1002</v>
      </c>
      <c r="E52" s="10" t="s">
        <v>931</v>
      </c>
      <c r="F52" s="10" t="s">
        <v>1003</v>
      </c>
      <c r="G52" s="10"/>
      <c r="H52" s="10" t="s">
        <v>1004</v>
      </c>
      <c r="I52" s="10" t="s">
        <v>989</v>
      </c>
    </row>
    <row r="53" spans="1:9" x14ac:dyDescent="0.2">
      <c r="A53" s="10" t="s">
        <v>814</v>
      </c>
      <c r="B53" s="10" t="s">
        <v>55</v>
      </c>
      <c r="C53" s="10"/>
      <c r="D53" s="10" t="s">
        <v>1005</v>
      </c>
      <c r="E53" s="10" t="s">
        <v>913</v>
      </c>
      <c r="F53" s="10" t="s">
        <v>1006</v>
      </c>
      <c r="G53" s="10"/>
      <c r="H53" s="10" t="s">
        <v>1007</v>
      </c>
      <c r="I53" s="10" t="s">
        <v>989</v>
      </c>
    </row>
    <row r="54" spans="1:9" x14ac:dyDescent="0.2">
      <c r="A54" s="10" t="s">
        <v>809</v>
      </c>
      <c r="B54" s="10" t="s">
        <v>55</v>
      </c>
      <c r="C54" s="10"/>
      <c r="D54" s="10" t="s">
        <v>1008</v>
      </c>
      <c r="E54" s="10" t="s">
        <v>913</v>
      </c>
      <c r="F54" s="10" t="s">
        <v>1009</v>
      </c>
      <c r="G54" s="10"/>
      <c r="H54" s="10" t="s">
        <v>1010</v>
      </c>
      <c r="I54" s="10" t="s">
        <v>985</v>
      </c>
    </row>
    <row r="55" spans="1:9" x14ac:dyDescent="0.2">
      <c r="A55" s="10" t="s">
        <v>852</v>
      </c>
      <c r="B55" s="10" t="s">
        <v>55</v>
      </c>
      <c r="C55" s="10"/>
      <c r="D55" s="10" t="s">
        <v>1011</v>
      </c>
      <c r="E55" s="10" t="s">
        <v>931</v>
      </c>
      <c r="F55" s="10" t="s">
        <v>1012</v>
      </c>
      <c r="G55" s="10"/>
      <c r="H55" s="10" t="s">
        <v>1013</v>
      </c>
      <c r="I55" s="10" t="s">
        <v>985</v>
      </c>
    </row>
    <row r="56" spans="1:9" x14ac:dyDescent="0.2">
      <c r="A56" s="10" t="s">
        <v>873</v>
      </c>
      <c r="B56" s="10" t="s">
        <v>55</v>
      </c>
      <c r="C56" s="10"/>
      <c r="D56" s="10" t="s">
        <v>1014</v>
      </c>
      <c r="E56" s="10" t="s">
        <v>931</v>
      </c>
      <c r="F56" s="10" t="s">
        <v>1015</v>
      </c>
      <c r="G56" s="10"/>
      <c r="H56" s="10" t="s">
        <v>1016</v>
      </c>
      <c r="I56" s="10" t="s">
        <v>987</v>
      </c>
    </row>
    <row r="57" spans="1:9" x14ac:dyDescent="0.2">
      <c r="A57" s="10" t="s">
        <v>877</v>
      </c>
      <c r="B57" s="10" t="s">
        <v>55</v>
      </c>
      <c r="C57" s="10"/>
      <c r="D57" s="10" t="s">
        <v>1017</v>
      </c>
      <c r="E57" s="10" t="s">
        <v>931</v>
      </c>
      <c r="F57" s="10" t="s">
        <v>1015</v>
      </c>
      <c r="G57" s="10"/>
      <c r="H57" s="10" t="s">
        <v>1016</v>
      </c>
      <c r="I57" s="10" t="s">
        <v>989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9" t="s">
        <v>1018</v>
      </c>
      <c r="B1" s="9" t="s">
        <v>7</v>
      </c>
      <c r="C1" s="9" t="s">
        <v>883</v>
      </c>
      <c r="D1" s="9" t="s">
        <v>884</v>
      </c>
      <c r="E1" s="9" t="s">
        <v>885</v>
      </c>
      <c r="F1" s="9" t="s">
        <v>1019</v>
      </c>
      <c r="G1" s="9" t="s">
        <v>1020</v>
      </c>
      <c r="H1" s="9" t="s">
        <v>1021</v>
      </c>
      <c r="I1" s="9" t="s">
        <v>1022</v>
      </c>
      <c r="J1" s="9" t="s">
        <v>16</v>
      </c>
    </row>
    <row r="2" spans="1:10" x14ac:dyDescent="0.2">
      <c r="A2" s="10" t="s">
        <v>889</v>
      </c>
      <c r="B2" s="10" t="s">
        <v>1023</v>
      </c>
      <c r="C2" s="10" t="s">
        <v>890</v>
      </c>
      <c r="D2" s="10" t="s">
        <v>891</v>
      </c>
      <c r="E2" s="10" t="s">
        <v>892</v>
      </c>
      <c r="F2" s="10" t="s">
        <v>1024</v>
      </c>
      <c r="G2" s="10" t="s">
        <v>1025</v>
      </c>
      <c r="H2" s="10">
        <v>1</v>
      </c>
      <c r="I2" s="10" t="s">
        <v>1026</v>
      </c>
      <c r="J2" s="10"/>
    </row>
    <row r="3" spans="1:10" x14ac:dyDescent="0.2">
      <c r="A3" s="10" t="s">
        <v>893</v>
      </c>
      <c r="B3" s="10" t="s">
        <v>1023</v>
      </c>
      <c r="C3" s="10" t="s">
        <v>894</v>
      </c>
      <c r="D3" s="10" t="s">
        <v>891</v>
      </c>
      <c r="E3" s="10" t="s">
        <v>895</v>
      </c>
      <c r="F3" s="10" t="s">
        <v>1024</v>
      </c>
      <c r="G3" s="10" t="s">
        <v>1025</v>
      </c>
      <c r="H3" s="10">
        <v>1</v>
      </c>
      <c r="I3" s="10" t="s">
        <v>1026</v>
      </c>
      <c r="J3" s="10"/>
    </row>
    <row r="4" spans="1:10" x14ac:dyDescent="0.2">
      <c r="A4" s="10" t="s">
        <v>535</v>
      </c>
      <c r="B4" s="10" t="s">
        <v>1023</v>
      </c>
      <c r="C4" s="10" t="s">
        <v>896</v>
      </c>
      <c r="D4" s="10" t="s">
        <v>897</v>
      </c>
      <c r="E4" s="10" t="s">
        <v>898</v>
      </c>
      <c r="F4" s="10" t="s">
        <v>1024</v>
      </c>
      <c r="G4" s="10" t="s">
        <v>1025</v>
      </c>
      <c r="H4" s="10">
        <v>1</v>
      </c>
      <c r="I4" s="10" t="s">
        <v>1026</v>
      </c>
      <c r="J4" s="10"/>
    </row>
    <row r="5" spans="1:10" x14ac:dyDescent="0.2">
      <c r="A5" s="10" t="s">
        <v>911</v>
      </c>
      <c r="B5" s="10" t="s">
        <v>1023</v>
      </c>
      <c r="C5" s="10" t="s">
        <v>912</v>
      </c>
      <c r="D5" s="10" t="s">
        <v>913</v>
      </c>
      <c r="E5" s="10" t="s">
        <v>914</v>
      </c>
      <c r="F5" s="10" t="s">
        <v>1024</v>
      </c>
      <c r="G5" s="10" t="s">
        <v>1025</v>
      </c>
      <c r="H5" s="10">
        <v>80</v>
      </c>
      <c r="I5" s="10" t="s">
        <v>1027</v>
      </c>
      <c r="J5" s="10"/>
    </row>
    <row r="6" spans="1:10" x14ac:dyDescent="0.2">
      <c r="A6" s="10" t="s">
        <v>915</v>
      </c>
      <c r="B6" s="10" t="s">
        <v>1023</v>
      </c>
      <c r="C6" s="10" t="s">
        <v>916</v>
      </c>
      <c r="D6" s="10" t="s">
        <v>913</v>
      </c>
      <c r="E6" s="10" t="s">
        <v>917</v>
      </c>
      <c r="F6" s="10" t="s">
        <v>1024</v>
      </c>
      <c r="G6" s="10" t="s">
        <v>1025</v>
      </c>
      <c r="H6" s="10">
        <v>80</v>
      </c>
      <c r="I6" s="10" t="s">
        <v>1027</v>
      </c>
      <c r="J6" s="10"/>
    </row>
    <row r="7" spans="1:10" x14ac:dyDescent="0.2">
      <c r="A7" s="10" t="s">
        <v>900</v>
      </c>
      <c r="B7" s="10" t="s">
        <v>1023</v>
      </c>
      <c r="C7" s="10" t="s">
        <v>901</v>
      </c>
      <c r="D7" s="10" t="s">
        <v>902</v>
      </c>
      <c r="E7" s="10" t="s">
        <v>903</v>
      </c>
      <c r="F7" s="10" t="s">
        <v>1024</v>
      </c>
      <c r="G7" s="10" t="s">
        <v>1025</v>
      </c>
      <c r="H7" s="10">
        <v>100</v>
      </c>
      <c r="I7" s="10" t="s">
        <v>1028</v>
      </c>
      <c r="J7" s="10" t="s">
        <v>1029</v>
      </c>
    </row>
    <row r="8" spans="1:10" x14ac:dyDescent="0.2">
      <c r="A8" s="10" t="s">
        <v>39</v>
      </c>
      <c r="B8" s="10" t="s">
        <v>1023</v>
      </c>
      <c r="C8" s="10" t="s">
        <v>904</v>
      </c>
      <c r="D8" s="10" t="s">
        <v>902</v>
      </c>
      <c r="E8" s="10" t="s">
        <v>905</v>
      </c>
      <c r="F8" s="10" t="s">
        <v>1024</v>
      </c>
      <c r="G8" s="10" t="s">
        <v>1025</v>
      </c>
      <c r="H8" s="10">
        <v>65</v>
      </c>
      <c r="I8" s="10" t="s">
        <v>1030</v>
      </c>
      <c r="J8" s="10"/>
    </row>
    <row r="9" spans="1:10" x14ac:dyDescent="0.2">
      <c r="A9" s="10" t="s">
        <v>918</v>
      </c>
      <c r="B9" s="10" t="s">
        <v>1023</v>
      </c>
      <c r="C9" s="10" t="s">
        <v>1031</v>
      </c>
      <c r="D9" s="10" t="s">
        <v>902</v>
      </c>
      <c r="E9" s="10" t="s">
        <v>1032</v>
      </c>
      <c r="F9" s="10" t="s">
        <v>1024</v>
      </c>
      <c r="G9" s="10" t="s">
        <v>1025</v>
      </c>
      <c r="H9" s="10"/>
      <c r="I9" s="10"/>
      <c r="J9" s="10"/>
    </row>
    <row r="10" spans="1:10" x14ac:dyDescent="0.2">
      <c r="A10" s="10" t="s">
        <v>926</v>
      </c>
      <c r="B10" s="10" t="s">
        <v>1023</v>
      </c>
      <c r="C10" s="10"/>
      <c r="D10" s="10"/>
      <c r="E10" s="10"/>
      <c r="F10" s="10">
        <v>0.33600000000000002</v>
      </c>
      <c r="G10" s="10" t="s">
        <v>1033</v>
      </c>
      <c r="H10" s="10"/>
      <c r="I10" s="10"/>
      <c r="J10" s="10"/>
    </row>
    <row r="11" spans="1:10" x14ac:dyDescent="0.2">
      <c r="A11" s="10" t="s">
        <v>908</v>
      </c>
      <c r="B11" s="10" t="s">
        <v>1023</v>
      </c>
      <c r="C11" s="10" t="s">
        <v>896</v>
      </c>
      <c r="D11" s="10" t="s">
        <v>897</v>
      </c>
      <c r="E11" s="10" t="s">
        <v>910</v>
      </c>
      <c r="F11" s="10" t="s">
        <v>1024</v>
      </c>
      <c r="G11" s="10" t="s">
        <v>1025</v>
      </c>
      <c r="H11" s="10">
        <v>1</v>
      </c>
      <c r="I11" s="10" t="s">
        <v>1026</v>
      </c>
      <c r="J11" s="10" t="s">
        <v>1034</v>
      </c>
    </row>
    <row r="12" spans="1:10" x14ac:dyDescent="0.2">
      <c r="A12" s="10"/>
      <c r="B12" s="10"/>
      <c r="C12" s="10"/>
      <c r="D12" s="10"/>
      <c r="E12" s="10"/>
      <c r="F12" s="10"/>
      <c r="G12" s="10"/>
      <c r="H12" s="10"/>
      <c r="I12" s="10"/>
      <c r="J12" s="10"/>
    </row>
    <row r="13" spans="1:10" x14ac:dyDescent="0.2">
      <c r="A13" s="10"/>
      <c r="B13" s="10"/>
      <c r="C13" s="10"/>
      <c r="D13" s="10"/>
      <c r="E13" s="10"/>
      <c r="F13" s="10"/>
      <c r="G13" s="10"/>
      <c r="H13" s="10"/>
      <c r="I13" s="10"/>
      <c r="J13" s="10"/>
    </row>
    <row r="14" spans="1:10" x14ac:dyDescent="0.2">
      <c r="A14" s="10" t="s">
        <v>1035</v>
      </c>
      <c r="B14" s="10"/>
      <c r="C14" s="10"/>
      <c r="D14" s="10"/>
      <c r="E14" s="10"/>
      <c r="F14" s="10"/>
      <c r="G14" s="10"/>
      <c r="H14" s="10"/>
      <c r="I14" s="10"/>
      <c r="J14" s="10"/>
    </row>
    <row r="15" spans="1:10" x14ac:dyDescent="0.2">
      <c r="A15" s="10" t="s">
        <v>1036</v>
      </c>
      <c r="B15" s="10"/>
      <c r="C15" s="10"/>
      <c r="D15" s="10"/>
      <c r="E15" s="10"/>
      <c r="F15" s="10"/>
      <c r="G15" s="10"/>
      <c r="H15" s="10"/>
      <c r="I15" s="10"/>
      <c r="J15" s="10"/>
    </row>
    <row r="16" spans="1:10" x14ac:dyDescent="0.2">
      <c r="A16" s="10" t="s">
        <v>1037</v>
      </c>
      <c r="B16" s="10"/>
      <c r="C16" s="10"/>
      <c r="D16" s="10"/>
      <c r="E16" s="10"/>
      <c r="F16" s="10"/>
      <c r="G16" s="10"/>
      <c r="H16" s="10"/>
      <c r="I16" s="10"/>
      <c r="J16" s="10"/>
    </row>
    <row r="17" spans="1:10" x14ac:dyDescent="0.2">
      <c r="A17" s="10" t="s">
        <v>1038</v>
      </c>
      <c r="B17" s="10"/>
      <c r="C17" s="10"/>
      <c r="D17" s="10"/>
      <c r="E17" s="10"/>
      <c r="F17" s="10"/>
      <c r="G17" s="10"/>
      <c r="H17" s="10"/>
      <c r="I17" s="10"/>
      <c r="J17" s="10"/>
    </row>
    <row r="18" spans="1:10" x14ac:dyDescent="0.2">
      <c r="A18" s="10" t="s">
        <v>615</v>
      </c>
      <c r="B18" s="10" t="s">
        <v>1023</v>
      </c>
      <c r="C18" s="10"/>
      <c r="D18" s="10"/>
      <c r="E18" s="10"/>
      <c r="F18" s="10">
        <v>0</v>
      </c>
      <c r="G18" s="10" t="s">
        <v>1039</v>
      </c>
      <c r="H18" s="10" t="s">
        <v>1040</v>
      </c>
      <c r="I18" s="10" t="s">
        <v>1040</v>
      </c>
      <c r="J18" s="10"/>
    </row>
    <row r="19" spans="1:10" x14ac:dyDescent="0.2">
      <c r="A19" s="10" t="s">
        <v>952</v>
      </c>
      <c r="B19" s="10" t="s">
        <v>1023</v>
      </c>
      <c r="C19" s="10"/>
      <c r="D19" s="10"/>
      <c r="E19" s="10"/>
      <c r="F19" s="10">
        <v>0</v>
      </c>
      <c r="G19" s="10" t="s">
        <v>1039</v>
      </c>
      <c r="H19" s="10" t="s">
        <v>1040</v>
      </c>
      <c r="I19" s="10" t="s">
        <v>1040</v>
      </c>
      <c r="J19" s="10"/>
    </row>
    <row r="20" spans="1:10" x14ac:dyDescent="0.2">
      <c r="A20" s="10" t="s">
        <v>1041</v>
      </c>
      <c r="B20" s="10" t="s">
        <v>1023</v>
      </c>
      <c r="C20" s="10"/>
      <c r="D20" s="10"/>
      <c r="E20" s="10"/>
      <c r="F20" s="10">
        <v>0</v>
      </c>
      <c r="G20" s="10" t="s">
        <v>1039</v>
      </c>
      <c r="H20" s="10" t="s">
        <v>1040</v>
      </c>
      <c r="I20" s="10" t="s">
        <v>1040</v>
      </c>
      <c r="J20" s="10"/>
    </row>
    <row r="21" spans="1:10" x14ac:dyDescent="0.2">
      <c r="A21" s="10" t="s">
        <v>959</v>
      </c>
      <c r="B21" s="10" t="s">
        <v>1023</v>
      </c>
      <c r="C21" s="10"/>
      <c r="D21" s="10"/>
      <c r="E21" s="10"/>
      <c r="F21" s="10">
        <v>0</v>
      </c>
      <c r="G21" s="10" t="s">
        <v>1039</v>
      </c>
      <c r="H21" s="10" t="s">
        <v>1040</v>
      </c>
      <c r="I21" s="10" t="s">
        <v>1040</v>
      </c>
      <c r="J21" s="10"/>
    </row>
    <row r="22" spans="1:10" x14ac:dyDescent="0.2">
      <c r="A22" s="10" t="s">
        <v>962</v>
      </c>
      <c r="B22" s="10" t="s">
        <v>1023</v>
      </c>
      <c r="C22" s="10"/>
      <c r="D22" s="10"/>
      <c r="E22" s="10"/>
      <c r="F22" s="10">
        <v>0</v>
      </c>
      <c r="G22" s="10" t="s">
        <v>1039</v>
      </c>
      <c r="H22" s="10" t="s">
        <v>1040</v>
      </c>
      <c r="I22" s="10" t="s">
        <v>1040</v>
      </c>
      <c r="J22" s="10"/>
    </row>
    <row r="23" spans="1:10" x14ac:dyDescent="0.2">
      <c r="A23" s="10" t="s">
        <v>432</v>
      </c>
      <c r="B23" s="10" t="s">
        <v>1023</v>
      </c>
      <c r="C23" s="10"/>
      <c r="D23" s="10"/>
      <c r="E23" s="10"/>
      <c r="F23" s="10">
        <v>0.26516849999999997</v>
      </c>
      <c r="G23" s="10" t="s">
        <v>1042</v>
      </c>
      <c r="H23" s="10">
        <v>1</v>
      </c>
      <c r="I23" s="10" t="s">
        <v>1043</v>
      </c>
      <c r="J23" s="10"/>
    </row>
    <row r="24" spans="1:10" x14ac:dyDescent="0.2">
      <c r="A24" s="10" t="s">
        <v>762</v>
      </c>
      <c r="B24" s="10" t="s">
        <v>1044</v>
      </c>
      <c r="C24" s="10" t="s">
        <v>930</v>
      </c>
      <c r="D24" s="10" t="s">
        <v>931</v>
      </c>
      <c r="E24" s="10" t="s">
        <v>932</v>
      </c>
      <c r="F24" s="10" t="s">
        <v>1024</v>
      </c>
      <c r="G24" s="10" t="s">
        <v>1025</v>
      </c>
      <c r="H24" s="10">
        <v>65</v>
      </c>
      <c r="I24" s="10" t="s">
        <v>1045</v>
      </c>
      <c r="J24" s="10"/>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FC5E8"/>
  </sheetPr>
  <dimension ref="A1:I30"/>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9" t="s">
        <v>1018</v>
      </c>
      <c r="B1" s="9" t="s">
        <v>7</v>
      </c>
      <c r="C1" s="9" t="s">
        <v>1046</v>
      </c>
      <c r="D1" s="9" t="s">
        <v>1047</v>
      </c>
      <c r="E1" s="9" t="s">
        <v>1048</v>
      </c>
      <c r="F1" s="9" t="s">
        <v>1049</v>
      </c>
      <c r="G1" s="9" t="s">
        <v>1050</v>
      </c>
      <c r="H1" s="9" t="s">
        <v>1051</v>
      </c>
      <c r="I1" s="9" t="s">
        <v>1052</v>
      </c>
    </row>
    <row r="2" spans="1:9" x14ac:dyDescent="0.2">
      <c r="A2" s="10" t="s">
        <v>432</v>
      </c>
      <c r="B2" s="10" t="s">
        <v>1023</v>
      </c>
      <c r="C2" s="10">
        <v>0.8</v>
      </c>
      <c r="D2" s="10">
        <v>0.9</v>
      </c>
      <c r="E2" s="10">
        <v>22.5</v>
      </c>
      <c r="F2" s="10" t="s">
        <v>1053</v>
      </c>
      <c r="G2" s="10">
        <v>0.6</v>
      </c>
      <c r="H2" s="10">
        <v>0.25</v>
      </c>
      <c r="I2" s="10"/>
    </row>
    <row r="3" spans="1:9" x14ac:dyDescent="0.2">
      <c r="A3" s="10" t="s">
        <v>889</v>
      </c>
      <c r="B3" s="10" t="s">
        <v>1023</v>
      </c>
      <c r="C3" s="10">
        <v>0.8</v>
      </c>
      <c r="D3" s="10">
        <v>0.9</v>
      </c>
      <c r="E3" s="10">
        <v>16</v>
      </c>
      <c r="F3" s="10" t="s">
        <v>1054</v>
      </c>
      <c r="G3" s="10">
        <v>0.6</v>
      </c>
      <c r="H3" s="10">
        <v>0.25</v>
      </c>
      <c r="I3" s="10"/>
    </row>
    <row r="4" spans="1:9" x14ac:dyDescent="0.2">
      <c r="A4" s="10" t="s">
        <v>893</v>
      </c>
      <c r="B4" s="10" t="s">
        <v>1023</v>
      </c>
      <c r="C4" s="10">
        <v>0.8</v>
      </c>
      <c r="D4" s="10">
        <v>0.9</v>
      </c>
      <c r="E4" s="10">
        <v>16</v>
      </c>
      <c r="F4" s="10" t="s">
        <v>1055</v>
      </c>
      <c r="G4" s="10">
        <v>0.6</v>
      </c>
      <c r="H4" s="10">
        <v>0.25</v>
      </c>
      <c r="I4" s="10"/>
    </row>
    <row r="5" spans="1:9" x14ac:dyDescent="0.2">
      <c r="A5" s="10" t="s">
        <v>900</v>
      </c>
      <c r="B5" s="10" t="s">
        <v>1023</v>
      </c>
      <c r="C5" s="10">
        <v>0.8</v>
      </c>
      <c r="D5" s="10">
        <v>0.9</v>
      </c>
      <c r="E5" s="10">
        <v>18.5</v>
      </c>
      <c r="F5" s="10" t="s">
        <v>1056</v>
      </c>
      <c r="G5" s="10">
        <v>0.6</v>
      </c>
      <c r="H5" s="10">
        <v>0.25</v>
      </c>
      <c r="I5" s="10"/>
    </row>
    <row r="6" spans="1:9" x14ac:dyDescent="0.2">
      <c r="A6" s="10" t="s">
        <v>39</v>
      </c>
      <c r="B6" s="10" t="s">
        <v>1023</v>
      </c>
      <c r="C6" s="10">
        <v>0.8</v>
      </c>
      <c r="D6" s="10">
        <v>0.9</v>
      </c>
      <c r="E6" s="10">
        <v>19.5</v>
      </c>
      <c r="F6" s="10" t="s">
        <v>1057</v>
      </c>
      <c r="G6" s="10">
        <v>0.6</v>
      </c>
      <c r="H6" s="10">
        <v>0.25</v>
      </c>
      <c r="I6" s="10"/>
    </row>
    <row r="7" spans="1:9" x14ac:dyDescent="0.2">
      <c r="A7" s="10" t="s">
        <v>535</v>
      </c>
      <c r="B7" s="10" t="s">
        <v>1023</v>
      </c>
      <c r="C7" s="10">
        <v>0.8</v>
      </c>
      <c r="D7" s="10">
        <v>0.9</v>
      </c>
      <c r="E7" s="10">
        <v>17.5</v>
      </c>
      <c r="F7" s="10" t="s">
        <v>1058</v>
      </c>
      <c r="G7" s="10">
        <v>0.6</v>
      </c>
      <c r="H7" s="10">
        <v>0.25</v>
      </c>
      <c r="I7" s="10"/>
    </row>
    <row r="8" spans="1:9" x14ac:dyDescent="0.2">
      <c r="A8" s="10" t="s">
        <v>664</v>
      </c>
      <c r="B8" s="10" t="s">
        <v>1023</v>
      </c>
      <c r="C8" s="10">
        <v>0.8</v>
      </c>
      <c r="D8" s="10">
        <v>0.9</v>
      </c>
      <c r="E8" s="10">
        <v>17.5</v>
      </c>
      <c r="F8" s="10" t="s">
        <v>1059</v>
      </c>
      <c r="G8" s="10">
        <v>0.6</v>
      </c>
      <c r="H8" s="10">
        <v>0.25</v>
      </c>
      <c r="I8" s="10"/>
    </row>
    <row r="9" spans="1:9" x14ac:dyDescent="0.2">
      <c r="A9" s="10" t="s">
        <v>908</v>
      </c>
      <c r="B9" s="10" t="s">
        <v>1023</v>
      </c>
      <c r="C9" s="10">
        <v>0.8</v>
      </c>
      <c r="D9" s="10">
        <v>0.9</v>
      </c>
      <c r="E9" s="10">
        <v>17</v>
      </c>
      <c r="F9" s="10" t="s">
        <v>1058</v>
      </c>
      <c r="G9" s="10">
        <v>0.6</v>
      </c>
      <c r="H9" s="10">
        <v>0.25</v>
      </c>
      <c r="I9" s="10"/>
    </row>
    <row r="10" spans="1:9" x14ac:dyDescent="0.2">
      <c r="A10" s="10" t="s">
        <v>911</v>
      </c>
      <c r="B10" s="10" t="s">
        <v>1023</v>
      </c>
      <c r="C10" s="10">
        <v>0.8</v>
      </c>
      <c r="D10" s="10">
        <v>0.9</v>
      </c>
      <c r="E10" s="10">
        <v>19</v>
      </c>
      <c r="F10" s="10" t="s">
        <v>1060</v>
      </c>
      <c r="G10" s="10">
        <v>0.6</v>
      </c>
      <c r="H10" s="10">
        <v>0.25</v>
      </c>
      <c r="I10" s="10"/>
    </row>
    <row r="11" spans="1:9" x14ac:dyDescent="0.2">
      <c r="A11" s="10" t="s">
        <v>915</v>
      </c>
      <c r="B11" s="10" t="s">
        <v>1023</v>
      </c>
      <c r="C11" s="10">
        <v>0.8</v>
      </c>
      <c r="D11" s="10">
        <v>0.9</v>
      </c>
      <c r="E11" s="10">
        <v>19</v>
      </c>
      <c r="F11" s="10" t="s">
        <v>1060</v>
      </c>
      <c r="G11" s="10">
        <v>0.6</v>
      </c>
      <c r="H11" s="10">
        <v>0.25</v>
      </c>
      <c r="I11" s="10"/>
    </row>
    <row r="12" spans="1:9" x14ac:dyDescent="0.2">
      <c r="A12" s="10" t="s">
        <v>918</v>
      </c>
      <c r="B12" s="10" t="s">
        <v>1023</v>
      </c>
      <c r="C12" s="10">
        <v>0.8</v>
      </c>
      <c r="D12" s="10">
        <v>0.9</v>
      </c>
      <c r="E12" s="10">
        <v>11</v>
      </c>
      <c r="F12" s="10" t="s">
        <v>1061</v>
      </c>
      <c r="G12" s="10">
        <v>0.6</v>
      </c>
      <c r="H12" s="10">
        <v>0.25</v>
      </c>
      <c r="I12" s="10"/>
    </row>
    <row r="13" spans="1:9" x14ac:dyDescent="0.2">
      <c r="A13" s="10" t="s">
        <v>926</v>
      </c>
      <c r="B13" s="10" t="s">
        <v>1023</v>
      </c>
      <c r="C13" s="10">
        <v>0.8</v>
      </c>
      <c r="D13" s="10">
        <v>0.9</v>
      </c>
      <c r="E13" s="10">
        <v>10</v>
      </c>
      <c r="F13" s="10" t="s">
        <v>1062</v>
      </c>
      <c r="G13" s="10">
        <v>0.6</v>
      </c>
      <c r="H13" s="10">
        <v>0.25</v>
      </c>
      <c r="I13" s="10"/>
    </row>
    <row r="14" spans="1:9" x14ac:dyDescent="0.2">
      <c r="A14" s="10" t="s">
        <v>1063</v>
      </c>
      <c r="B14" s="10" t="s">
        <v>1023</v>
      </c>
      <c r="C14" s="10">
        <v>0.8</v>
      </c>
      <c r="D14" s="10">
        <v>0.9</v>
      </c>
      <c r="E14" s="10">
        <v>16.350000000000001</v>
      </c>
      <c r="F14" s="10" t="s">
        <v>1064</v>
      </c>
      <c r="G14" s="10">
        <v>0.6</v>
      </c>
      <c r="H14" s="10">
        <v>0.25</v>
      </c>
      <c r="I14" s="10"/>
    </row>
    <row r="15" spans="1:9" x14ac:dyDescent="0.2">
      <c r="A15" s="10" t="s">
        <v>762</v>
      </c>
      <c r="B15" s="10" t="s">
        <v>1023</v>
      </c>
      <c r="C15" s="10">
        <v>0.8</v>
      </c>
      <c r="D15" s="10">
        <v>0.9</v>
      </c>
      <c r="E15" s="10">
        <v>17.7</v>
      </c>
      <c r="F15" s="10" t="s">
        <v>1065</v>
      </c>
      <c r="G15" s="10">
        <v>0.6</v>
      </c>
      <c r="H15" s="10">
        <v>0.25</v>
      </c>
      <c r="I15" s="10" t="s">
        <v>994</v>
      </c>
    </row>
    <row r="16" spans="1:9" x14ac:dyDescent="0.2">
      <c r="A16" s="10" t="s">
        <v>796</v>
      </c>
      <c r="B16" s="10" t="s">
        <v>1023</v>
      </c>
      <c r="C16" s="10">
        <v>0.8</v>
      </c>
      <c r="D16" s="10">
        <v>0.9</v>
      </c>
      <c r="E16" s="10"/>
      <c r="F16" s="10"/>
      <c r="G16" s="10">
        <v>0.6</v>
      </c>
      <c r="H16" s="10">
        <v>0.25</v>
      </c>
      <c r="I16" s="10"/>
    </row>
    <row r="17" spans="1:9" x14ac:dyDescent="0.2">
      <c r="A17" s="10" t="s">
        <v>800</v>
      </c>
      <c r="B17" s="10" t="s">
        <v>1023</v>
      </c>
      <c r="C17" s="10">
        <v>0.8</v>
      </c>
      <c r="D17" s="10">
        <v>0.9</v>
      </c>
      <c r="E17" s="10"/>
      <c r="F17" s="10"/>
      <c r="G17" s="10">
        <v>0.6</v>
      </c>
      <c r="H17" s="10">
        <v>0.25</v>
      </c>
      <c r="I17" s="10"/>
    </row>
    <row r="18" spans="1:9" x14ac:dyDescent="0.2">
      <c r="A18" s="10" t="s">
        <v>803</v>
      </c>
      <c r="B18" s="10" t="s">
        <v>1023</v>
      </c>
      <c r="C18" s="10">
        <v>0.8</v>
      </c>
      <c r="D18" s="10">
        <v>0.9</v>
      </c>
      <c r="E18" s="10">
        <v>14.2</v>
      </c>
      <c r="F18" s="10" t="s">
        <v>1066</v>
      </c>
      <c r="G18" s="10">
        <v>0.6</v>
      </c>
      <c r="H18" s="10">
        <v>0.25</v>
      </c>
      <c r="I18" s="10"/>
    </row>
    <row r="19" spans="1:9" x14ac:dyDescent="0.2">
      <c r="A19" s="10" t="s">
        <v>824</v>
      </c>
      <c r="B19" s="10" t="s">
        <v>1023</v>
      </c>
      <c r="C19" s="10">
        <v>0.8</v>
      </c>
      <c r="D19" s="10">
        <v>0.9</v>
      </c>
      <c r="E19" s="10"/>
      <c r="F19" s="10"/>
      <c r="G19" s="10">
        <v>0.6</v>
      </c>
      <c r="H19" s="10">
        <v>0.25</v>
      </c>
      <c r="I19" s="10"/>
    </row>
    <row r="20" spans="1:9" x14ac:dyDescent="0.2">
      <c r="A20" s="10" t="s">
        <v>842</v>
      </c>
      <c r="B20" s="10" t="s">
        <v>1023</v>
      </c>
      <c r="C20" s="10">
        <v>0.8</v>
      </c>
      <c r="D20" s="10">
        <v>0.9</v>
      </c>
      <c r="E20" s="10"/>
      <c r="F20" s="10"/>
      <c r="G20" s="10">
        <v>0.6</v>
      </c>
      <c r="H20" s="10">
        <v>0.25</v>
      </c>
      <c r="I20" s="10"/>
    </row>
    <row r="21" spans="1:9" x14ac:dyDescent="0.2">
      <c r="A21" s="10" t="s">
        <v>846</v>
      </c>
      <c r="B21" s="10" t="s">
        <v>1023</v>
      </c>
      <c r="C21" s="10">
        <v>0.8</v>
      </c>
      <c r="D21" s="10">
        <v>0.9</v>
      </c>
      <c r="E21" s="10"/>
      <c r="F21" s="10"/>
      <c r="G21" s="10">
        <v>0.6</v>
      </c>
      <c r="H21" s="10">
        <v>0.25</v>
      </c>
      <c r="I21" s="10"/>
    </row>
    <row r="22" spans="1:9" x14ac:dyDescent="0.2">
      <c r="A22" s="10" t="s">
        <v>865</v>
      </c>
      <c r="B22" s="10" t="s">
        <v>1023</v>
      </c>
      <c r="C22" s="10">
        <v>0.8</v>
      </c>
      <c r="D22" s="10">
        <v>0.9</v>
      </c>
      <c r="E22" s="10">
        <v>23</v>
      </c>
      <c r="F22" s="10" t="s">
        <v>1067</v>
      </c>
      <c r="G22" s="10">
        <v>0.6</v>
      </c>
      <c r="H22" s="10">
        <v>0.25</v>
      </c>
      <c r="I22" s="10"/>
    </row>
    <row r="23" spans="1:9" x14ac:dyDescent="0.2">
      <c r="A23" s="10" t="s">
        <v>712</v>
      </c>
      <c r="B23" s="10" t="s">
        <v>1023</v>
      </c>
      <c r="C23" s="10">
        <v>0.8</v>
      </c>
      <c r="D23" s="10">
        <v>0.9</v>
      </c>
      <c r="E23" s="10"/>
      <c r="F23" s="10"/>
      <c r="G23" s="10">
        <v>0.6</v>
      </c>
      <c r="H23" s="10">
        <v>0.25</v>
      </c>
      <c r="I23" s="10"/>
    </row>
    <row r="24" spans="1:9" x14ac:dyDescent="0.2">
      <c r="A24" s="10" t="s">
        <v>615</v>
      </c>
      <c r="B24" s="10" t="s">
        <v>1023</v>
      </c>
      <c r="C24" s="10">
        <v>0.8</v>
      </c>
      <c r="D24" s="10">
        <v>0.9</v>
      </c>
      <c r="E24" s="10"/>
      <c r="F24" s="10"/>
      <c r="G24" s="10">
        <v>0.6</v>
      </c>
      <c r="H24" s="10">
        <v>0.25</v>
      </c>
      <c r="I24" s="10"/>
    </row>
    <row r="25" spans="1:9" x14ac:dyDescent="0.2">
      <c r="A25" s="10" t="s">
        <v>810</v>
      </c>
      <c r="B25" s="10" t="s">
        <v>1023</v>
      </c>
      <c r="C25" s="10">
        <v>0.8</v>
      </c>
      <c r="D25" s="10">
        <v>0.9</v>
      </c>
      <c r="E25" s="10"/>
      <c r="F25" s="10"/>
      <c r="G25" s="10">
        <v>0.6</v>
      </c>
      <c r="H25" s="10">
        <v>0.25</v>
      </c>
      <c r="I25" s="10"/>
    </row>
    <row r="26" spans="1:9" x14ac:dyDescent="0.2">
      <c r="A26" s="10"/>
      <c r="B26" s="10"/>
      <c r="C26" s="10"/>
      <c r="D26" s="10"/>
      <c r="E26" s="10"/>
      <c r="F26" s="10"/>
      <c r="G26" s="10"/>
      <c r="H26" s="10"/>
      <c r="I26" s="10"/>
    </row>
    <row r="27" spans="1:9" x14ac:dyDescent="0.2">
      <c r="A27" s="10"/>
      <c r="B27" s="10"/>
      <c r="C27" s="10"/>
      <c r="D27" s="10"/>
      <c r="E27" s="10"/>
      <c r="F27" s="10"/>
      <c r="G27" s="10"/>
      <c r="H27" s="10"/>
      <c r="I27" s="10"/>
    </row>
    <row r="28" spans="1:9" x14ac:dyDescent="0.2">
      <c r="A28" s="10" t="s">
        <v>1068</v>
      </c>
      <c r="B28" s="10" t="s">
        <v>1069</v>
      </c>
      <c r="C28" s="10"/>
      <c r="D28" s="10"/>
      <c r="E28" s="10"/>
      <c r="F28" s="10"/>
      <c r="G28" s="10"/>
      <c r="H28" s="10"/>
      <c r="I28" s="10"/>
    </row>
    <row r="29" spans="1:9" x14ac:dyDescent="0.2">
      <c r="A29" s="10" t="s">
        <v>1070</v>
      </c>
      <c r="B29" s="10"/>
      <c r="C29" s="10"/>
      <c r="D29" s="10"/>
      <c r="E29" s="10"/>
      <c r="F29" s="10"/>
      <c r="G29" s="10"/>
      <c r="H29" s="10"/>
      <c r="I29" s="10"/>
    </row>
    <row r="30" spans="1:9" x14ac:dyDescent="0.2">
      <c r="A30" s="10" t="s">
        <v>1071</v>
      </c>
      <c r="B30" s="10"/>
      <c r="C30" s="10"/>
      <c r="D30" s="10"/>
      <c r="E30" s="10"/>
      <c r="F30" s="10"/>
      <c r="G30" s="10"/>
      <c r="H30" s="10"/>
      <c r="I30" s="10"/>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9" t="s">
        <v>1072</v>
      </c>
      <c r="B1" s="9" t="s">
        <v>1073</v>
      </c>
      <c r="C1" s="9" t="s">
        <v>1074</v>
      </c>
      <c r="D1" s="9" t="s">
        <v>1075</v>
      </c>
      <c r="E1" s="9" t="s">
        <v>1076</v>
      </c>
      <c r="F1" s="9" t="s">
        <v>1077</v>
      </c>
    </row>
    <row r="2" spans="1:6" x14ac:dyDescent="0.2">
      <c r="A2" s="10" t="s">
        <v>118</v>
      </c>
      <c r="B2" s="10" t="s">
        <v>979</v>
      </c>
      <c r="C2" s="10" t="s">
        <v>268</v>
      </c>
      <c r="D2" s="10" t="s">
        <v>991</v>
      </c>
      <c r="E2" s="10"/>
      <c r="F2" s="10"/>
    </row>
    <row r="3" spans="1:6" x14ac:dyDescent="0.2">
      <c r="A3" s="10" t="s">
        <v>123</v>
      </c>
      <c r="B3" s="10" t="s">
        <v>777</v>
      </c>
      <c r="C3" s="10" t="s">
        <v>268</v>
      </c>
      <c r="D3" s="10" t="s">
        <v>994</v>
      </c>
      <c r="E3" s="10"/>
      <c r="F3" s="10"/>
    </row>
    <row r="4" spans="1:6" x14ac:dyDescent="0.2">
      <c r="A4" s="10" t="s">
        <v>126</v>
      </c>
      <c r="B4" s="10" t="s">
        <v>777</v>
      </c>
      <c r="C4" s="10" t="s">
        <v>268</v>
      </c>
      <c r="D4" s="10"/>
      <c r="E4" s="10"/>
      <c r="F4" s="10"/>
    </row>
    <row r="5" spans="1:6" x14ac:dyDescent="0.2">
      <c r="A5" s="10" t="s">
        <v>129</v>
      </c>
      <c r="B5" s="10" t="s">
        <v>772</v>
      </c>
      <c r="C5" s="10" t="s">
        <v>286</v>
      </c>
      <c r="D5" s="10"/>
      <c r="E5" s="10" t="s">
        <v>997</v>
      </c>
      <c r="F5" s="10" t="s">
        <v>1000</v>
      </c>
    </row>
    <row r="6" spans="1:6" x14ac:dyDescent="0.2">
      <c r="A6" s="10" t="s">
        <v>132</v>
      </c>
      <c r="B6" s="10" t="s">
        <v>780</v>
      </c>
      <c r="C6" s="10" t="s">
        <v>286</v>
      </c>
      <c r="D6" s="10"/>
      <c r="E6" s="10"/>
      <c r="F6" s="10"/>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1" t="s">
        <v>1078</v>
      </c>
      <c r="B1" s="11" t="s">
        <v>220</v>
      </c>
      <c r="C1" s="11" t="s">
        <v>7</v>
      </c>
      <c r="D1" s="11" t="s">
        <v>6</v>
      </c>
      <c r="E1" s="11" t="s">
        <v>14</v>
      </c>
    </row>
    <row r="2" spans="1:5" x14ac:dyDescent="0.2">
      <c r="A2" s="12" t="s">
        <v>1079</v>
      </c>
      <c r="B2" s="12">
        <v>100</v>
      </c>
      <c r="C2" s="12" t="s">
        <v>113</v>
      </c>
      <c r="D2" s="12" t="s">
        <v>1080</v>
      </c>
      <c r="E2" s="12" t="s">
        <v>1081</v>
      </c>
    </row>
    <row r="3" spans="1:5" x14ac:dyDescent="0.2">
      <c r="A3" s="12" t="s">
        <v>1082</v>
      </c>
      <c r="B3" s="12">
        <v>50</v>
      </c>
      <c r="C3" s="12" t="s">
        <v>1083</v>
      </c>
      <c r="D3" s="12" t="s">
        <v>1084</v>
      </c>
      <c r="E3" s="12" t="s">
        <v>1085</v>
      </c>
    </row>
    <row r="4" spans="1:5" x14ac:dyDescent="0.2">
      <c r="A4" s="12" t="s">
        <v>1086</v>
      </c>
      <c r="B4" s="12">
        <v>1</v>
      </c>
      <c r="C4" s="12" t="s">
        <v>23</v>
      </c>
      <c r="D4" s="12" t="s">
        <v>1087</v>
      </c>
      <c r="E4" s="12" t="s">
        <v>1088</v>
      </c>
    </row>
    <row r="5" spans="1:5" x14ac:dyDescent="0.2">
      <c r="A5" s="12" t="s">
        <v>1089</v>
      </c>
      <c r="B5" s="12">
        <v>3.6666669999999999</v>
      </c>
      <c r="C5" s="12" t="s">
        <v>1090</v>
      </c>
      <c r="D5" s="12" t="s">
        <v>1091</v>
      </c>
      <c r="E5" s="12" t="s">
        <v>1092</v>
      </c>
    </row>
    <row r="6" spans="1:5" x14ac:dyDescent="0.2">
      <c r="A6" s="12" t="s">
        <v>1093</v>
      </c>
      <c r="B6" s="12">
        <v>3.6</v>
      </c>
      <c r="C6" s="12" t="s">
        <v>1094</v>
      </c>
      <c r="D6" s="12" t="s">
        <v>1095</v>
      </c>
      <c r="E6" s="12" t="s">
        <v>1092</v>
      </c>
    </row>
    <row r="7" spans="1:5" x14ac:dyDescent="0.2">
      <c r="A7" s="12" t="s">
        <v>1096</v>
      </c>
      <c r="B7" s="12" t="s">
        <v>976</v>
      </c>
      <c r="C7" s="12" t="s">
        <v>23</v>
      </c>
      <c r="D7" s="12" t="s">
        <v>1097</v>
      </c>
      <c r="E7" s="12"/>
    </row>
    <row r="8" spans="1:5" x14ac:dyDescent="0.2">
      <c r="A8" s="12" t="s">
        <v>1098</v>
      </c>
      <c r="B8" s="12" t="s">
        <v>971</v>
      </c>
      <c r="C8" s="12" t="s">
        <v>23</v>
      </c>
      <c r="D8" s="12" t="s">
        <v>1099</v>
      </c>
      <c r="E8" s="12"/>
    </row>
    <row r="9" spans="1:5" x14ac:dyDescent="0.2">
      <c r="A9" s="12" t="s">
        <v>1100</v>
      </c>
      <c r="B9" s="12" t="s">
        <v>1063</v>
      </c>
      <c r="C9" s="12" t="s">
        <v>23</v>
      </c>
      <c r="D9" s="12" t="s">
        <v>1101</v>
      </c>
      <c r="E9" s="12"/>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1" t="s">
        <v>1102</v>
      </c>
      <c r="B1" s="11" t="s">
        <v>1103</v>
      </c>
      <c r="C1" s="11" t="s">
        <v>1104</v>
      </c>
      <c r="D1" s="11" t="s">
        <v>1105</v>
      </c>
      <c r="E1" s="11" t="s">
        <v>1106</v>
      </c>
      <c r="F1" s="11" t="s">
        <v>1107</v>
      </c>
      <c r="G1" s="11" t="s">
        <v>1108</v>
      </c>
      <c r="H1" s="11" t="s">
        <v>1109</v>
      </c>
      <c r="I1" s="11" t="s">
        <v>1110</v>
      </c>
      <c r="J1" s="11" t="s">
        <v>1111</v>
      </c>
      <c r="K1" s="11" t="s">
        <v>1112</v>
      </c>
      <c r="L1" s="11" t="s">
        <v>1113</v>
      </c>
      <c r="M1" s="11" t="s">
        <v>14</v>
      </c>
    </row>
    <row r="2" spans="1:13" x14ac:dyDescent="0.2">
      <c r="A2" s="12">
        <v>1</v>
      </c>
      <c r="B2" s="12">
        <v>0</v>
      </c>
      <c r="C2" s="12">
        <v>-7.0000000000000007E-2</v>
      </c>
      <c r="D2" s="12">
        <v>-0.15</v>
      </c>
      <c r="E2" s="12">
        <v>-0.23</v>
      </c>
      <c r="F2" s="12">
        <v>-0.32</v>
      </c>
      <c r="G2" s="12">
        <v>-0.4</v>
      </c>
      <c r="H2" s="12">
        <v>-0.5</v>
      </c>
      <c r="I2" s="12">
        <v>-0.6</v>
      </c>
      <c r="J2" s="12">
        <v>-0.71</v>
      </c>
      <c r="K2" s="12">
        <v>-0.84</v>
      </c>
      <c r="L2" s="12">
        <v>-0.99</v>
      </c>
      <c r="M2" s="12" t="s">
        <v>1114</v>
      </c>
    </row>
    <row r="3" spans="1:13" x14ac:dyDescent="0.2">
      <c r="A3" s="12">
        <v>10</v>
      </c>
      <c r="B3" s="12">
        <v>0.04</v>
      </c>
      <c r="C3" s="12">
        <v>-0.04</v>
      </c>
      <c r="D3" s="12">
        <v>-0.12</v>
      </c>
      <c r="E3" s="12">
        <v>-0.2</v>
      </c>
      <c r="F3" s="12">
        <v>-0.28000000000000003</v>
      </c>
      <c r="G3" s="12">
        <v>-0.37</v>
      </c>
      <c r="H3" s="12">
        <v>-0.46</v>
      </c>
      <c r="I3" s="12">
        <v>-0.56999999999999995</v>
      </c>
      <c r="J3" s="12">
        <v>-0.68</v>
      </c>
      <c r="K3" s="12">
        <v>-0.8</v>
      </c>
      <c r="L3" s="12">
        <v>-0.96</v>
      </c>
      <c r="M3" s="12" t="s">
        <v>1114</v>
      </c>
    </row>
    <row r="4" spans="1:13" x14ac:dyDescent="0.2">
      <c r="A4" s="12">
        <v>20</v>
      </c>
      <c r="B4" s="12">
        <v>0.08</v>
      </c>
      <c r="C4" s="12">
        <v>0</v>
      </c>
      <c r="D4" s="12">
        <v>-0.08</v>
      </c>
      <c r="E4" s="12">
        <v>-0.16</v>
      </c>
      <c r="F4" s="12">
        <v>-0.24</v>
      </c>
      <c r="G4" s="12">
        <v>-0.33</v>
      </c>
      <c r="H4" s="12">
        <v>-0.42</v>
      </c>
      <c r="I4" s="12">
        <v>-0.53</v>
      </c>
      <c r="J4" s="12">
        <v>-0.64</v>
      </c>
      <c r="K4" s="12">
        <v>-0.76</v>
      </c>
      <c r="L4" s="12">
        <v>-0.92</v>
      </c>
      <c r="M4" s="12" t="s">
        <v>1114</v>
      </c>
    </row>
    <row r="5" spans="1:13" x14ac:dyDescent="0.2">
      <c r="A5" s="12">
        <v>30</v>
      </c>
      <c r="B5" s="12">
        <v>0.12</v>
      </c>
      <c r="C5" s="12">
        <v>0.04</v>
      </c>
      <c r="D5" s="12">
        <v>-0.04</v>
      </c>
      <c r="E5" s="12">
        <v>-0.12</v>
      </c>
      <c r="F5" s="12">
        <v>-0.2</v>
      </c>
      <c r="G5" s="12">
        <v>-0.28999999999999998</v>
      </c>
      <c r="H5" s="12">
        <v>-0.38</v>
      </c>
      <c r="I5" s="12">
        <v>-0.48</v>
      </c>
      <c r="J5" s="12">
        <v>-0.6</v>
      </c>
      <c r="K5" s="12">
        <v>-0.72</v>
      </c>
      <c r="L5" s="12">
        <v>-0.88</v>
      </c>
      <c r="M5" s="12" t="s">
        <v>1114</v>
      </c>
    </row>
    <row r="6" spans="1:13" x14ac:dyDescent="0.2">
      <c r="A6" s="12">
        <v>40</v>
      </c>
      <c r="B6" s="12">
        <v>0.16</v>
      </c>
      <c r="C6" s="12">
        <v>0.09</v>
      </c>
      <c r="D6" s="12">
        <v>0.01</v>
      </c>
      <c r="E6" s="12">
        <v>-0.08</v>
      </c>
      <c r="F6" s="12">
        <v>-0.16</v>
      </c>
      <c r="G6" s="12">
        <v>-0.25</v>
      </c>
      <c r="H6" s="12">
        <v>-0.34</v>
      </c>
      <c r="I6" s="12">
        <v>-0.44</v>
      </c>
      <c r="J6" s="12">
        <v>-0.55000000000000004</v>
      </c>
      <c r="K6" s="12">
        <v>-0.68</v>
      </c>
      <c r="L6" s="12">
        <v>-0.84</v>
      </c>
      <c r="M6" s="12" t="s">
        <v>1114</v>
      </c>
    </row>
    <row r="7" spans="1:13" x14ac:dyDescent="0.2">
      <c r="A7" s="12">
        <v>50</v>
      </c>
      <c r="B7" s="12">
        <v>0.2</v>
      </c>
      <c r="C7" s="12">
        <v>0.13</v>
      </c>
      <c r="D7" s="12">
        <v>0.05</v>
      </c>
      <c r="E7" s="12">
        <v>-0.03</v>
      </c>
      <c r="F7" s="12">
        <v>-0.12</v>
      </c>
      <c r="G7" s="12">
        <v>-0.21</v>
      </c>
      <c r="H7" s="12">
        <v>-0.3</v>
      </c>
      <c r="I7" s="12">
        <v>-0.4</v>
      </c>
      <c r="J7" s="12">
        <v>-0.51</v>
      </c>
      <c r="K7" s="12">
        <v>-0.64</v>
      </c>
      <c r="L7" s="12">
        <v>-0.8</v>
      </c>
      <c r="M7" s="12" t="s">
        <v>1114</v>
      </c>
    </row>
    <row r="8" spans="1:13" x14ac:dyDescent="0.2">
      <c r="A8" s="12">
        <v>60</v>
      </c>
      <c r="B8" s="12">
        <v>0.25</v>
      </c>
      <c r="C8" s="12">
        <v>0.17</v>
      </c>
      <c r="D8" s="12">
        <v>0.09</v>
      </c>
      <c r="E8" s="12">
        <v>0.01</v>
      </c>
      <c r="F8" s="12">
        <v>-7.0000000000000007E-2</v>
      </c>
      <c r="G8" s="12">
        <v>-0.16</v>
      </c>
      <c r="H8" s="12">
        <v>-0.26</v>
      </c>
      <c r="I8" s="12">
        <v>-0.36</v>
      </c>
      <c r="J8" s="12">
        <v>-0.47</v>
      </c>
      <c r="K8" s="12">
        <v>-0.59</v>
      </c>
      <c r="L8" s="12">
        <v>-0.75</v>
      </c>
      <c r="M8" s="12" t="s">
        <v>1114</v>
      </c>
    </row>
    <row r="9" spans="1:13" x14ac:dyDescent="0.2">
      <c r="A9" s="12">
        <v>70</v>
      </c>
      <c r="B9" s="12">
        <v>0.28999999999999998</v>
      </c>
      <c r="C9" s="12">
        <v>0.22</v>
      </c>
      <c r="D9" s="12">
        <v>0.14000000000000001</v>
      </c>
      <c r="E9" s="12">
        <v>0.06</v>
      </c>
      <c r="F9" s="12">
        <v>-0.03</v>
      </c>
      <c r="G9" s="12">
        <v>-0.12</v>
      </c>
      <c r="H9" s="12">
        <v>-0.21</v>
      </c>
      <c r="I9" s="12">
        <v>-0.31</v>
      </c>
      <c r="J9" s="12">
        <v>-0.42</v>
      </c>
      <c r="K9" s="12">
        <v>-0.55000000000000004</v>
      </c>
      <c r="L9" s="12">
        <v>-0.71</v>
      </c>
      <c r="M9" s="12" t="s">
        <v>1114</v>
      </c>
    </row>
    <row r="10" spans="1:13" x14ac:dyDescent="0.2">
      <c r="A10" s="12">
        <v>80</v>
      </c>
      <c r="B10" s="12">
        <v>0.34</v>
      </c>
      <c r="C10" s="12">
        <v>0.26</v>
      </c>
      <c r="D10" s="12">
        <v>0.18</v>
      </c>
      <c r="E10" s="12">
        <v>0.1</v>
      </c>
      <c r="F10" s="12">
        <v>0.02</v>
      </c>
      <c r="G10" s="12">
        <v>-7.0000000000000007E-2</v>
      </c>
      <c r="H10" s="12">
        <v>-0.17</v>
      </c>
      <c r="I10" s="12">
        <v>-0.27</v>
      </c>
      <c r="J10" s="12">
        <v>-0.38</v>
      </c>
      <c r="K10" s="12">
        <v>-0.5</v>
      </c>
      <c r="L10" s="12">
        <v>-0.66</v>
      </c>
      <c r="M10" s="12" t="s">
        <v>1114</v>
      </c>
    </row>
    <row r="11" spans="1:13" x14ac:dyDescent="0.2">
      <c r="A11" s="12">
        <v>90</v>
      </c>
      <c r="B11" s="12">
        <v>0.38</v>
      </c>
      <c r="C11" s="12">
        <v>0.31</v>
      </c>
      <c r="D11" s="12">
        <v>0.23</v>
      </c>
      <c r="E11" s="12">
        <v>0.15</v>
      </c>
      <c r="F11" s="12">
        <v>0.06</v>
      </c>
      <c r="G11" s="12">
        <v>-0.03</v>
      </c>
      <c r="H11" s="12">
        <v>-0.12</v>
      </c>
      <c r="I11" s="12">
        <v>-0.22</v>
      </c>
      <c r="J11" s="12">
        <v>-0.33</v>
      </c>
      <c r="K11" s="12">
        <v>-0.46</v>
      </c>
      <c r="L11" s="12">
        <v>-0.62</v>
      </c>
      <c r="M11" s="12" t="s">
        <v>1114</v>
      </c>
    </row>
    <row r="12" spans="1:13" x14ac:dyDescent="0.2">
      <c r="A12" s="12">
        <v>100</v>
      </c>
      <c r="B12" s="12">
        <v>0.44</v>
      </c>
      <c r="C12" s="12">
        <v>0.37</v>
      </c>
      <c r="D12" s="12">
        <v>0.28999999999999998</v>
      </c>
      <c r="E12" s="12">
        <v>0.21</v>
      </c>
      <c r="F12" s="12">
        <v>0.12</v>
      </c>
      <c r="G12" s="12">
        <v>3.2000000000000001E-2</v>
      </c>
      <c r="H12" s="12">
        <v>-0.06</v>
      </c>
      <c r="I12" s="12">
        <v>-0.16</v>
      </c>
      <c r="J12" s="12">
        <v>-0.27</v>
      </c>
      <c r="K12" s="12">
        <v>-0.4</v>
      </c>
      <c r="L12" s="12">
        <v>-0.56000000000000005</v>
      </c>
      <c r="M12" s="12" t="s">
        <v>1114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1" t="s">
        <v>1115</v>
      </c>
      <c r="B1" s="11" t="s">
        <v>1116</v>
      </c>
      <c r="C1" s="11" t="s">
        <v>1117</v>
      </c>
      <c r="D1" s="11" t="s">
        <v>14</v>
      </c>
    </row>
    <row r="2" spans="1:4" x14ac:dyDescent="0.2">
      <c r="A2" s="12" t="s">
        <v>1118</v>
      </c>
      <c r="B2" s="12">
        <v>0.217</v>
      </c>
      <c r="C2" s="12"/>
      <c r="D2" s="12" t="s">
        <v>1119</v>
      </c>
    </row>
    <row r="3" spans="1:4" x14ac:dyDescent="0.2">
      <c r="A3" s="12" t="s">
        <v>1120</v>
      </c>
      <c r="B3" s="12">
        <v>0.25900000000000001</v>
      </c>
      <c r="C3" s="12">
        <v>172.9</v>
      </c>
      <c r="D3" s="12" t="s">
        <v>1119</v>
      </c>
    </row>
    <row r="4" spans="1:4" x14ac:dyDescent="0.2">
      <c r="A4" s="12" t="s">
        <v>1121</v>
      </c>
      <c r="B4" s="12">
        <v>0.33800000000000002</v>
      </c>
      <c r="C4" s="12">
        <v>18.510000000000002</v>
      </c>
      <c r="D4" s="12" t="s">
        <v>1119</v>
      </c>
    </row>
    <row r="5" spans="1:4" x14ac:dyDescent="0.2">
      <c r="A5" s="12" t="s">
        <v>1122</v>
      </c>
      <c r="B5" s="12">
        <v>0.186</v>
      </c>
      <c r="C5" s="12">
        <v>1.1859999999999999</v>
      </c>
      <c r="D5" s="12" t="s">
        <v>1119</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README</vt:lpstr>
      <vt:lpstr>fu_comparison</vt:lpstr>
      <vt:lpstr>study_setup</vt:lpstr>
      <vt:lpstr>impact_categories</vt:lpstr>
      <vt:lpstr>scenarios</vt:lpstr>
      <vt:lpstr>process_assumptions</vt:lpstr>
      <vt:lpstr>product_size_formulas</vt:lpstr>
      <vt:lpstr>lci_raw_cfw</vt:lpstr>
      <vt:lpstr>lci_raw_biopol</vt:lpstr>
      <vt:lpstr>lci_raw_timber</vt:lpstr>
      <vt:lpstr>lci_raw_knit</vt:lpstr>
      <vt:lpstr>lci_baseline_cfw_flax</vt:lpstr>
      <vt:lpstr>lci_baseline_cfw_glass</vt:lpstr>
      <vt:lpstr>lci_baseline_glulam_beam</vt:lpstr>
      <vt:lpstr>lci_baseline_rc_beam</vt:lpstr>
      <vt:lpstr>lci_baseline_adobe_wall</vt:lpstr>
      <vt:lpstr>lci_baseline_clay_brick_wall</vt:lpstr>
      <vt:lpstr>lci_baseline_polymer_membrane</vt:lpstr>
      <vt:lpstr>lci_baseline_knit_hemp</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2026-09-30T14:13:42Z</dcterms:modified>
</cp:coreProperties>
</file>